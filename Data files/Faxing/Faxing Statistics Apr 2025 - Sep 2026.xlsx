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Data" sheetId="1" state="visible" r:id="rId3"/>
    <sheet name="Quarterly Summary" sheetId="2" state="visible" r:id="rId4"/>
    <sheet name="By Branch" sheetId="3" state="visible" r:id="rId5"/>
    <sheet name="Source Files" sheetId="4" state="visible" r:id="rId6"/>
  </sheets>
  <definedNames>
    <definedName function="false" hidden="true" localSheetId="0" name="_xlnm._FilterDatabase" vbProcedure="false">'Monthly Data'!$A$4:$K$94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<sst xmlns="http://schemas.openxmlformats.org/spreadsheetml/2006/main" count="548" uniqueCount="138">
  <si>
    <t xml:space="preserve">FaxScan24 Public Fax Activity, Group 225 (one row per branch per month, no duplicates)</t>
  </si>
  <si>
    <t xml:space="preserve">Source: FaxScan24 activity report emails in G:\Shared drives\Statistics\Faxing. Yellow rows are derived (see Note). Blue = figures copied from reports.</t>
  </si>
  <si>
    <t xml:space="preserve">Month</t>
  </si>
  <si>
    <t xml:space="preserve">Quarter</t>
  </si>
  <si>
    <t xml:space="preserve">Loc ID</t>
  </si>
  <si>
    <t xml:space="preserve">Branch</t>
  </si>
  <si>
    <t xml:space="preserve">Prepaid Fax Card Txns</t>
  </si>
  <si>
    <t xml:space="preserve">Credit/Debit Card Fax Txns</t>
  </si>
  <si>
    <t xml:space="preserve">Credit Card Sales</t>
  </si>
  <si>
    <t xml:space="preserve">Commission</t>
  </si>
  <si>
    <t xml:space="preserve">Source Type</t>
  </si>
  <si>
    <t xml:space="preserve">Source File</t>
  </si>
  <si>
    <t xml:space="preserve">Note</t>
  </si>
  <si>
    <t xml:space="preserve">Q2 2025</t>
  </si>
  <si>
    <t xml:space="preserve">Fort Mill</t>
  </si>
  <si>
    <t xml:space="preserve">Quarterly report</t>
  </si>
  <si>
    <t xml:space="preserve">Quarterly Public Fax24 ... Fort Mill Branch QUARTYER 2.pdf</t>
  </si>
  <si>
    <t xml:space="preserve">Lake Wylie</t>
  </si>
  <si>
    <t xml:space="preserve">Main</t>
  </si>
  <si>
    <t xml:space="preserve">York</t>
  </si>
  <si>
    <t xml:space="preserve">Clover</t>
  </si>
  <si>
    <t xml:space="preserve">Q3 2025</t>
  </si>
  <si>
    <t xml:space="preserve">Quarterly Public Fax24 ... Fort Mill Branch OCT.pdf</t>
  </si>
  <si>
    <t xml:space="preserve">Monthly email (file 'AUG') has identical figures; not counted again</t>
  </si>
  <si>
    <t xml:space="preserve">Monthly email (file '...Main Bran 2') has identical figures; not counted again</t>
  </si>
  <si>
    <t xml:space="preserve">Q4 2025</t>
  </si>
  <si>
    <t xml:space="preserve">Quarterly Public Fax24 ... Fort Mill Branch.pdf</t>
  </si>
  <si>
    <t xml:space="preserve">Monthly email (file 'NOV') has identical figures; not counted again</t>
  </si>
  <si>
    <t xml:space="preserve">Monthly email (file '...Main Bran.pdf') has identical figures; not counted again</t>
  </si>
  <si>
    <t xml:space="preserve">Q1 2026</t>
  </si>
  <si>
    <t xml:space="preserve">Monthly report</t>
  </si>
  <si>
    <t xml:space="preserve">FaxScan24 Monthly Activity Report — 01_01_2026 to 01_31_2026.pdf</t>
  </si>
  <si>
    <t xml:space="preserve">FaxScan24 Monthly Activity Report — 02_01_2026 to 02_28_2026.pdf</t>
  </si>
  <si>
    <t xml:space="preserve">FaxScan24 Monthly Activity Report — 03_01_2026 to 03_31_2026.pdf</t>
  </si>
  <si>
    <t xml:space="preserve">Q2 2026</t>
  </si>
  <si>
    <t xml:space="preserve">FaxScan24 Monthly Activity Report — 04_01_2026 to 04_30_2026.pdf</t>
  </si>
  <si>
    <t xml:space="preserve">FaxScan24 Monthly Activity Report — 05_01_2026 to 05_31_2026.pdf</t>
  </si>
  <si>
    <t xml:space="preserve">Derived</t>
  </si>
  <si>
    <t xml:space="preserve">FaxScan24 Activity Report — 04_01_2026 to 06_30_2026.pdf</t>
  </si>
  <si>
    <t xml:space="preserve">No June report exists; = Q2 2026 quarterly total minus April and May monthly reports</t>
  </si>
  <si>
    <t xml:space="preserve">Q3 2026</t>
  </si>
  <si>
    <t xml:space="preserve">FaxScan24 Activity Report — 07_01_2026 to 07_31_2026.pdf</t>
  </si>
  <si>
    <t xml:space="preserve">FaxScan24 Activity Report — 08_01_2026 to 08_31_2026.pdf</t>
  </si>
  <si>
    <t xml:space="preserve">FaxScan24 Activity Report — 09_01_2026 to 09_30_2026.pdf</t>
  </si>
  <si>
    <t xml:space="preserve">Total</t>
  </si>
  <si>
    <t xml:space="preserve">Quarterly totals (built from Monthly Data) checked against FaxScan24 quarterly reports</t>
  </si>
  <si>
    <t xml:space="preserve">Fax Txns</t>
  </si>
  <si>
    <t xml:space="preserve">Reported Fax Txns</t>
  </si>
  <si>
    <t xml:space="preserve">Reported Sales</t>
  </si>
  <si>
    <t xml:space="preserve">Reported Commission</t>
  </si>
  <si>
    <t xml:space="preserve">Fax Diff</t>
  </si>
  <si>
    <t xml:space="preserve">Sales Diff</t>
  </si>
  <si>
    <t xml:space="preserve">Commission Diff</t>
  </si>
  <si>
    <t xml:space="preserve">Quarterly Report</t>
  </si>
  <si>
    <t xml:space="preserve">n/a</t>
  </si>
  <si>
    <t xml:space="preserve">None received (Jan–Mar monthly reports only)</t>
  </si>
  <si>
    <t xml:space="preserve">FaxScan24 Activity Report — 07_01_2026 to 09_30_2026.pdf (duplicate of Jul–Sep monthly; check only)</t>
  </si>
  <si>
    <t xml:space="preserve">Diff columns should be zero. Q3 and Q4 2025 commissions are off by $0.01 because the vendor's own quarterly totals round differently from its monthly rows (e.g. York Q3 2025 months add to $10.85 but the report shows $10.86). Q2 2026 matches by construction because June was derived from that report.</t>
  </si>
  <si>
    <t xml:space="preserve">Fax transactions by branch and month</t>
  </si>
  <si>
    <t xml:space="preserve">Fax transactions</t>
  </si>
  <si>
    <t xml:space="preserve">Credit card sales</t>
  </si>
  <si>
    <t xml:space="preserve">How each of the 17 PDFs in the Faxing folder was used</t>
  </si>
  <si>
    <t xml:space="preserve">File (prefix 'York County Library Mail - ' omitted)</t>
  </si>
  <si>
    <t xml:space="preserve">Report Type</t>
  </si>
  <si>
    <t xml:space="preserve">Data Period</t>
  </si>
  <si>
    <t xml:space="preserve">Email Date</t>
  </si>
  <si>
    <t xml:space="preserve">How Used</t>
  </si>
  <si>
    <t xml:space="preserve">Quarterly Public Fax24 for Group York County Fort Mill Branch QUARTYER 2.pdf</t>
  </si>
  <si>
    <t xml:space="preserve">Quarterly (old format)</t>
  </si>
  <si>
    <t xml:space="preserve">Apr–Jun 2025</t>
  </si>
  <si>
    <t xml:space="preserve">2025-07-01</t>
  </si>
  <si>
    <t xml:space="preserve">Used: Apr, May, Jun 2025 rows</t>
  </si>
  <si>
    <t xml:space="preserve">Public Fax24 for Group 225 ... Main Bran AUG.pdf</t>
  </si>
  <si>
    <t xml:space="preserve">Monthly (old format)</t>
  </si>
  <si>
    <t xml:space="preserve">Jul 2025</t>
  </si>
  <si>
    <t xml:space="preserve">2025-08-01</t>
  </si>
  <si>
    <t xml:space="preserve">Duplicate of Q3 2025 quarterly (figures match); not counted</t>
  </si>
  <si>
    <t xml:space="preserve">Public Fax24 for Group 225 ... Main Bran 2.pdf</t>
  </si>
  <si>
    <t xml:space="preserve">Aug 2025</t>
  </si>
  <si>
    <t xml:space="preserve">2025-09-01</t>
  </si>
  <si>
    <t xml:space="preserve">Quarterly Public Fax24 for Group York County Fort Mill Branch OCT.pdf</t>
  </si>
  <si>
    <t xml:space="preserve">Jul–Sep 2025</t>
  </si>
  <si>
    <t xml:space="preserve">2025-10-01</t>
  </si>
  <si>
    <t xml:space="preserve">Used: Jul, Aug, Sep 2025 rows</t>
  </si>
  <si>
    <t xml:space="preserve">Public Fax24 for Group 225 ... Main Bran NOV.pdf</t>
  </si>
  <si>
    <t xml:space="preserve">Oct 2025</t>
  </si>
  <si>
    <t xml:space="preserve">2025-11-01</t>
  </si>
  <si>
    <t xml:space="preserve">Duplicate of Q4 2025 quarterly (figures match); not counted</t>
  </si>
  <si>
    <t xml:space="preserve">Public Fax24 for Group 225 ... Main Bran.pdf</t>
  </si>
  <si>
    <t xml:space="preserve">Nov 2025</t>
  </si>
  <si>
    <t xml:space="preserve">2025-12-01</t>
  </si>
  <si>
    <t xml:space="preserve">Quarterly Public Fax24 for Group York County Fort Mill Branch.pdf</t>
  </si>
  <si>
    <t xml:space="preserve">Oct–Dec 2025</t>
  </si>
  <si>
    <t xml:space="preserve">2026-01-01</t>
  </si>
  <si>
    <t xml:space="preserve">Used: Oct, Nov, Dec 2025 rows</t>
  </si>
  <si>
    <t xml:space="preserve">FaxScan24 Monthly Activity Report — 01_01_2026 to 01_31_2026 (Group 225).pdf</t>
  </si>
  <si>
    <t xml:space="preserve">Monthly (new format)</t>
  </si>
  <si>
    <t xml:space="preserve">Jan 2026</t>
  </si>
  <si>
    <t xml:space="preserve">2026-02-03</t>
  </si>
  <si>
    <t xml:space="preserve">Used: Jan 2026 rows</t>
  </si>
  <si>
    <t xml:space="preserve">FaxScan24 Monthly Activity Report — 02_01_2026 to 02_28_2026 (Group 225).pdf</t>
  </si>
  <si>
    <t xml:space="preserve">Feb 2026</t>
  </si>
  <si>
    <t xml:space="preserve">2026-03-02</t>
  </si>
  <si>
    <t xml:space="preserve">Used: Feb 2026 rows</t>
  </si>
  <si>
    <t xml:space="preserve">FaxScan24 Monthly Activity Report — 03_01_2026 to 03_31_2026 (Group 225).pdf</t>
  </si>
  <si>
    <t xml:space="preserve">Mar 2026</t>
  </si>
  <si>
    <t xml:space="preserve">2026-04-02</t>
  </si>
  <si>
    <t xml:space="preserve">Used: Mar 2026 rows</t>
  </si>
  <si>
    <t xml:space="preserve">FaxScan24 Monthly Activity Report — 04_01_2026 to 04_30_2026 (Group 225).pdf</t>
  </si>
  <si>
    <t xml:space="preserve">Apr 2026</t>
  </si>
  <si>
    <t xml:space="preserve">2026-05-04</t>
  </si>
  <si>
    <t xml:space="preserve">Used: Apr 2026 rows</t>
  </si>
  <si>
    <t xml:space="preserve">FaxScan24 Monthly Activity Report — 05_01_2026 to 05_31_2026 (Group 225).pdf</t>
  </si>
  <si>
    <t xml:space="preserve">May 2026</t>
  </si>
  <si>
    <t xml:space="preserve">2026-06-03</t>
  </si>
  <si>
    <t xml:space="preserve">Used: May 2026 rows</t>
  </si>
  <si>
    <t xml:space="preserve">FaxScan24 Activity Report — 04_01_2026 to 06_30_2026 (Group 225).pdf</t>
  </si>
  <si>
    <t xml:space="preserve">Quarterly (new format)</t>
  </si>
  <si>
    <t xml:space="preserve">Apr–Jun 2026</t>
  </si>
  <si>
    <t xml:space="preserve">2026-07-02</t>
  </si>
  <si>
    <t xml:space="preserve">Used only to derive Jun 2026 (no June monthly report exists)</t>
  </si>
  <si>
    <t xml:space="preserve">FaxScan24 Activity Report — 07_01_2026 to 07_31_2026 (Group 225).pdf</t>
  </si>
  <si>
    <t xml:space="preserve">Jul 2026</t>
  </si>
  <si>
    <t xml:space="preserve">2026-08-03</t>
  </si>
  <si>
    <t xml:space="preserve">Used: Jul 2026 rows</t>
  </si>
  <si>
    <t xml:space="preserve">FaxScan24 Activity Report — 08_01_2026 to 08_31_2026 (Group 225).pdf</t>
  </si>
  <si>
    <t xml:space="preserve">Aug 2026</t>
  </si>
  <si>
    <t xml:space="preserve">2026-09-04</t>
  </si>
  <si>
    <t xml:space="preserve">Used: Aug 2026 rows</t>
  </si>
  <si>
    <t xml:space="preserve">FaxScan24 Activity Report — 09_01_2026 to 09_30_2026 (Group 225).pdf</t>
  </si>
  <si>
    <t xml:space="preserve">Sep 2026</t>
  </si>
  <si>
    <t xml:space="preserve">2026-10-02</t>
  </si>
  <si>
    <t xml:space="preserve">Used: Sep 2026 rows</t>
  </si>
  <si>
    <t xml:space="preserve">FaxScan24 Activity Report — 07_01_2026 to 09_30_2026 (Group 225).pdf</t>
  </si>
  <si>
    <t xml:space="preserve">Jul–Sep 2026</t>
  </si>
  <si>
    <t xml:space="preserve">2026-10-05</t>
  </si>
  <si>
    <t xml:space="preserve">Duplicate of Jul–Sep 2026 monthly reports; used only as a check</t>
  </si>
  <si>
    <t xml:space="preserve">Note: old-format monthly file names (AUG, NOV, 2) refer to the month the email arrived, not the month of the data.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</si>
</sst>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 yyyy"/>
    <numFmt numFmtId="166" formatCode="#,##0;\(#,##0\);\-"/>
    <numFmt numFmtId="167" formatCode="\$#,##0.00;&quot;($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0"/>
    <col collapsed="false" customWidth="true" hidden="false" outlineLevel="0" max="3" min="3" style="1" width="8"/>
    <col collapsed="false" customWidth="true" hidden="false" outlineLevel="0" max="5" min="4" style="1" width="12"/>
    <col collapsed="false" customWidth="true" hidden="false" outlineLevel="0" max="7" min="6" style="1" width="13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62"/>
    <col collapsed="false" customWidth="true" hidden="false" outlineLevel="0" max="11" min="11" style="1" width="7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51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15" hidden="false" customHeight="true" outlineLevel="0" collapsed="false">
      <c r="A5" s="5" t="n">
        <v>45748</v>
      </c>
      <c r="B5" s="6" t="s">
        <v>13</v>
      </c>
      <c r="C5" s="6" t="n">
        <v>1080</v>
      </c>
      <c r="D5" s="6" t="s">
        <v>14</v>
      </c>
      <c r="E5" s="7" t="n">
        <v>0</v>
      </c>
      <c r="F5" s="7" t="n">
        <v>9</v>
      </c>
      <c r="G5" s="8" t="n">
        <v>38.2</v>
      </c>
      <c r="H5" s="8" t="n">
        <v>0</v>
      </c>
      <c r="I5" s="6" t="s">
        <v>15</v>
      </c>
      <c r="J5" s="6" t="s">
        <v>16</v>
      </c>
      <c r="K5" s="6"/>
    </row>
    <row r="6" customFormat="false" ht="15" hidden="false" customHeight="true" outlineLevel="0" collapsed="false">
      <c r="A6" s="5" t="n">
        <v>45748</v>
      </c>
      <c r="B6" s="6" t="s">
        <v>13</v>
      </c>
      <c r="C6" s="6" t="n">
        <v>1081</v>
      </c>
      <c r="D6" s="6" t="s">
        <v>17</v>
      </c>
      <c r="E6" s="7" t="n">
        <v>0</v>
      </c>
      <c r="F6" s="7" t="n">
        <v>3</v>
      </c>
      <c r="G6" s="8" t="n">
        <v>24.32</v>
      </c>
      <c r="H6" s="8" t="n">
        <v>0</v>
      </c>
      <c r="I6" s="6" t="s">
        <v>15</v>
      </c>
      <c r="J6" s="6" t="s">
        <v>16</v>
      </c>
      <c r="K6" s="6"/>
    </row>
    <row r="7" customFormat="false" ht="15" hidden="false" customHeight="true" outlineLevel="0" collapsed="false">
      <c r="A7" s="5" t="n">
        <v>45748</v>
      </c>
      <c r="B7" s="6" t="s">
        <v>13</v>
      </c>
      <c r="C7" s="6" t="n">
        <v>1082</v>
      </c>
      <c r="D7" s="6" t="s">
        <v>18</v>
      </c>
      <c r="E7" s="7" t="n">
        <v>0</v>
      </c>
      <c r="F7" s="7" t="n">
        <v>30</v>
      </c>
      <c r="G7" s="8" t="n">
        <v>176.3</v>
      </c>
      <c r="H7" s="8" t="n">
        <v>17.76</v>
      </c>
      <c r="I7" s="6" t="s">
        <v>15</v>
      </c>
      <c r="J7" s="6" t="s">
        <v>16</v>
      </c>
      <c r="K7" s="6"/>
    </row>
    <row r="8" customFormat="false" ht="15" hidden="false" customHeight="true" outlineLevel="0" collapsed="false">
      <c r="A8" s="5" t="n">
        <v>45748</v>
      </c>
      <c r="B8" s="6" t="s">
        <v>13</v>
      </c>
      <c r="C8" s="6" t="n">
        <v>1084</v>
      </c>
      <c r="D8" s="6" t="s">
        <v>19</v>
      </c>
      <c r="E8" s="7" t="n">
        <v>0</v>
      </c>
      <c r="F8" s="7" t="n">
        <v>24</v>
      </c>
      <c r="G8" s="8" t="n">
        <v>177.73</v>
      </c>
      <c r="H8" s="8" t="n">
        <v>18.05</v>
      </c>
      <c r="I8" s="6" t="s">
        <v>15</v>
      </c>
      <c r="J8" s="6" t="s">
        <v>16</v>
      </c>
      <c r="K8" s="6"/>
    </row>
    <row r="9" customFormat="false" ht="15" hidden="false" customHeight="true" outlineLevel="0" collapsed="false">
      <c r="A9" s="5" t="n">
        <v>45748</v>
      </c>
      <c r="B9" s="6" t="s">
        <v>13</v>
      </c>
      <c r="C9" s="6" t="n">
        <v>1085</v>
      </c>
      <c r="D9" s="6" t="s">
        <v>20</v>
      </c>
      <c r="E9" s="7" t="n">
        <v>0</v>
      </c>
      <c r="F9" s="7" t="n">
        <v>11</v>
      </c>
      <c r="G9" s="8" t="n">
        <v>70.77</v>
      </c>
      <c r="H9" s="8" t="n">
        <v>1.04</v>
      </c>
      <c r="I9" s="6" t="s">
        <v>15</v>
      </c>
      <c r="J9" s="6" t="s">
        <v>16</v>
      </c>
      <c r="K9" s="6"/>
    </row>
    <row r="10" customFormat="false" ht="15" hidden="false" customHeight="true" outlineLevel="0" collapsed="false">
      <c r="A10" s="5" t="n">
        <v>45778</v>
      </c>
      <c r="B10" s="6" t="s">
        <v>13</v>
      </c>
      <c r="C10" s="6" t="n">
        <v>1080</v>
      </c>
      <c r="D10" s="6" t="s">
        <v>14</v>
      </c>
      <c r="E10" s="7" t="n">
        <v>0</v>
      </c>
      <c r="F10" s="7" t="n">
        <v>3</v>
      </c>
      <c r="G10" s="8" t="n">
        <v>5.94</v>
      </c>
      <c r="H10" s="8" t="n">
        <v>0</v>
      </c>
      <c r="I10" s="6" t="s">
        <v>15</v>
      </c>
      <c r="J10" s="6" t="s">
        <v>16</v>
      </c>
      <c r="K10" s="6"/>
    </row>
    <row r="11" customFormat="false" ht="15" hidden="false" customHeight="true" outlineLevel="0" collapsed="false">
      <c r="A11" s="5" t="n">
        <v>45778</v>
      </c>
      <c r="B11" s="6" t="s">
        <v>13</v>
      </c>
      <c r="C11" s="6" t="n">
        <v>1081</v>
      </c>
      <c r="D11" s="6" t="s">
        <v>17</v>
      </c>
      <c r="E11" s="7" t="n">
        <v>0</v>
      </c>
      <c r="F11" s="7" t="n">
        <v>5</v>
      </c>
      <c r="G11" s="8" t="n">
        <v>19.82</v>
      </c>
      <c r="H11" s="8" t="n">
        <v>0</v>
      </c>
      <c r="I11" s="6" t="s">
        <v>15</v>
      </c>
      <c r="J11" s="6" t="s">
        <v>16</v>
      </c>
      <c r="K11" s="6"/>
    </row>
    <row r="12" customFormat="false" ht="15" hidden="false" customHeight="true" outlineLevel="0" collapsed="false">
      <c r="A12" s="5" t="n">
        <v>45778</v>
      </c>
      <c r="B12" s="6" t="s">
        <v>13</v>
      </c>
      <c r="C12" s="6" t="n">
        <v>1082</v>
      </c>
      <c r="D12" s="6" t="s">
        <v>18</v>
      </c>
      <c r="E12" s="7" t="n">
        <v>0</v>
      </c>
      <c r="F12" s="7" t="n">
        <v>14</v>
      </c>
      <c r="G12" s="8" t="n">
        <v>71.09</v>
      </c>
      <c r="H12" s="8" t="n">
        <v>1.05</v>
      </c>
      <c r="I12" s="6" t="s">
        <v>15</v>
      </c>
      <c r="J12" s="6" t="s">
        <v>16</v>
      </c>
      <c r="K12" s="6"/>
    </row>
    <row r="13" customFormat="false" ht="15" hidden="false" customHeight="true" outlineLevel="0" collapsed="false">
      <c r="A13" s="5" t="n">
        <v>45778</v>
      </c>
      <c r="B13" s="6" t="s">
        <v>13</v>
      </c>
      <c r="C13" s="6" t="n">
        <v>1084</v>
      </c>
      <c r="D13" s="6" t="s">
        <v>19</v>
      </c>
      <c r="E13" s="7" t="n">
        <v>0</v>
      </c>
      <c r="F13" s="7" t="n">
        <v>16</v>
      </c>
      <c r="G13" s="8" t="n">
        <v>53.21</v>
      </c>
      <c r="H13" s="8" t="n">
        <v>0.16</v>
      </c>
      <c r="I13" s="6" t="s">
        <v>15</v>
      </c>
      <c r="J13" s="6" t="s">
        <v>16</v>
      </c>
      <c r="K13" s="6"/>
    </row>
    <row r="14" customFormat="false" ht="15" hidden="false" customHeight="true" outlineLevel="0" collapsed="false">
      <c r="A14" s="5" t="n">
        <v>45778</v>
      </c>
      <c r="B14" s="6" t="s">
        <v>13</v>
      </c>
      <c r="C14" s="6" t="n">
        <v>1085</v>
      </c>
      <c r="D14" s="6" t="s">
        <v>20</v>
      </c>
      <c r="E14" s="7" t="n">
        <v>0</v>
      </c>
      <c r="F14" s="7" t="n">
        <v>12</v>
      </c>
      <c r="G14" s="8" t="n">
        <v>44.45</v>
      </c>
      <c r="H14" s="8" t="n">
        <v>0</v>
      </c>
      <c r="I14" s="6" t="s">
        <v>15</v>
      </c>
      <c r="J14" s="6" t="s">
        <v>16</v>
      </c>
      <c r="K14" s="6"/>
    </row>
    <row r="15" customFormat="false" ht="15" hidden="false" customHeight="true" outlineLevel="0" collapsed="false">
      <c r="A15" s="5" t="n">
        <v>45809</v>
      </c>
      <c r="B15" s="6" t="s">
        <v>13</v>
      </c>
      <c r="C15" s="6" t="n">
        <v>1080</v>
      </c>
      <c r="D15" s="6" t="s">
        <v>14</v>
      </c>
      <c r="E15" s="7" t="n">
        <v>0</v>
      </c>
      <c r="F15" s="7" t="n">
        <v>11</v>
      </c>
      <c r="G15" s="8" t="n">
        <v>57.39</v>
      </c>
      <c r="H15" s="8" t="n">
        <v>0.37</v>
      </c>
      <c r="I15" s="6" t="s">
        <v>15</v>
      </c>
      <c r="J15" s="6" t="s">
        <v>16</v>
      </c>
      <c r="K15" s="6"/>
    </row>
    <row r="16" customFormat="false" ht="15" hidden="false" customHeight="true" outlineLevel="0" collapsed="false">
      <c r="A16" s="5" t="n">
        <v>45809</v>
      </c>
      <c r="B16" s="6" t="s">
        <v>13</v>
      </c>
      <c r="C16" s="6" t="n">
        <v>1081</v>
      </c>
      <c r="D16" s="6" t="s">
        <v>17</v>
      </c>
      <c r="E16" s="7" t="n">
        <v>0</v>
      </c>
      <c r="F16" s="7" t="n">
        <v>11</v>
      </c>
      <c r="G16" s="8" t="n">
        <v>104.84</v>
      </c>
      <c r="H16" s="8" t="n">
        <v>3.47</v>
      </c>
      <c r="I16" s="6" t="s">
        <v>15</v>
      </c>
      <c r="J16" s="6" t="s">
        <v>16</v>
      </c>
      <c r="K16" s="6"/>
    </row>
    <row r="17" customFormat="false" ht="15" hidden="false" customHeight="true" outlineLevel="0" collapsed="false">
      <c r="A17" s="5" t="n">
        <v>45809</v>
      </c>
      <c r="B17" s="6" t="s">
        <v>13</v>
      </c>
      <c r="C17" s="6" t="n">
        <v>1082</v>
      </c>
      <c r="D17" s="6" t="s">
        <v>18</v>
      </c>
      <c r="E17" s="7" t="n">
        <v>0</v>
      </c>
      <c r="F17" s="7" t="n">
        <v>18</v>
      </c>
      <c r="G17" s="8" t="n">
        <v>77.16</v>
      </c>
      <c r="H17" s="8" t="n">
        <v>1.36</v>
      </c>
      <c r="I17" s="6" t="s">
        <v>15</v>
      </c>
      <c r="J17" s="6" t="s">
        <v>16</v>
      </c>
      <c r="K17" s="6"/>
    </row>
    <row r="18" customFormat="false" ht="15" hidden="false" customHeight="true" outlineLevel="0" collapsed="false">
      <c r="A18" s="5" t="n">
        <v>45809</v>
      </c>
      <c r="B18" s="6" t="s">
        <v>13</v>
      </c>
      <c r="C18" s="6" t="n">
        <v>1084</v>
      </c>
      <c r="D18" s="6" t="s">
        <v>19</v>
      </c>
      <c r="E18" s="7" t="n">
        <v>0</v>
      </c>
      <c r="F18" s="7" t="n">
        <v>19</v>
      </c>
      <c r="G18" s="8" t="n">
        <v>130.6</v>
      </c>
      <c r="H18" s="8" t="n">
        <v>8.62</v>
      </c>
      <c r="I18" s="6" t="s">
        <v>15</v>
      </c>
      <c r="J18" s="6" t="s">
        <v>16</v>
      </c>
      <c r="K18" s="6"/>
    </row>
    <row r="19" customFormat="false" ht="15" hidden="false" customHeight="true" outlineLevel="0" collapsed="false">
      <c r="A19" s="5" t="n">
        <v>45809</v>
      </c>
      <c r="B19" s="6" t="s">
        <v>13</v>
      </c>
      <c r="C19" s="6" t="n">
        <v>1085</v>
      </c>
      <c r="D19" s="6" t="s">
        <v>20</v>
      </c>
      <c r="E19" s="7" t="n">
        <v>0</v>
      </c>
      <c r="F19" s="7" t="n">
        <v>14</v>
      </c>
      <c r="G19" s="8" t="n">
        <v>66.02</v>
      </c>
      <c r="H19" s="8" t="n">
        <v>0.8</v>
      </c>
      <c r="I19" s="6" t="s">
        <v>15</v>
      </c>
      <c r="J19" s="6" t="s">
        <v>16</v>
      </c>
      <c r="K19" s="6"/>
    </row>
    <row r="20" customFormat="false" ht="15" hidden="false" customHeight="true" outlineLevel="0" collapsed="false">
      <c r="A20" s="5" t="n">
        <v>45839</v>
      </c>
      <c r="B20" s="6" t="s">
        <v>21</v>
      </c>
      <c r="C20" s="6" t="n">
        <v>1080</v>
      </c>
      <c r="D20" s="6" t="s">
        <v>14</v>
      </c>
      <c r="E20" s="7" t="n">
        <v>0</v>
      </c>
      <c r="F20" s="7" t="n">
        <v>7</v>
      </c>
      <c r="G20" s="8" t="n">
        <v>26.32</v>
      </c>
      <c r="H20" s="8" t="n">
        <v>0</v>
      </c>
      <c r="I20" s="6" t="s">
        <v>15</v>
      </c>
      <c r="J20" s="6" t="s">
        <v>22</v>
      </c>
      <c r="K20" s="6" t="s">
        <v>23</v>
      </c>
    </row>
    <row r="21" customFormat="false" ht="15" hidden="false" customHeight="true" outlineLevel="0" collapsed="false">
      <c r="A21" s="5" t="n">
        <v>45839</v>
      </c>
      <c r="B21" s="6" t="s">
        <v>21</v>
      </c>
      <c r="C21" s="6" t="n">
        <v>1081</v>
      </c>
      <c r="D21" s="6" t="s">
        <v>17</v>
      </c>
      <c r="E21" s="7" t="n">
        <v>0</v>
      </c>
      <c r="F21" s="7" t="n">
        <v>3</v>
      </c>
      <c r="G21" s="8" t="n">
        <v>14.32</v>
      </c>
      <c r="H21" s="8" t="n">
        <v>0</v>
      </c>
      <c r="I21" s="6" t="s">
        <v>15</v>
      </c>
      <c r="J21" s="6" t="s">
        <v>22</v>
      </c>
      <c r="K21" s="6" t="s">
        <v>23</v>
      </c>
    </row>
    <row r="22" customFormat="false" ht="15" hidden="false" customHeight="true" outlineLevel="0" collapsed="false">
      <c r="A22" s="5" t="n">
        <v>45839</v>
      </c>
      <c r="B22" s="6" t="s">
        <v>21</v>
      </c>
      <c r="C22" s="6" t="n">
        <v>1082</v>
      </c>
      <c r="D22" s="6" t="s">
        <v>18</v>
      </c>
      <c r="E22" s="7" t="n">
        <v>0</v>
      </c>
      <c r="F22" s="7" t="n">
        <v>22</v>
      </c>
      <c r="G22" s="8" t="n">
        <v>91.85</v>
      </c>
      <c r="H22" s="8" t="n">
        <v>2.09</v>
      </c>
      <c r="I22" s="6" t="s">
        <v>15</v>
      </c>
      <c r="J22" s="6" t="s">
        <v>22</v>
      </c>
      <c r="K22" s="6" t="s">
        <v>23</v>
      </c>
    </row>
    <row r="23" customFormat="false" ht="15" hidden="false" customHeight="true" outlineLevel="0" collapsed="false">
      <c r="A23" s="5" t="n">
        <v>45839</v>
      </c>
      <c r="B23" s="6" t="s">
        <v>21</v>
      </c>
      <c r="C23" s="6" t="n">
        <v>1084</v>
      </c>
      <c r="D23" s="6" t="s">
        <v>19</v>
      </c>
      <c r="E23" s="7" t="n">
        <v>0</v>
      </c>
      <c r="F23" s="7" t="n">
        <v>15</v>
      </c>
      <c r="G23" s="8" t="n">
        <v>60.84</v>
      </c>
      <c r="H23" s="8" t="n">
        <v>0.54</v>
      </c>
      <c r="I23" s="6" t="s">
        <v>15</v>
      </c>
      <c r="J23" s="6" t="s">
        <v>22</v>
      </c>
      <c r="K23" s="6" t="s">
        <v>23</v>
      </c>
    </row>
    <row r="24" customFormat="false" ht="15" hidden="false" customHeight="true" outlineLevel="0" collapsed="false">
      <c r="A24" s="5" t="n">
        <v>45839</v>
      </c>
      <c r="B24" s="6" t="s">
        <v>21</v>
      </c>
      <c r="C24" s="6" t="n">
        <v>1085</v>
      </c>
      <c r="D24" s="6" t="s">
        <v>20</v>
      </c>
      <c r="E24" s="7" t="n">
        <v>0</v>
      </c>
      <c r="F24" s="7" t="n">
        <v>17</v>
      </c>
      <c r="G24" s="8" t="n">
        <v>92.65</v>
      </c>
      <c r="H24" s="8" t="n">
        <v>2.13</v>
      </c>
      <c r="I24" s="6" t="s">
        <v>15</v>
      </c>
      <c r="J24" s="6" t="s">
        <v>22</v>
      </c>
      <c r="K24" s="6" t="s">
        <v>23</v>
      </c>
    </row>
    <row r="25" customFormat="false" ht="15" hidden="false" customHeight="true" outlineLevel="0" collapsed="false">
      <c r="A25" s="5" t="n">
        <v>45870</v>
      </c>
      <c r="B25" s="6" t="s">
        <v>21</v>
      </c>
      <c r="C25" s="6" t="n">
        <v>1080</v>
      </c>
      <c r="D25" s="6" t="s">
        <v>14</v>
      </c>
      <c r="E25" s="7" t="n">
        <v>0</v>
      </c>
      <c r="F25" s="7" t="n">
        <v>13</v>
      </c>
      <c r="G25" s="8" t="n">
        <v>51.96</v>
      </c>
      <c r="H25" s="8" t="n">
        <v>0.1</v>
      </c>
      <c r="I25" s="6" t="s">
        <v>15</v>
      </c>
      <c r="J25" s="6" t="s">
        <v>22</v>
      </c>
      <c r="K25" s="6" t="s">
        <v>24</v>
      </c>
    </row>
    <row r="26" customFormat="false" ht="15" hidden="false" customHeight="true" outlineLevel="0" collapsed="false">
      <c r="A26" s="5" t="n">
        <v>45870</v>
      </c>
      <c r="B26" s="6" t="s">
        <v>21</v>
      </c>
      <c r="C26" s="6" t="n">
        <v>1081</v>
      </c>
      <c r="D26" s="6" t="s">
        <v>17</v>
      </c>
      <c r="E26" s="7" t="n">
        <v>0</v>
      </c>
      <c r="F26" s="7" t="n">
        <v>3</v>
      </c>
      <c r="G26" s="8" t="n">
        <v>11.63</v>
      </c>
      <c r="H26" s="8" t="n">
        <v>0</v>
      </c>
      <c r="I26" s="6" t="s">
        <v>15</v>
      </c>
      <c r="J26" s="6" t="s">
        <v>22</v>
      </c>
      <c r="K26" s="6" t="s">
        <v>24</v>
      </c>
    </row>
    <row r="27" customFormat="false" ht="15" hidden="false" customHeight="true" outlineLevel="0" collapsed="false">
      <c r="A27" s="5" t="n">
        <v>45870</v>
      </c>
      <c r="B27" s="6" t="s">
        <v>21</v>
      </c>
      <c r="C27" s="6" t="n">
        <v>1082</v>
      </c>
      <c r="D27" s="6" t="s">
        <v>18</v>
      </c>
      <c r="E27" s="7" t="n">
        <v>0</v>
      </c>
      <c r="F27" s="7" t="n">
        <v>19</v>
      </c>
      <c r="G27" s="8" t="n">
        <v>133.29</v>
      </c>
      <c r="H27" s="8" t="n">
        <v>9.16</v>
      </c>
      <c r="I27" s="6" t="s">
        <v>15</v>
      </c>
      <c r="J27" s="6" t="s">
        <v>22</v>
      </c>
      <c r="K27" s="6" t="s">
        <v>24</v>
      </c>
    </row>
    <row r="28" customFormat="false" ht="15" hidden="false" customHeight="true" outlineLevel="0" collapsed="false">
      <c r="A28" s="5" t="n">
        <v>45870</v>
      </c>
      <c r="B28" s="6" t="s">
        <v>21</v>
      </c>
      <c r="C28" s="6" t="n">
        <v>1084</v>
      </c>
      <c r="D28" s="6" t="s">
        <v>19</v>
      </c>
      <c r="E28" s="7" t="n">
        <v>0</v>
      </c>
      <c r="F28" s="7" t="n">
        <v>18</v>
      </c>
      <c r="G28" s="8" t="n">
        <v>138.47</v>
      </c>
      <c r="H28" s="8" t="n">
        <v>10.19</v>
      </c>
      <c r="I28" s="6" t="s">
        <v>15</v>
      </c>
      <c r="J28" s="6" t="s">
        <v>22</v>
      </c>
      <c r="K28" s="6" t="s">
        <v>24</v>
      </c>
    </row>
    <row r="29" customFormat="false" ht="15" hidden="false" customHeight="true" outlineLevel="0" collapsed="false">
      <c r="A29" s="5" t="n">
        <v>45870</v>
      </c>
      <c r="B29" s="6" t="s">
        <v>21</v>
      </c>
      <c r="C29" s="6" t="n">
        <v>1085</v>
      </c>
      <c r="D29" s="6" t="s">
        <v>20</v>
      </c>
      <c r="E29" s="7" t="n">
        <v>0</v>
      </c>
      <c r="F29" s="7" t="n">
        <v>11</v>
      </c>
      <c r="G29" s="8" t="n">
        <v>54.39</v>
      </c>
      <c r="H29" s="8" t="n">
        <v>0.22</v>
      </c>
      <c r="I29" s="6" t="s">
        <v>15</v>
      </c>
      <c r="J29" s="6" t="s">
        <v>22</v>
      </c>
      <c r="K29" s="6" t="s">
        <v>24</v>
      </c>
    </row>
    <row r="30" customFormat="false" ht="15" hidden="false" customHeight="true" outlineLevel="0" collapsed="false">
      <c r="A30" s="5" t="n">
        <v>45901</v>
      </c>
      <c r="B30" s="6" t="s">
        <v>21</v>
      </c>
      <c r="C30" s="6" t="n">
        <v>1080</v>
      </c>
      <c r="D30" s="6" t="s">
        <v>14</v>
      </c>
      <c r="E30" s="7" t="n">
        <v>0</v>
      </c>
      <c r="F30" s="7" t="n">
        <v>10</v>
      </c>
      <c r="G30" s="8" t="n">
        <v>39.71</v>
      </c>
      <c r="H30" s="8" t="n">
        <v>0</v>
      </c>
      <c r="I30" s="6" t="s">
        <v>15</v>
      </c>
      <c r="J30" s="6" t="s">
        <v>22</v>
      </c>
      <c r="K30" s="6"/>
    </row>
    <row r="31" customFormat="false" ht="15" hidden="false" customHeight="true" outlineLevel="0" collapsed="false">
      <c r="A31" s="5" t="n">
        <v>45901</v>
      </c>
      <c r="B31" s="6" t="s">
        <v>21</v>
      </c>
      <c r="C31" s="6" t="n">
        <v>1081</v>
      </c>
      <c r="D31" s="6" t="s">
        <v>17</v>
      </c>
      <c r="E31" s="7" t="n">
        <v>0</v>
      </c>
      <c r="F31" s="7" t="n">
        <v>2</v>
      </c>
      <c r="G31" s="8" t="n">
        <v>5.19</v>
      </c>
      <c r="H31" s="8" t="n">
        <v>0</v>
      </c>
      <c r="I31" s="6" t="s">
        <v>15</v>
      </c>
      <c r="J31" s="6" t="s">
        <v>22</v>
      </c>
      <c r="K31" s="6"/>
    </row>
    <row r="32" customFormat="false" ht="15" hidden="false" customHeight="true" outlineLevel="0" collapsed="false">
      <c r="A32" s="5" t="n">
        <v>45901</v>
      </c>
      <c r="B32" s="6" t="s">
        <v>21</v>
      </c>
      <c r="C32" s="6" t="n">
        <v>1082</v>
      </c>
      <c r="D32" s="6" t="s">
        <v>18</v>
      </c>
      <c r="E32" s="7" t="n">
        <v>0</v>
      </c>
      <c r="F32" s="7" t="n">
        <v>18</v>
      </c>
      <c r="G32" s="8" t="n">
        <v>110.47</v>
      </c>
      <c r="H32" s="8" t="n">
        <v>4.59</v>
      </c>
      <c r="I32" s="6" t="s">
        <v>15</v>
      </c>
      <c r="J32" s="6" t="s">
        <v>22</v>
      </c>
      <c r="K32" s="6"/>
    </row>
    <row r="33" customFormat="false" ht="15" hidden="false" customHeight="true" outlineLevel="0" collapsed="false">
      <c r="A33" s="5" t="n">
        <v>45901</v>
      </c>
      <c r="B33" s="6" t="s">
        <v>21</v>
      </c>
      <c r="C33" s="6" t="n">
        <v>1084</v>
      </c>
      <c r="D33" s="6" t="s">
        <v>19</v>
      </c>
      <c r="E33" s="7" t="n">
        <v>0</v>
      </c>
      <c r="F33" s="7" t="n">
        <v>14</v>
      </c>
      <c r="G33" s="8" t="n">
        <v>52.47</v>
      </c>
      <c r="H33" s="8" t="n">
        <v>0.12</v>
      </c>
      <c r="I33" s="6" t="s">
        <v>15</v>
      </c>
      <c r="J33" s="6" t="s">
        <v>22</v>
      </c>
      <c r="K33" s="6"/>
    </row>
    <row r="34" customFormat="false" ht="15" hidden="false" customHeight="true" outlineLevel="0" collapsed="false">
      <c r="A34" s="5" t="n">
        <v>45901</v>
      </c>
      <c r="B34" s="6" t="s">
        <v>21</v>
      </c>
      <c r="C34" s="6" t="n">
        <v>1085</v>
      </c>
      <c r="D34" s="6" t="s">
        <v>20</v>
      </c>
      <c r="E34" s="7" t="n">
        <v>0</v>
      </c>
      <c r="F34" s="7" t="n">
        <v>20</v>
      </c>
      <c r="G34" s="8" t="n">
        <v>97.59</v>
      </c>
      <c r="H34" s="8" t="n">
        <v>2.38</v>
      </c>
      <c r="I34" s="6" t="s">
        <v>15</v>
      </c>
      <c r="J34" s="6" t="s">
        <v>22</v>
      </c>
      <c r="K34" s="6"/>
    </row>
    <row r="35" customFormat="false" ht="15" hidden="false" customHeight="true" outlineLevel="0" collapsed="false">
      <c r="A35" s="5" t="n">
        <v>45931</v>
      </c>
      <c r="B35" s="6" t="s">
        <v>25</v>
      </c>
      <c r="C35" s="6" t="n">
        <v>1080</v>
      </c>
      <c r="D35" s="6" t="s">
        <v>14</v>
      </c>
      <c r="E35" s="7" t="n">
        <v>0</v>
      </c>
      <c r="F35" s="7" t="n">
        <v>13</v>
      </c>
      <c r="G35" s="8" t="n">
        <v>83.65</v>
      </c>
      <c r="H35" s="8" t="n">
        <v>1.68</v>
      </c>
      <c r="I35" s="6" t="s">
        <v>15</v>
      </c>
      <c r="J35" s="6" t="s">
        <v>26</v>
      </c>
      <c r="K35" s="6" t="s">
        <v>27</v>
      </c>
    </row>
    <row r="36" customFormat="false" ht="15" hidden="false" customHeight="true" outlineLevel="0" collapsed="false">
      <c r="A36" s="5" t="n">
        <v>45931</v>
      </c>
      <c r="B36" s="6" t="s">
        <v>25</v>
      </c>
      <c r="C36" s="6" t="n">
        <v>1081</v>
      </c>
      <c r="D36" s="6" t="s">
        <v>17</v>
      </c>
      <c r="E36" s="7" t="n">
        <v>0</v>
      </c>
      <c r="F36" s="7" t="n">
        <v>3</v>
      </c>
      <c r="G36" s="8" t="n">
        <v>17.63</v>
      </c>
      <c r="H36" s="8" t="n">
        <v>0</v>
      </c>
      <c r="I36" s="6" t="s">
        <v>15</v>
      </c>
      <c r="J36" s="6" t="s">
        <v>26</v>
      </c>
      <c r="K36" s="6" t="s">
        <v>27</v>
      </c>
    </row>
    <row r="37" customFormat="false" ht="15" hidden="false" customHeight="true" outlineLevel="0" collapsed="false">
      <c r="A37" s="5" t="n">
        <v>45931</v>
      </c>
      <c r="B37" s="6" t="s">
        <v>25</v>
      </c>
      <c r="C37" s="6" t="n">
        <v>1082</v>
      </c>
      <c r="D37" s="6" t="s">
        <v>18</v>
      </c>
      <c r="E37" s="7" t="n">
        <v>0</v>
      </c>
      <c r="F37" s="7" t="n">
        <v>0</v>
      </c>
      <c r="G37" s="8" t="n">
        <v>0</v>
      </c>
      <c r="H37" s="8" t="n">
        <v>0</v>
      </c>
      <c r="I37" s="6" t="s">
        <v>15</v>
      </c>
      <c r="J37" s="6" t="s">
        <v>26</v>
      </c>
      <c r="K37" s="6" t="s">
        <v>27</v>
      </c>
    </row>
    <row r="38" customFormat="false" ht="15" hidden="false" customHeight="true" outlineLevel="0" collapsed="false">
      <c r="A38" s="5" t="n">
        <v>45931</v>
      </c>
      <c r="B38" s="6" t="s">
        <v>25</v>
      </c>
      <c r="C38" s="6" t="n">
        <v>1084</v>
      </c>
      <c r="D38" s="6" t="s">
        <v>19</v>
      </c>
      <c r="E38" s="7" t="n">
        <v>0</v>
      </c>
      <c r="F38" s="7" t="n">
        <v>23</v>
      </c>
      <c r="G38" s="8" t="n">
        <v>87.98</v>
      </c>
      <c r="H38" s="8" t="n">
        <v>1.9</v>
      </c>
      <c r="I38" s="6" t="s">
        <v>15</v>
      </c>
      <c r="J38" s="6" t="s">
        <v>26</v>
      </c>
      <c r="K38" s="6" t="s">
        <v>27</v>
      </c>
    </row>
    <row r="39" customFormat="false" ht="15" hidden="false" customHeight="true" outlineLevel="0" collapsed="false">
      <c r="A39" s="5" t="n">
        <v>45931</v>
      </c>
      <c r="B39" s="6" t="s">
        <v>25</v>
      </c>
      <c r="C39" s="6" t="n">
        <v>1085</v>
      </c>
      <c r="D39" s="6" t="s">
        <v>20</v>
      </c>
      <c r="E39" s="7" t="n">
        <v>0</v>
      </c>
      <c r="F39" s="7" t="n">
        <v>7</v>
      </c>
      <c r="G39" s="8" t="n">
        <v>30.08</v>
      </c>
      <c r="H39" s="8" t="n">
        <v>0</v>
      </c>
      <c r="I39" s="6" t="s">
        <v>15</v>
      </c>
      <c r="J39" s="6" t="s">
        <v>26</v>
      </c>
      <c r="K39" s="6" t="s">
        <v>27</v>
      </c>
    </row>
    <row r="40" customFormat="false" ht="15" hidden="false" customHeight="true" outlineLevel="0" collapsed="false">
      <c r="A40" s="5" t="n">
        <v>45962</v>
      </c>
      <c r="B40" s="6" t="s">
        <v>25</v>
      </c>
      <c r="C40" s="6" t="n">
        <v>1080</v>
      </c>
      <c r="D40" s="6" t="s">
        <v>14</v>
      </c>
      <c r="E40" s="7" t="n">
        <v>0</v>
      </c>
      <c r="F40" s="7" t="n">
        <v>5</v>
      </c>
      <c r="G40" s="8" t="n">
        <v>24.51</v>
      </c>
      <c r="H40" s="8" t="n">
        <v>0</v>
      </c>
      <c r="I40" s="6" t="s">
        <v>15</v>
      </c>
      <c r="J40" s="6" t="s">
        <v>26</v>
      </c>
      <c r="K40" s="6" t="s">
        <v>28</v>
      </c>
    </row>
    <row r="41" customFormat="false" ht="15" hidden="false" customHeight="true" outlineLevel="0" collapsed="false">
      <c r="A41" s="5" t="n">
        <v>45962</v>
      </c>
      <c r="B41" s="6" t="s">
        <v>25</v>
      </c>
      <c r="C41" s="6" t="n">
        <v>1081</v>
      </c>
      <c r="D41" s="6" t="s">
        <v>17</v>
      </c>
      <c r="E41" s="7" t="n">
        <v>0</v>
      </c>
      <c r="F41" s="7" t="n">
        <v>1</v>
      </c>
      <c r="G41" s="8" t="n">
        <v>2.44</v>
      </c>
      <c r="H41" s="8" t="n">
        <v>0</v>
      </c>
      <c r="I41" s="6" t="s">
        <v>15</v>
      </c>
      <c r="J41" s="6" t="s">
        <v>26</v>
      </c>
      <c r="K41" s="6" t="s">
        <v>28</v>
      </c>
    </row>
    <row r="42" customFormat="false" ht="15" hidden="false" customHeight="true" outlineLevel="0" collapsed="false">
      <c r="A42" s="5" t="n">
        <v>45962</v>
      </c>
      <c r="B42" s="6" t="s">
        <v>25</v>
      </c>
      <c r="C42" s="6" t="n">
        <v>1082</v>
      </c>
      <c r="D42" s="6" t="s">
        <v>18</v>
      </c>
      <c r="E42" s="7" t="n">
        <v>0</v>
      </c>
      <c r="F42" s="7" t="n">
        <v>0</v>
      </c>
      <c r="G42" s="8" t="n">
        <v>0</v>
      </c>
      <c r="H42" s="8" t="n">
        <v>0</v>
      </c>
      <c r="I42" s="6" t="s">
        <v>15</v>
      </c>
      <c r="J42" s="6" t="s">
        <v>26</v>
      </c>
      <c r="K42" s="6" t="s">
        <v>28</v>
      </c>
    </row>
    <row r="43" customFormat="false" ht="15" hidden="false" customHeight="true" outlineLevel="0" collapsed="false">
      <c r="A43" s="5" t="n">
        <v>45962</v>
      </c>
      <c r="B43" s="6" t="s">
        <v>25</v>
      </c>
      <c r="C43" s="6" t="n">
        <v>1084</v>
      </c>
      <c r="D43" s="6" t="s">
        <v>19</v>
      </c>
      <c r="E43" s="7" t="n">
        <v>0</v>
      </c>
      <c r="F43" s="7" t="n">
        <v>18</v>
      </c>
      <c r="G43" s="8" t="n">
        <v>95.09</v>
      </c>
      <c r="H43" s="8" t="n">
        <v>2.25</v>
      </c>
      <c r="I43" s="6" t="s">
        <v>15</v>
      </c>
      <c r="J43" s="6" t="s">
        <v>26</v>
      </c>
      <c r="K43" s="6" t="s">
        <v>28</v>
      </c>
    </row>
    <row r="44" customFormat="false" ht="15" hidden="false" customHeight="true" outlineLevel="0" collapsed="false">
      <c r="A44" s="5" t="n">
        <v>45962</v>
      </c>
      <c r="B44" s="6" t="s">
        <v>25</v>
      </c>
      <c r="C44" s="6" t="n">
        <v>1085</v>
      </c>
      <c r="D44" s="6" t="s">
        <v>20</v>
      </c>
      <c r="E44" s="7" t="n">
        <v>0</v>
      </c>
      <c r="F44" s="7" t="n">
        <v>10</v>
      </c>
      <c r="G44" s="8" t="n">
        <v>44.71</v>
      </c>
      <c r="H44" s="8" t="n">
        <v>0</v>
      </c>
      <c r="I44" s="6" t="s">
        <v>15</v>
      </c>
      <c r="J44" s="6" t="s">
        <v>26</v>
      </c>
      <c r="K44" s="6" t="s">
        <v>28</v>
      </c>
    </row>
    <row r="45" customFormat="false" ht="15" hidden="false" customHeight="true" outlineLevel="0" collapsed="false">
      <c r="A45" s="5" t="n">
        <v>45992</v>
      </c>
      <c r="B45" s="6" t="s">
        <v>25</v>
      </c>
      <c r="C45" s="6" t="n">
        <v>1080</v>
      </c>
      <c r="D45" s="6" t="s">
        <v>14</v>
      </c>
      <c r="E45" s="7" t="n">
        <v>0</v>
      </c>
      <c r="F45" s="7" t="n">
        <v>13</v>
      </c>
      <c r="G45" s="8" t="n">
        <v>91.65</v>
      </c>
      <c r="H45" s="8" t="n">
        <v>2.08</v>
      </c>
      <c r="I45" s="6" t="s">
        <v>15</v>
      </c>
      <c r="J45" s="6" t="s">
        <v>26</v>
      </c>
      <c r="K45" s="6"/>
    </row>
    <row r="46" customFormat="false" ht="15" hidden="false" customHeight="true" outlineLevel="0" collapsed="false">
      <c r="A46" s="5" t="n">
        <v>45992</v>
      </c>
      <c r="B46" s="6" t="s">
        <v>25</v>
      </c>
      <c r="C46" s="6" t="n">
        <v>1081</v>
      </c>
      <c r="D46" s="6" t="s">
        <v>17</v>
      </c>
      <c r="E46" s="7" t="n">
        <v>0</v>
      </c>
      <c r="F46" s="7" t="n">
        <v>1</v>
      </c>
      <c r="G46" s="8" t="n">
        <v>13.44</v>
      </c>
      <c r="H46" s="8" t="n">
        <v>0</v>
      </c>
      <c r="I46" s="6" t="s">
        <v>15</v>
      </c>
      <c r="J46" s="6" t="s">
        <v>26</v>
      </c>
      <c r="K46" s="6"/>
    </row>
    <row r="47" customFormat="false" ht="15" hidden="false" customHeight="true" outlineLevel="0" collapsed="false">
      <c r="A47" s="5" t="n">
        <v>45992</v>
      </c>
      <c r="B47" s="6" t="s">
        <v>25</v>
      </c>
      <c r="C47" s="6" t="n">
        <v>1082</v>
      </c>
      <c r="D47" s="6" t="s">
        <v>18</v>
      </c>
      <c r="E47" s="7" t="n">
        <v>0</v>
      </c>
      <c r="F47" s="7" t="n">
        <v>0</v>
      </c>
      <c r="G47" s="8" t="n">
        <v>0</v>
      </c>
      <c r="H47" s="8" t="n">
        <v>0</v>
      </c>
      <c r="I47" s="6" t="s">
        <v>15</v>
      </c>
      <c r="J47" s="6" t="s">
        <v>26</v>
      </c>
      <c r="K47" s="6"/>
    </row>
    <row r="48" customFormat="false" ht="15" hidden="false" customHeight="true" outlineLevel="0" collapsed="false">
      <c r="A48" s="5" t="n">
        <v>45992</v>
      </c>
      <c r="B48" s="6" t="s">
        <v>25</v>
      </c>
      <c r="C48" s="6" t="n">
        <v>1084</v>
      </c>
      <c r="D48" s="6" t="s">
        <v>19</v>
      </c>
      <c r="E48" s="7" t="n">
        <v>0</v>
      </c>
      <c r="F48" s="7" t="n">
        <v>14</v>
      </c>
      <c r="G48" s="8" t="n">
        <v>88.4</v>
      </c>
      <c r="H48" s="8" t="n">
        <v>1.92</v>
      </c>
      <c r="I48" s="6" t="s">
        <v>15</v>
      </c>
      <c r="J48" s="6" t="s">
        <v>26</v>
      </c>
      <c r="K48" s="6"/>
    </row>
    <row r="49" customFormat="false" ht="15" hidden="false" customHeight="true" outlineLevel="0" collapsed="false">
      <c r="A49" s="5" t="n">
        <v>45992</v>
      </c>
      <c r="B49" s="6" t="s">
        <v>25</v>
      </c>
      <c r="C49" s="6" t="n">
        <v>1085</v>
      </c>
      <c r="D49" s="6" t="s">
        <v>20</v>
      </c>
      <c r="E49" s="7" t="n">
        <v>0</v>
      </c>
      <c r="F49" s="7" t="n">
        <v>18</v>
      </c>
      <c r="G49" s="8" t="n">
        <v>89.54</v>
      </c>
      <c r="H49" s="8" t="n">
        <v>1.98</v>
      </c>
      <c r="I49" s="6" t="s">
        <v>15</v>
      </c>
      <c r="J49" s="6" t="s">
        <v>26</v>
      </c>
      <c r="K49" s="6"/>
    </row>
    <row r="50" customFormat="false" ht="15" hidden="false" customHeight="true" outlineLevel="0" collapsed="false">
      <c r="A50" s="5" t="n">
        <v>46023</v>
      </c>
      <c r="B50" s="6" t="s">
        <v>29</v>
      </c>
      <c r="C50" s="6" t="n">
        <v>1080</v>
      </c>
      <c r="D50" s="6" t="s">
        <v>14</v>
      </c>
      <c r="E50" s="7" t="n">
        <v>0</v>
      </c>
      <c r="F50" s="7" t="n">
        <v>11</v>
      </c>
      <c r="G50" s="8" t="n">
        <v>55.77</v>
      </c>
      <c r="H50" s="8" t="n">
        <v>0.22</v>
      </c>
      <c r="I50" s="6" t="s">
        <v>30</v>
      </c>
      <c r="J50" s="6" t="s">
        <v>31</v>
      </c>
      <c r="K50" s="6"/>
    </row>
    <row r="51" customFormat="false" ht="15" hidden="false" customHeight="true" outlineLevel="0" collapsed="false">
      <c r="A51" s="5" t="n">
        <v>46023</v>
      </c>
      <c r="B51" s="6" t="s">
        <v>29</v>
      </c>
      <c r="C51" s="6" t="n">
        <v>1081</v>
      </c>
      <c r="D51" s="6" t="s">
        <v>17</v>
      </c>
      <c r="E51" s="7" t="n">
        <v>0</v>
      </c>
      <c r="F51" s="7" t="n">
        <v>5</v>
      </c>
      <c r="G51" s="8" t="n">
        <v>45.82</v>
      </c>
      <c r="H51" s="8" t="n">
        <v>0</v>
      </c>
      <c r="I51" s="6" t="s">
        <v>30</v>
      </c>
      <c r="J51" s="6" t="s">
        <v>31</v>
      </c>
      <c r="K51" s="6"/>
    </row>
    <row r="52" customFormat="false" ht="15" hidden="false" customHeight="true" outlineLevel="0" collapsed="false">
      <c r="A52" s="5" t="n">
        <v>46023</v>
      </c>
      <c r="B52" s="6" t="s">
        <v>29</v>
      </c>
      <c r="C52" s="6" t="n">
        <v>1082</v>
      </c>
      <c r="D52" s="6" t="s">
        <v>18</v>
      </c>
      <c r="E52" s="7" t="n">
        <v>0</v>
      </c>
      <c r="F52" s="7" t="n">
        <v>0</v>
      </c>
      <c r="G52" s="8" t="n">
        <v>0</v>
      </c>
      <c r="H52" s="8" t="n">
        <v>0</v>
      </c>
      <c r="I52" s="6" t="s">
        <v>30</v>
      </c>
      <c r="J52" s="6" t="s">
        <v>31</v>
      </c>
      <c r="K52" s="6"/>
    </row>
    <row r="53" customFormat="false" ht="15" hidden="false" customHeight="true" outlineLevel="0" collapsed="false">
      <c r="A53" s="5" t="n">
        <v>46023</v>
      </c>
      <c r="B53" s="6" t="s">
        <v>29</v>
      </c>
      <c r="C53" s="6" t="n">
        <v>1084</v>
      </c>
      <c r="D53" s="6" t="s">
        <v>19</v>
      </c>
      <c r="E53" s="7" t="n">
        <v>0</v>
      </c>
      <c r="F53" s="7" t="n">
        <v>17</v>
      </c>
      <c r="G53" s="8" t="n">
        <v>117.1</v>
      </c>
      <c r="H53" s="8" t="n">
        <v>4.2</v>
      </c>
      <c r="I53" s="6" t="s">
        <v>30</v>
      </c>
      <c r="J53" s="6" t="s">
        <v>31</v>
      </c>
      <c r="K53" s="6"/>
    </row>
    <row r="54" customFormat="false" ht="15" hidden="false" customHeight="true" outlineLevel="0" collapsed="false">
      <c r="A54" s="5" t="n">
        <v>46023</v>
      </c>
      <c r="B54" s="6" t="s">
        <v>29</v>
      </c>
      <c r="C54" s="6" t="n">
        <v>1085</v>
      </c>
      <c r="D54" s="6" t="s">
        <v>20</v>
      </c>
      <c r="E54" s="7" t="n">
        <v>0</v>
      </c>
      <c r="F54" s="7" t="n">
        <v>0</v>
      </c>
      <c r="G54" s="8" t="n">
        <v>0</v>
      </c>
      <c r="H54" s="8" t="n">
        <v>0</v>
      </c>
      <c r="I54" s="6" t="s">
        <v>30</v>
      </c>
      <c r="J54" s="6" t="s">
        <v>31</v>
      </c>
      <c r="K54" s="6"/>
    </row>
    <row r="55" customFormat="false" ht="15" hidden="false" customHeight="true" outlineLevel="0" collapsed="false">
      <c r="A55" s="5" t="n">
        <v>46054</v>
      </c>
      <c r="B55" s="6" t="s">
        <v>29</v>
      </c>
      <c r="C55" s="6" t="n">
        <v>1080</v>
      </c>
      <c r="D55" s="6" t="s">
        <v>14</v>
      </c>
      <c r="E55" s="7" t="n">
        <v>0</v>
      </c>
      <c r="F55" s="7" t="n">
        <v>8</v>
      </c>
      <c r="G55" s="8" t="n">
        <v>46.7</v>
      </c>
      <c r="H55" s="8" t="n">
        <v>0</v>
      </c>
      <c r="I55" s="6" t="s">
        <v>30</v>
      </c>
      <c r="J55" s="6" t="s">
        <v>32</v>
      </c>
      <c r="K55" s="6"/>
    </row>
    <row r="56" customFormat="false" ht="15" hidden="false" customHeight="true" outlineLevel="0" collapsed="false">
      <c r="A56" s="5" t="n">
        <v>46054</v>
      </c>
      <c r="B56" s="6" t="s">
        <v>29</v>
      </c>
      <c r="C56" s="6" t="n">
        <v>1081</v>
      </c>
      <c r="D56" s="6" t="s">
        <v>17</v>
      </c>
      <c r="E56" s="7" t="n">
        <v>0</v>
      </c>
      <c r="F56" s="7" t="n">
        <v>2</v>
      </c>
      <c r="G56" s="8" t="n">
        <v>10.19</v>
      </c>
      <c r="H56" s="8" t="n">
        <v>0</v>
      </c>
      <c r="I56" s="6" t="s">
        <v>30</v>
      </c>
      <c r="J56" s="6" t="s">
        <v>32</v>
      </c>
      <c r="K56" s="6"/>
    </row>
    <row r="57" customFormat="false" ht="15" hidden="false" customHeight="true" outlineLevel="0" collapsed="false">
      <c r="A57" s="5" t="n">
        <v>46054</v>
      </c>
      <c r="B57" s="6" t="s">
        <v>29</v>
      </c>
      <c r="C57" s="6" t="n">
        <v>1082</v>
      </c>
      <c r="D57" s="6" t="s">
        <v>18</v>
      </c>
      <c r="E57" s="7" t="n">
        <v>0</v>
      </c>
      <c r="F57" s="7" t="n">
        <v>0</v>
      </c>
      <c r="G57" s="8" t="n">
        <v>0</v>
      </c>
      <c r="H57" s="8" t="n">
        <v>0</v>
      </c>
      <c r="I57" s="6" t="s">
        <v>30</v>
      </c>
      <c r="J57" s="6" t="s">
        <v>32</v>
      </c>
      <c r="K57" s="6"/>
    </row>
    <row r="58" customFormat="false" ht="15" hidden="false" customHeight="true" outlineLevel="0" collapsed="false">
      <c r="A58" s="5" t="n">
        <v>46054</v>
      </c>
      <c r="B58" s="6" t="s">
        <v>29</v>
      </c>
      <c r="C58" s="6" t="n">
        <v>1084</v>
      </c>
      <c r="D58" s="6" t="s">
        <v>19</v>
      </c>
      <c r="E58" s="7" t="n">
        <v>0</v>
      </c>
      <c r="F58" s="7" t="n">
        <v>21</v>
      </c>
      <c r="G58" s="8" t="n">
        <v>75.72</v>
      </c>
      <c r="H58" s="8" t="n">
        <v>1.07</v>
      </c>
      <c r="I58" s="6" t="s">
        <v>30</v>
      </c>
      <c r="J58" s="6" t="s">
        <v>32</v>
      </c>
      <c r="K58" s="6"/>
    </row>
    <row r="59" customFormat="false" ht="15" hidden="false" customHeight="true" outlineLevel="0" collapsed="false">
      <c r="A59" s="5" t="n">
        <v>46054</v>
      </c>
      <c r="B59" s="6" t="s">
        <v>29</v>
      </c>
      <c r="C59" s="6" t="n">
        <v>1085</v>
      </c>
      <c r="D59" s="6" t="s">
        <v>20</v>
      </c>
      <c r="E59" s="7" t="n">
        <v>0</v>
      </c>
      <c r="F59" s="7" t="n">
        <v>0</v>
      </c>
      <c r="G59" s="8" t="n">
        <v>0</v>
      </c>
      <c r="H59" s="8" t="n">
        <v>0</v>
      </c>
      <c r="I59" s="6" t="s">
        <v>30</v>
      </c>
      <c r="J59" s="6" t="s">
        <v>32</v>
      </c>
      <c r="K59" s="6"/>
    </row>
    <row r="60" customFormat="false" ht="15" hidden="false" customHeight="true" outlineLevel="0" collapsed="false">
      <c r="A60" s="5" t="n">
        <v>46082</v>
      </c>
      <c r="B60" s="6" t="s">
        <v>29</v>
      </c>
      <c r="C60" s="6" t="n">
        <v>1080</v>
      </c>
      <c r="D60" s="6" t="s">
        <v>14</v>
      </c>
      <c r="E60" s="7" t="n">
        <v>0</v>
      </c>
      <c r="F60" s="7" t="n">
        <v>9</v>
      </c>
      <c r="G60" s="8" t="n">
        <v>64.58</v>
      </c>
      <c r="H60" s="8" t="n">
        <v>0.73</v>
      </c>
      <c r="I60" s="6" t="s">
        <v>30</v>
      </c>
      <c r="J60" s="6" t="s">
        <v>33</v>
      </c>
      <c r="K60" s="6"/>
    </row>
    <row r="61" customFormat="false" ht="15" hidden="false" customHeight="true" outlineLevel="0" collapsed="false">
      <c r="A61" s="5" t="n">
        <v>46082</v>
      </c>
      <c r="B61" s="6" t="s">
        <v>29</v>
      </c>
      <c r="C61" s="6" t="n">
        <v>1081</v>
      </c>
      <c r="D61" s="6" t="s">
        <v>17</v>
      </c>
      <c r="E61" s="7" t="n">
        <v>0</v>
      </c>
      <c r="F61" s="7" t="n">
        <v>5</v>
      </c>
      <c r="G61" s="8" t="n">
        <v>18.51</v>
      </c>
      <c r="H61" s="8" t="n">
        <v>0</v>
      </c>
      <c r="I61" s="6" t="s">
        <v>30</v>
      </c>
      <c r="J61" s="6" t="s">
        <v>33</v>
      </c>
      <c r="K61" s="6"/>
    </row>
    <row r="62" customFormat="false" ht="15" hidden="false" customHeight="true" outlineLevel="0" collapsed="false">
      <c r="A62" s="5" t="n">
        <v>46082</v>
      </c>
      <c r="B62" s="6" t="s">
        <v>29</v>
      </c>
      <c r="C62" s="6" t="n">
        <v>1082</v>
      </c>
      <c r="D62" s="6" t="s">
        <v>18</v>
      </c>
      <c r="E62" s="7" t="n">
        <v>0</v>
      </c>
      <c r="F62" s="7" t="n">
        <v>0</v>
      </c>
      <c r="G62" s="8" t="n">
        <v>0</v>
      </c>
      <c r="H62" s="8" t="n">
        <v>0</v>
      </c>
      <c r="I62" s="6" t="s">
        <v>30</v>
      </c>
      <c r="J62" s="6" t="s">
        <v>33</v>
      </c>
      <c r="K62" s="6"/>
    </row>
    <row r="63" customFormat="false" ht="15" hidden="false" customHeight="true" outlineLevel="0" collapsed="false">
      <c r="A63" s="5" t="n">
        <v>46082</v>
      </c>
      <c r="B63" s="6" t="s">
        <v>29</v>
      </c>
      <c r="C63" s="6" t="n">
        <v>1084</v>
      </c>
      <c r="D63" s="6" t="s">
        <v>19</v>
      </c>
      <c r="E63" s="7" t="n">
        <v>0</v>
      </c>
      <c r="F63" s="7" t="n">
        <v>24</v>
      </c>
      <c r="G63" s="8" t="n">
        <v>125.8</v>
      </c>
      <c r="H63" s="8" t="n">
        <v>7.66</v>
      </c>
      <c r="I63" s="6" t="s">
        <v>30</v>
      </c>
      <c r="J63" s="6" t="s">
        <v>33</v>
      </c>
      <c r="K63" s="6"/>
    </row>
    <row r="64" customFormat="false" ht="15" hidden="false" customHeight="true" outlineLevel="0" collapsed="false">
      <c r="A64" s="5" t="n">
        <v>46082</v>
      </c>
      <c r="B64" s="6" t="s">
        <v>29</v>
      </c>
      <c r="C64" s="6" t="n">
        <v>1085</v>
      </c>
      <c r="D64" s="6" t="s">
        <v>20</v>
      </c>
      <c r="E64" s="7" t="n">
        <v>0</v>
      </c>
      <c r="F64" s="7" t="n">
        <v>0</v>
      </c>
      <c r="G64" s="8" t="n">
        <v>0</v>
      </c>
      <c r="H64" s="8" t="n">
        <v>0</v>
      </c>
      <c r="I64" s="6" t="s">
        <v>30</v>
      </c>
      <c r="J64" s="6" t="s">
        <v>33</v>
      </c>
      <c r="K64" s="6"/>
    </row>
    <row r="65" customFormat="false" ht="15" hidden="false" customHeight="true" outlineLevel="0" collapsed="false">
      <c r="A65" s="5" t="n">
        <v>46113</v>
      </c>
      <c r="B65" s="6" t="s">
        <v>34</v>
      </c>
      <c r="C65" s="6" t="n">
        <v>1080</v>
      </c>
      <c r="D65" s="6" t="s">
        <v>14</v>
      </c>
      <c r="E65" s="7" t="n">
        <v>0</v>
      </c>
      <c r="F65" s="7" t="n">
        <v>14</v>
      </c>
      <c r="G65" s="8" t="n">
        <v>77.64</v>
      </c>
      <c r="H65" s="8" t="n">
        <v>1.38</v>
      </c>
      <c r="I65" s="6" t="s">
        <v>30</v>
      </c>
      <c r="J65" s="6" t="s">
        <v>35</v>
      </c>
      <c r="K65" s="6"/>
    </row>
    <row r="66" customFormat="false" ht="15" hidden="false" customHeight="true" outlineLevel="0" collapsed="false">
      <c r="A66" s="5" t="n">
        <v>46113</v>
      </c>
      <c r="B66" s="6" t="s">
        <v>34</v>
      </c>
      <c r="C66" s="6" t="n">
        <v>1081</v>
      </c>
      <c r="D66" s="6" t="s">
        <v>17</v>
      </c>
      <c r="E66" s="7" t="n">
        <v>0</v>
      </c>
      <c r="F66" s="7" t="n">
        <v>1</v>
      </c>
      <c r="G66" s="8" t="n">
        <v>2.44</v>
      </c>
      <c r="H66" s="8" t="n">
        <v>0</v>
      </c>
      <c r="I66" s="6" t="s">
        <v>30</v>
      </c>
      <c r="J66" s="6" t="s">
        <v>35</v>
      </c>
      <c r="K66" s="6"/>
    </row>
    <row r="67" customFormat="false" ht="15" hidden="false" customHeight="true" outlineLevel="0" collapsed="false">
      <c r="A67" s="5" t="n">
        <v>46113</v>
      </c>
      <c r="B67" s="6" t="s">
        <v>34</v>
      </c>
      <c r="C67" s="6" t="n">
        <v>1082</v>
      </c>
      <c r="D67" s="6" t="s">
        <v>18</v>
      </c>
      <c r="E67" s="7" t="n">
        <v>0</v>
      </c>
      <c r="F67" s="7" t="n">
        <v>16</v>
      </c>
      <c r="G67" s="8" t="n">
        <v>71.47</v>
      </c>
      <c r="H67" s="8" t="n">
        <v>1.07</v>
      </c>
      <c r="I67" s="6" t="s">
        <v>30</v>
      </c>
      <c r="J67" s="6" t="s">
        <v>35</v>
      </c>
      <c r="K67" s="6"/>
    </row>
    <row r="68" customFormat="false" ht="15" hidden="false" customHeight="true" outlineLevel="0" collapsed="false">
      <c r="A68" s="5" t="n">
        <v>46113</v>
      </c>
      <c r="B68" s="6" t="s">
        <v>34</v>
      </c>
      <c r="C68" s="6" t="n">
        <v>1084</v>
      </c>
      <c r="D68" s="6" t="s">
        <v>19</v>
      </c>
      <c r="E68" s="7" t="n">
        <v>0</v>
      </c>
      <c r="F68" s="7" t="n">
        <v>19</v>
      </c>
      <c r="G68" s="8" t="n">
        <v>112.85</v>
      </c>
      <c r="H68" s="8" t="n">
        <v>5.07</v>
      </c>
      <c r="I68" s="6" t="s">
        <v>30</v>
      </c>
      <c r="J68" s="6" t="s">
        <v>35</v>
      </c>
      <c r="K68" s="6"/>
    </row>
    <row r="69" customFormat="false" ht="15" hidden="false" customHeight="true" outlineLevel="0" collapsed="false">
      <c r="A69" s="5" t="n">
        <v>46113</v>
      </c>
      <c r="B69" s="6" t="s">
        <v>34</v>
      </c>
      <c r="C69" s="6" t="n">
        <v>1085</v>
      </c>
      <c r="D69" s="6" t="s">
        <v>20</v>
      </c>
      <c r="E69" s="7" t="n">
        <v>0</v>
      </c>
      <c r="F69" s="7" t="n">
        <v>0</v>
      </c>
      <c r="G69" s="8" t="n">
        <v>0</v>
      </c>
      <c r="H69" s="8" t="n">
        <v>0</v>
      </c>
      <c r="I69" s="6" t="s">
        <v>30</v>
      </c>
      <c r="J69" s="6" t="s">
        <v>35</v>
      </c>
      <c r="K69" s="6"/>
    </row>
    <row r="70" customFormat="false" ht="15" hidden="false" customHeight="true" outlineLevel="0" collapsed="false">
      <c r="A70" s="5" t="n">
        <v>46143</v>
      </c>
      <c r="B70" s="6" t="s">
        <v>34</v>
      </c>
      <c r="C70" s="6" t="n">
        <v>1080</v>
      </c>
      <c r="D70" s="6" t="s">
        <v>14</v>
      </c>
      <c r="E70" s="7" t="n">
        <v>0</v>
      </c>
      <c r="F70" s="7" t="n">
        <v>13</v>
      </c>
      <c r="G70" s="8" t="n">
        <v>90.52</v>
      </c>
      <c r="H70" s="8" t="n">
        <v>2.03</v>
      </c>
      <c r="I70" s="6" t="s">
        <v>30</v>
      </c>
      <c r="J70" s="6" t="s">
        <v>36</v>
      </c>
      <c r="K70" s="6"/>
    </row>
    <row r="71" customFormat="false" ht="15" hidden="false" customHeight="true" outlineLevel="0" collapsed="false">
      <c r="A71" s="5" t="n">
        <v>46143</v>
      </c>
      <c r="B71" s="6" t="s">
        <v>34</v>
      </c>
      <c r="C71" s="6" t="n">
        <v>1081</v>
      </c>
      <c r="D71" s="6" t="s">
        <v>17</v>
      </c>
      <c r="E71" s="7" t="n">
        <v>0</v>
      </c>
      <c r="F71" s="7" t="n">
        <v>2</v>
      </c>
      <c r="G71" s="8" t="n">
        <v>22.19</v>
      </c>
      <c r="H71" s="8" t="n">
        <v>0</v>
      </c>
      <c r="I71" s="6" t="s">
        <v>30</v>
      </c>
      <c r="J71" s="6" t="s">
        <v>36</v>
      </c>
      <c r="K71" s="6"/>
    </row>
    <row r="72" customFormat="false" ht="15" hidden="false" customHeight="true" outlineLevel="0" collapsed="false">
      <c r="A72" s="5" t="n">
        <v>46143</v>
      </c>
      <c r="B72" s="6" t="s">
        <v>34</v>
      </c>
      <c r="C72" s="6" t="n">
        <v>1082</v>
      </c>
      <c r="D72" s="6" t="s">
        <v>18</v>
      </c>
      <c r="E72" s="7" t="n">
        <v>0</v>
      </c>
      <c r="F72" s="7" t="n">
        <v>11</v>
      </c>
      <c r="G72" s="8" t="n">
        <v>63.58</v>
      </c>
      <c r="H72" s="8" t="n">
        <v>0.68</v>
      </c>
      <c r="I72" s="6" t="s">
        <v>30</v>
      </c>
      <c r="J72" s="6" t="s">
        <v>36</v>
      </c>
      <c r="K72" s="6"/>
    </row>
    <row r="73" customFormat="false" ht="15" hidden="false" customHeight="true" outlineLevel="0" collapsed="false">
      <c r="A73" s="5" t="n">
        <v>46143</v>
      </c>
      <c r="B73" s="6" t="s">
        <v>34</v>
      </c>
      <c r="C73" s="6" t="n">
        <v>1084</v>
      </c>
      <c r="D73" s="6" t="s">
        <v>19</v>
      </c>
      <c r="E73" s="7" t="n">
        <v>0</v>
      </c>
      <c r="F73" s="7" t="n">
        <v>28</v>
      </c>
      <c r="G73" s="8" t="n">
        <v>172.68</v>
      </c>
      <c r="H73" s="8" t="n">
        <v>17.04</v>
      </c>
      <c r="I73" s="6" t="s">
        <v>30</v>
      </c>
      <c r="J73" s="6" t="s">
        <v>36</v>
      </c>
      <c r="K73" s="6"/>
    </row>
    <row r="74" customFormat="false" ht="15" hidden="false" customHeight="true" outlineLevel="0" collapsed="false">
      <c r="A74" s="5" t="n">
        <v>46143</v>
      </c>
      <c r="B74" s="6" t="s">
        <v>34</v>
      </c>
      <c r="C74" s="6" t="n">
        <v>1085</v>
      </c>
      <c r="D74" s="6" t="s">
        <v>20</v>
      </c>
      <c r="E74" s="7" t="n">
        <v>0</v>
      </c>
      <c r="F74" s="7" t="n">
        <v>4</v>
      </c>
      <c r="G74" s="8" t="n">
        <v>27.07</v>
      </c>
      <c r="H74" s="8" t="n">
        <v>0</v>
      </c>
      <c r="I74" s="6" t="s">
        <v>30</v>
      </c>
      <c r="J74" s="6" t="s">
        <v>36</v>
      </c>
      <c r="K74" s="6"/>
    </row>
    <row r="75" customFormat="false" ht="15" hidden="false" customHeight="true" outlineLevel="0" collapsed="false">
      <c r="A75" s="9" t="n">
        <v>46174</v>
      </c>
      <c r="B75" s="10" t="s">
        <v>34</v>
      </c>
      <c r="C75" s="10" t="n">
        <v>1080</v>
      </c>
      <c r="D75" s="10" t="s">
        <v>14</v>
      </c>
      <c r="E75" s="11" t="n">
        <v>0</v>
      </c>
      <c r="F75" s="11" t="n">
        <v>9</v>
      </c>
      <c r="G75" s="12" t="n">
        <v>44.89</v>
      </c>
      <c r="H75" s="12" t="n">
        <v>0</v>
      </c>
      <c r="I75" s="10" t="s">
        <v>37</v>
      </c>
      <c r="J75" s="10" t="s">
        <v>38</v>
      </c>
      <c r="K75" s="10" t="s">
        <v>39</v>
      </c>
    </row>
    <row r="76" customFormat="false" ht="15" hidden="false" customHeight="true" outlineLevel="0" collapsed="false">
      <c r="A76" s="9" t="n">
        <v>46174</v>
      </c>
      <c r="B76" s="10" t="s">
        <v>34</v>
      </c>
      <c r="C76" s="10" t="n">
        <v>1081</v>
      </c>
      <c r="D76" s="10" t="s">
        <v>17</v>
      </c>
      <c r="E76" s="11" t="n">
        <v>0</v>
      </c>
      <c r="F76" s="11" t="n">
        <v>6</v>
      </c>
      <c r="G76" s="12" t="n">
        <v>40.26</v>
      </c>
      <c r="H76" s="12" t="n">
        <v>0</v>
      </c>
      <c r="I76" s="10" t="s">
        <v>37</v>
      </c>
      <c r="J76" s="10" t="s">
        <v>38</v>
      </c>
      <c r="K76" s="10" t="s">
        <v>39</v>
      </c>
    </row>
    <row r="77" customFormat="false" ht="15" hidden="false" customHeight="true" outlineLevel="0" collapsed="false">
      <c r="A77" s="9" t="n">
        <v>46174</v>
      </c>
      <c r="B77" s="10" t="s">
        <v>34</v>
      </c>
      <c r="C77" s="10" t="n">
        <v>1082</v>
      </c>
      <c r="D77" s="10" t="s">
        <v>18</v>
      </c>
      <c r="E77" s="11" t="n">
        <v>0</v>
      </c>
      <c r="F77" s="11" t="n">
        <v>15</v>
      </c>
      <c r="G77" s="12" t="n">
        <v>84.09</v>
      </c>
      <c r="H77" s="12" t="n">
        <v>1.7</v>
      </c>
      <c r="I77" s="10" t="s">
        <v>37</v>
      </c>
      <c r="J77" s="10" t="s">
        <v>38</v>
      </c>
      <c r="K77" s="10" t="s">
        <v>39</v>
      </c>
    </row>
    <row r="78" customFormat="false" ht="15" hidden="false" customHeight="true" outlineLevel="0" collapsed="false">
      <c r="A78" s="9" t="n">
        <v>46174</v>
      </c>
      <c r="B78" s="10" t="s">
        <v>34</v>
      </c>
      <c r="C78" s="10" t="n">
        <v>1084</v>
      </c>
      <c r="D78" s="10" t="s">
        <v>19</v>
      </c>
      <c r="E78" s="11" t="n">
        <v>0</v>
      </c>
      <c r="F78" s="11" t="n">
        <v>23</v>
      </c>
      <c r="G78" s="12" t="n">
        <v>172.61</v>
      </c>
      <c r="H78" s="12" t="n">
        <v>17.02</v>
      </c>
      <c r="I78" s="10" t="s">
        <v>37</v>
      </c>
      <c r="J78" s="10" t="s">
        <v>38</v>
      </c>
      <c r="K78" s="10" t="s">
        <v>39</v>
      </c>
    </row>
    <row r="79" customFormat="false" ht="15" hidden="false" customHeight="true" outlineLevel="0" collapsed="false">
      <c r="A79" s="9" t="n">
        <v>46174</v>
      </c>
      <c r="B79" s="10" t="s">
        <v>34</v>
      </c>
      <c r="C79" s="10" t="n">
        <v>1085</v>
      </c>
      <c r="D79" s="10" t="s">
        <v>20</v>
      </c>
      <c r="E79" s="11" t="n">
        <v>0</v>
      </c>
      <c r="F79" s="11" t="n">
        <v>13</v>
      </c>
      <c r="G79" s="12" t="n">
        <v>51.84</v>
      </c>
      <c r="H79" s="12" t="n">
        <v>0.09</v>
      </c>
      <c r="I79" s="10" t="s">
        <v>37</v>
      </c>
      <c r="J79" s="10" t="s">
        <v>38</v>
      </c>
      <c r="K79" s="10" t="s">
        <v>39</v>
      </c>
    </row>
    <row r="80" customFormat="false" ht="15" hidden="false" customHeight="true" outlineLevel="0" collapsed="false">
      <c r="A80" s="5" t="n">
        <v>46204</v>
      </c>
      <c r="B80" s="6" t="s">
        <v>40</v>
      </c>
      <c r="C80" s="6" t="n">
        <v>1080</v>
      </c>
      <c r="D80" s="6" t="s">
        <v>14</v>
      </c>
      <c r="E80" s="7" t="n">
        <v>0</v>
      </c>
      <c r="F80" s="7" t="n">
        <v>9</v>
      </c>
      <c r="G80" s="8" t="n">
        <v>60.2</v>
      </c>
      <c r="H80" s="8" t="n">
        <v>0.51</v>
      </c>
      <c r="I80" s="6" t="s">
        <v>30</v>
      </c>
      <c r="J80" s="6" t="s">
        <v>41</v>
      </c>
      <c r="K80" s="6"/>
    </row>
    <row r="81" customFormat="false" ht="15" hidden="false" customHeight="true" outlineLevel="0" collapsed="false">
      <c r="A81" s="5" t="n">
        <v>46204</v>
      </c>
      <c r="B81" s="6" t="s">
        <v>40</v>
      </c>
      <c r="C81" s="6" t="n">
        <v>1081</v>
      </c>
      <c r="D81" s="6" t="s">
        <v>17</v>
      </c>
      <c r="E81" s="7" t="n">
        <v>0</v>
      </c>
      <c r="F81" s="7" t="n">
        <v>8</v>
      </c>
      <c r="G81" s="8" t="n">
        <v>26.83</v>
      </c>
      <c r="H81" s="8" t="n">
        <v>0</v>
      </c>
      <c r="I81" s="6" t="s">
        <v>30</v>
      </c>
      <c r="J81" s="6" t="s">
        <v>41</v>
      </c>
      <c r="K81" s="6"/>
    </row>
    <row r="82" customFormat="false" ht="15" hidden="false" customHeight="true" outlineLevel="0" collapsed="false">
      <c r="A82" s="5" t="n">
        <v>46204</v>
      </c>
      <c r="B82" s="6" t="s">
        <v>40</v>
      </c>
      <c r="C82" s="6" t="n">
        <v>1082</v>
      </c>
      <c r="D82" s="6" t="s">
        <v>18</v>
      </c>
      <c r="E82" s="7" t="n">
        <v>0</v>
      </c>
      <c r="F82" s="7" t="n">
        <v>20</v>
      </c>
      <c r="G82" s="8" t="n">
        <v>92.53</v>
      </c>
      <c r="H82" s="8" t="n">
        <v>2.13</v>
      </c>
      <c r="I82" s="6" t="s">
        <v>30</v>
      </c>
      <c r="J82" s="6" t="s">
        <v>41</v>
      </c>
      <c r="K82" s="6"/>
    </row>
    <row r="83" customFormat="false" ht="15" hidden="false" customHeight="true" outlineLevel="0" collapsed="false">
      <c r="A83" s="5" t="n">
        <v>46204</v>
      </c>
      <c r="B83" s="6" t="s">
        <v>40</v>
      </c>
      <c r="C83" s="6" t="n">
        <v>1084</v>
      </c>
      <c r="D83" s="6" t="s">
        <v>19</v>
      </c>
      <c r="E83" s="7" t="n">
        <v>0</v>
      </c>
      <c r="F83" s="7" t="n">
        <v>32</v>
      </c>
      <c r="G83" s="8" t="n">
        <v>202.7</v>
      </c>
      <c r="H83" s="8" t="n">
        <v>23.04</v>
      </c>
      <c r="I83" s="6" t="s">
        <v>30</v>
      </c>
      <c r="J83" s="6" t="s">
        <v>41</v>
      </c>
      <c r="K83" s="6"/>
    </row>
    <row r="84" customFormat="false" ht="15" hidden="false" customHeight="true" outlineLevel="0" collapsed="false">
      <c r="A84" s="5" t="n">
        <v>46204</v>
      </c>
      <c r="B84" s="6" t="s">
        <v>40</v>
      </c>
      <c r="C84" s="6" t="n">
        <v>1085</v>
      </c>
      <c r="D84" s="6" t="s">
        <v>20</v>
      </c>
      <c r="E84" s="7" t="n">
        <v>0</v>
      </c>
      <c r="F84" s="7" t="n">
        <v>7</v>
      </c>
      <c r="G84" s="8" t="n">
        <v>44.7</v>
      </c>
      <c r="H84" s="8" t="n">
        <v>0</v>
      </c>
      <c r="I84" s="6" t="s">
        <v>30</v>
      </c>
      <c r="J84" s="6" t="s">
        <v>41</v>
      </c>
      <c r="K84" s="6"/>
    </row>
    <row r="85" customFormat="false" ht="15" hidden="false" customHeight="true" outlineLevel="0" collapsed="false">
      <c r="A85" s="5" t="n">
        <v>46235</v>
      </c>
      <c r="B85" s="6" t="s">
        <v>40</v>
      </c>
      <c r="C85" s="6" t="n">
        <v>1080</v>
      </c>
      <c r="D85" s="6" t="s">
        <v>14</v>
      </c>
      <c r="E85" s="7" t="n">
        <v>0</v>
      </c>
      <c r="F85" s="7" t="n">
        <v>9</v>
      </c>
      <c r="G85" s="8" t="n">
        <v>41.51</v>
      </c>
      <c r="H85" s="8" t="n">
        <v>0</v>
      </c>
      <c r="I85" s="6" t="s">
        <v>30</v>
      </c>
      <c r="J85" s="6" t="s">
        <v>42</v>
      </c>
      <c r="K85" s="6"/>
    </row>
    <row r="86" customFormat="false" ht="15" hidden="false" customHeight="true" outlineLevel="0" collapsed="false">
      <c r="A86" s="5" t="n">
        <v>46235</v>
      </c>
      <c r="B86" s="6" t="s">
        <v>40</v>
      </c>
      <c r="C86" s="6" t="n">
        <v>1081</v>
      </c>
      <c r="D86" s="6" t="s">
        <v>17</v>
      </c>
      <c r="E86" s="7" t="n">
        <v>0</v>
      </c>
      <c r="F86" s="7" t="n">
        <v>2</v>
      </c>
      <c r="G86" s="8" t="n">
        <v>6.88</v>
      </c>
      <c r="H86" s="8" t="n">
        <v>0</v>
      </c>
      <c r="I86" s="6" t="s">
        <v>30</v>
      </c>
      <c r="J86" s="6" t="s">
        <v>42</v>
      </c>
      <c r="K86" s="6"/>
    </row>
    <row r="87" customFormat="false" ht="15" hidden="false" customHeight="true" outlineLevel="0" collapsed="false">
      <c r="A87" s="5" t="n">
        <v>46235</v>
      </c>
      <c r="B87" s="6" t="s">
        <v>40</v>
      </c>
      <c r="C87" s="6" t="n">
        <v>1082</v>
      </c>
      <c r="D87" s="6" t="s">
        <v>18</v>
      </c>
      <c r="E87" s="7" t="n">
        <v>0</v>
      </c>
      <c r="F87" s="7" t="n">
        <v>17</v>
      </c>
      <c r="G87" s="8" t="n">
        <v>72.03</v>
      </c>
      <c r="H87" s="8" t="n">
        <v>1.1</v>
      </c>
      <c r="I87" s="6" t="s">
        <v>30</v>
      </c>
      <c r="J87" s="6" t="s">
        <v>42</v>
      </c>
      <c r="K87" s="6"/>
    </row>
    <row r="88" customFormat="false" ht="15" hidden="false" customHeight="true" outlineLevel="0" collapsed="false">
      <c r="A88" s="5" t="n">
        <v>46235</v>
      </c>
      <c r="B88" s="6" t="s">
        <v>40</v>
      </c>
      <c r="C88" s="6" t="n">
        <v>1084</v>
      </c>
      <c r="D88" s="6" t="s">
        <v>19</v>
      </c>
      <c r="E88" s="7" t="n">
        <v>0</v>
      </c>
      <c r="F88" s="7" t="n">
        <v>21</v>
      </c>
      <c r="G88" s="8" t="n">
        <v>98.22</v>
      </c>
      <c r="H88" s="8" t="n">
        <v>2.41</v>
      </c>
      <c r="I88" s="6" t="s">
        <v>30</v>
      </c>
      <c r="J88" s="6" t="s">
        <v>42</v>
      </c>
      <c r="K88" s="6"/>
    </row>
    <row r="89" customFormat="false" ht="15" hidden="false" customHeight="true" outlineLevel="0" collapsed="false">
      <c r="A89" s="5" t="n">
        <v>46235</v>
      </c>
      <c r="B89" s="6" t="s">
        <v>40</v>
      </c>
      <c r="C89" s="6" t="n">
        <v>1085</v>
      </c>
      <c r="D89" s="6" t="s">
        <v>20</v>
      </c>
      <c r="E89" s="7" t="n">
        <v>0</v>
      </c>
      <c r="F89" s="7" t="n">
        <v>12</v>
      </c>
      <c r="G89" s="8" t="n">
        <v>48.59</v>
      </c>
      <c r="H89" s="8" t="n">
        <v>0</v>
      </c>
      <c r="I89" s="6" t="s">
        <v>30</v>
      </c>
      <c r="J89" s="6" t="s">
        <v>42</v>
      </c>
      <c r="K89" s="6"/>
    </row>
    <row r="90" customFormat="false" ht="15" hidden="false" customHeight="true" outlineLevel="0" collapsed="false">
      <c r="A90" s="5" t="n">
        <v>46266</v>
      </c>
      <c r="B90" s="6" t="s">
        <v>40</v>
      </c>
      <c r="C90" s="6" t="n">
        <v>1080</v>
      </c>
      <c r="D90" s="6" t="s">
        <v>14</v>
      </c>
      <c r="E90" s="7" t="n">
        <v>0</v>
      </c>
      <c r="F90" s="7" t="n">
        <v>4</v>
      </c>
      <c r="G90" s="8" t="n">
        <v>16.76</v>
      </c>
      <c r="H90" s="8" t="n">
        <v>0</v>
      </c>
      <c r="I90" s="6" t="s">
        <v>30</v>
      </c>
      <c r="J90" s="6" t="s">
        <v>43</v>
      </c>
      <c r="K90" s="6"/>
    </row>
    <row r="91" customFormat="false" ht="15" hidden="false" customHeight="true" outlineLevel="0" collapsed="false">
      <c r="A91" s="5" t="n">
        <v>46266</v>
      </c>
      <c r="B91" s="6" t="s">
        <v>40</v>
      </c>
      <c r="C91" s="6" t="n">
        <v>1081</v>
      </c>
      <c r="D91" s="6" t="s">
        <v>17</v>
      </c>
      <c r="E91" s="7" t="n">
        <v>0</v>
      </c>
      <c r="F91" s="7" t="n">
        <v>4</v>
      </c>
      <c r="G91" s="8" t="n">
        <v>25.76</v>
      </c>
      <c r="H91" s="8" t="n">
        <v>0</v>
      </c>
      <c r="I91" s="6" t="s">
        <v>30</v>
      </c>
      <c r="J91" s="6" t="s">
        <v>43</v>
      </c>
      <c r="K91" s="6"/>
    </row>
    <row r="92" customFormat="false" ht="15" hidden="false" customHeight="true" outlineLevel="0" collapsed="false">
      <c r="A92" s="5" t="n">
        <v>46266</v>
      </c>
      <c r="B92" s="6" t="s">
        <v>40</v>
      </c>
      <c r="C92" s="6" t="n">
        <v>1082</v>
      </c>
      <c r="D92" s="6" t="s">
        <v>18</v>
      </c>
      <c r="E92" s="7" t="n">
        <v>0</v>
      </c>
      <c r="F92" s="7" t="n">
        <v>26</v>
      </c>
      <c r="G92" s="8" t="n">
        <v>150.41</v>
      </c>
      <c r="H92" s="8" t="n">
        <v>12.58</v>
      </c>
      <c r="I92" s="6" t="s">
        <v>30</v>
      </c>
      <c r="J92" s="6" t="s">
        <v>43</v>
      </c>
      <c r="K92" s="6"/>
    </row>
    <row r="93" customFormat="false" ht="15" hidden="false" customHeight="true" outlineLevel="0" collapsed="false">
      <c r="A93" s="5" t="n">
        <v>46266</v>
      </c>
      <c r="B93" s="6" t="s">
        <v>40</v>
      </c>
      <c r="C93" s="6" t="n">
        <v>1084</v>
      </c>
      <c r="D93" s="6" t="s">
        <v>19</v>
      </c>
      <c r="E93" s="7" t="n">
        <v>0</v>
      </c>
      <c r="F93" s="7" t="n">
        <v>15</v>
      </c>
      <c r="G93" s="8" t="n">
        <v>85.46</v>
      </c>
      <c r="H93" s="8" t="n">
        <v>1.77</v>
      </c>
      <c r="I93" s="6" t="s">
        <v>30</v>
      </c>
      <c r="J93" s="6" t="s">
        <v>43</v>
      </c>
      <c r="K93" s="6"/>
    </row>
    <row r="94" customFormat="false" ht="15" hidden="false" customHeight="true" outlineLevel="0" collapsed="false">
      <c r="A94" s="5" t="n">
        <v>46266</v>
      </c>
      <c r="B94" s="6" t="s">
        <v>40</v>
      </c>
      <c r="C94" s="6" t="n">
        <v>1085</v>
      </c>
      <c r="D94" s="6" t="s">
        <v>20</v>
      </c>
      <c r="E94" s="7" t="n">
        <v>0</v>
      </c>
      <c r="F94" s="7" t="n">
        <v>17</v>
      </c>
      <c r="G94" s="8" t="n">
        <v>98.27</v>
      </c>
      <c r="H94" s="8" t="n">
        <v>2.41</v>
      </c>
      <c r="I94" s="6" t="s">
        <v>30</v>
      </c>
      <c r="J94" s="6" t="s">
        <v>43</v>
      </c>
      <c r="K94" s="6"/>
    </row>
    <row r="95" customFormat="false" ht="15" hidden="false" customHeight="true" outlineLevel="0" collapsed="false">
      <c r="D95" s="13" t="s">
        <v>44</v>
      </c>
      <c r="E95" s="14" t="n">
        <f aca="false">SUM(E5:E94)</f>
        <v>0</v>
      </c>
      <c r="F95" s="14" t="n">
        <f aca="false">SUM(F5:F94)</f>
        <v>997</v>
      </c>
      <c r="G95" s="15" t="n">
        <f aca="false">SUM(G5:G94)</f>
        <v>5433.28</v>
      </c>
      <c r="H95" s="15" t="n">
        <f aca="false">SUM(H5:H94)</f>
        <v>201.92</v>
      </c>
    </row>
  </sheetData>
  <autoFilter ref="A4:K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5"/>
    <col collapsed="false" customWidth="true" hidden="false" outlineLevel="0" max="5" min="4" style="1" width="12"/>
    <col collapsed="false" customWidth="true" hidden="false" outlineLevel="0" max="7" min="6" style="1" width="14"/>
    <col collapsed="false" customWidth="true" hidden="false" outlineLevel="0" max="8" min="8" style="1" width="9"/>
    <col collapsed="false" customWidth="true" hidden="false" outlineLevel="0" max="9" min="9" style="1" width="11"/>
    <col collapsed="false" customWidth="true" hidden="false" outlineLevel="0" max="10" min="10" style="1" width="13"/>
    <col collapsed="false" customWidth="true" hidden="false" outlineLevel="0" max="11" min="11" style="1" width="80"/>
  </cols>
  <sheetData>
    <row r="1" customFormat="false" ht="17.25" hidden="false" customHeight="true" outlineLevel="0" collapsed="false">
      <c r="A1" s="2" t="s">
        <v>45</v>
      </c>
    </row>
    <row r="3" customFormat="false" ht="26.25" hidden="false" customHeight="true" outlineLevel="0" collapsed="false">
      <c r="A3" s="4" t="s">
        <v>3</v>
      </c>
      <c r="B3" s="4" t="s">
        <v>46</v>
      </c>
      <c r="C3" s="4" t="s">
        <v>8</v>
      </c>
      <c r="D3" s="4" t="s">
        <v>9</v>
      </c>
      <c r="E3" s="4" t="s">
        <v>47</v>
      </c>
      <c r="F3" s="4" t="s">
        <v>48</v>
      </c>
      <c r="G3" s="4" t="s">
        <v>49</v>
      </c>
      <c r="H3" s="4" t="s">
        <v>50</v>
      </c>
      <c r="I3" s="4" t="s">
        <v>51</v>
      </c>
      <c r="J3" s="4" t="s">
        <v>52</v>
      </c>
      <c r="K3" s="4" t="s">
        <v>53</v>
      </c>
    </row>
    <row r="4" customFormat="false" ht="15" hidden="false" customHeight="true" outlineLevel="0" collapsed="false">
      <c r="A4" s="6" t="s">
        <v>13</v>
      </c>
      <c r="B4" s="16" t="n">
        <f aca="false">SUMIFS('Monthly Data'!$F$5:$F$94,'Monthly Data'!$B$5:$B$94,$A4)</f>
        <v>200</v>
      </c>
      <c r="C4" s="17" t="n">
        <f aca="false">SUMIFS('Monthly Data'!$G$5:$G$94,'Monthly Data'!$B$5:$B$94,$A4)</f>
        <v>1117.84</v>
      </c>
      <c r="D4" s="17" t="n">
        <f aca="false">SUMIFS('Monthly Data'!$H$5:$H$94,'Monthly Data'!$B$5:$B$94,$A4)</f>
        <v>52.68</v>
      </c>
      <c r="E4" s="7" t="n">
        <v>200</v>
      </c>
      <c r="F4" s="8" t="n">
        <v>1117.84</v>
      </c>
      <c r="G4" s="8" t="n">
        <v>52.68</v>
      </c>
      <c r="H4" s="16" t="n">
        <f aca="false">IF(ISNUMBER(E4),B4-E4,"n/a")</f>
        <v>0</v>
      </c>
      <c r="I4" s="17" t="n">
        <f aca="false">IF(ISNUMBER(F4),C4-F4,"n/a")</f>
        <v>0</v>
      </c>
      <c r="J4" s="17" t="n">
        <f aca="false">IF(ISNUMBER(G4),D4-G4,"n/a")</f>
        <v>0</v>
      </c>
      <c r="K4" s="6" t="s">
        <v>16</v>
      </c>
    </row>
    <row r="5" customFormat="false" ht="15" hidden="false" customHeight="true" outlineLevel="0" collapsed="false">
      <c r="A5" s="6" t="s">
        <v>21</v>
      </c>
      <c r="B5" s="16" t="n">
        <f aca="false">SUMIFS('Monthly Data'!$F$5:$F$94,'Monthly Data'!$B$5:$B$94,$A5)</f>
        <v>192</v>
      </c>
      <c r="C5" s="17" t="n">
        <f aca="false">SUMIFS('Monthly Data'!$G$5:$G$94,'Monthly Data'!$B$5:$B$94,$A5)</f>
        <v>981.15</v>
      </c>
      <c r="D5" s="17" t="n">
        <f aca="false">SUMIFS('Monthly Data'!$H$5:$H$94,'Monthly Data'!$B$5:$B$94,$A5)</f>
        <v>31.52</v>
      </c>
      <c r="E5" s="7" t="n">
        <v>192</v>
      </c>
      <c r="F5" s="8" t="n">
        <v>981.15</v>
      </c>
      <c r="G5" s="8" t="n">
        <v>31.53</v>
      </c>
      <c r="H5" s="16" t="n">
        <f aca="false">IF(ISNUMBER(E5),B5-E5,"n/a")</f>
        <v>0</v>
      </c>
      <c r="I5" s="17" t="n">
        <f aca="false">IF(ISNUMBER(F5),C5-F5,"n/a")</f>
        <v>0</v>
      </c>
      <c r="J5" s="17" t="n">
        <f aca="false">IF(ISNUMBER(G5),D5-G5,"n/a")</f>
        <v>-0.0100000000000016</v>
      </c>
      <c r="K5" s="6" t="s">
        <v>22</v>
      </c>
    </row>
    <row r="6" customFormat="false" ht="15" hidden="false" customHeight="true" outlineLevel="0" collapsed="false">
      <c r="A6" s="6" t="s">
        <v>25</v>
      </c>
      <c r="B6" s="16" t="n">
        <f aca="false">SUMIFS('Monthly Data'!$F$5:$F$94,'Monthly Data'!$B$5:$B$94,$A6)</f>
        <v>126</v>
      </c>
      <c r="C6" s="17" t="n">
        <f aca="false">SUMIFS('Monthly Data'!$G$5:$G$94,'Monthly Data'!$B$5:$B$94,$A6)</f>
        <v>669.12</v>
      </c>
      <c r="D6" s="17" t="n">
        <f aca="false">SUMIFS('Monthly Data'!$H$5:$H$94,'Monthly Data'!$B$5:$B$94,$A6)</f>
        <v>11.81</v>
      </c>
      <c r="E6" s="7" t="n">
        <v>126</v>
      </c>
      <c r="F6" s="8" t="n">
        <v>669.12</v>
      </c>
      <c r="G6" s="8" t="n">
        <v>11.82</v>
      </c>
      <c r="H6" s="16" t="n">
        <f aca="false">IF(ISNUMBER(E6),B6-E6,"n/a")</f>
        <v>0</v>
      </c>
      <c r="I6" s="17" t="n">
        <f aca="false">IF(ISNUMBER(F6),C6-F6,"n/a")</f>
        <v>0</v>
      </c>
      <c r="J6" s="17" t="n">
        <f aca="false">IF(ISNUMBER(G6),D6-G6,"n/a")</f>
        <v>-0.00999999999999979</v>
      </c>
      <c r="K6" s="6" t="s">
        <v>26</v>
      </c>
    </row>
    <row r="7" customFormat="false" ht="15" hidden="false" customHeight="true" outlineLevel="0" collapsed="false">
      <c r="A7" s="6" t="s">
        <v>29</v>
      </c>
      <c r="B7" s="16" t="n">
        <f aca="false">SUMIFS('Monthly Data'!$F$5:$F$94,'Monthly Data'!$B$5:$B$94,$A7)</f>
        <v>102</v>
      </c>
      <c r="C7" s="17" t="n">
        <f aca="false">SUMIFS('Monthly Data'!$G$5:$G$94,'Monthly Data'!$B$5:$B$94,$A7)</f>
        <v>560.19</v>
      </c>
      <c r="D7" s="17" t="n">
        <f aca="false">SUMIFS('Monthly Data'!$H$5:$H$94,'Monthly Data'!$B$5:$B$94,$A7)</f>
        <v>13.88</v>
      </c>
      <c r="E7" s="7" t="s">
        <v>54</v>
      </c>
      <c r="F7" s="8" t="s">
        <v>54</v>
      </c>
      <c r="G7" s="8" t="s">
        <v>54</v>
      </c>
      <c r="H7" s="16" t="str">
        <f aca="false">IF(ISNUMBER(E7),B7-E7,"n/a")</f>
        <v>n/a</v>
      </c>
      <c r="I7" s="17" t="str">
        <f aca="false">IF(ISNUMBER(F7),C7-F7,"n/a")</f>
        <v>n/a</v>
      </c>
      <c r="J7" s="17" t="str">
        <f aca="false">IF(ISNUMBER(G7),D7-G7,"n/a")</f>
        <v>n/a</v>
      </c>
      <c r="K7" s="6" t="s">
        <v>55</v>
      </c>
    </row>
    <row r="8" customFormat="false" ht="15" hidden="false" customHeight="true" outlineLevel="0" collapsed="false">
      <c r="A8" s="6" t="s">
        <v>34</v>
      </c>
      <c r="B8" s="16" t="n">
        <f aca="false">SUMIFS('Monthly Data'!$F$5:$F$94,'Monthly Data'!$B$5:$B$94,$A8)</f>
        <v>174</v>
      </c>
      <c r="C8" s="17" t="n">
        <f aca="false">SUMIFS('Monthly Data'!$G$5:$G$94,'Monthly Data'!$B$5:$B$94,$A8)</f>
        <v>1034.13</v>
      </c>
      <c r="D8" s="17" t="n">
        <f aca="false">SUMIFS('Monthly Data'!$H$5:$H$94,'Monthly Data'!$B$5:$B$94,$A8)</f>
        <v>46.08</v>
      </c>
      <c r="E8" s="7" t="n">
        <v>174</v>
      </c>
      <c r="F8" s="8" t="n">
        <v>1034.13</v>
      </c>
      <c r="G8" s="8" t="n">
        <v>46.08</v>
      </c>
      <c r="H8" s="16" t="n">
        <f aca="false">IF(ISNUMBER(E8),B8-E8,"n/a")</f>
        <v>0</v>
      </c>
      <c r="I8" s="17" t="n">
        <f aca="false">IF(ISNUMBER(F8),C8-F8,"n/a")</f>
        <v>0</v>
      </c>
      <c r="J8" s="17" t="n">
        <f aca="false">IF(ISNUMBER(G8),D8-G8,"n/a")</f>
        <v>0</v>
      </c>
      <c r="K8" s="6" t="s">
        <v>38</v>
      </c>
    </row>
    <row r="9" customFormat="false" ht="15" hidden="false" customHeight="true" outlineLevel="0" collapsed="false">
      <c r="A9" s="6" t="s">
        <v>40</v>
      </c>
      <c r="B9" s="16" t="n">
        <f aca="false">SUMIFS('Monthly Data'!$F$5:$F$94,'Monthly Data'!$B$5:$B$94,$A9)</f>
        <v>203</v>
      </c>
      <c r="C9" s="17" t="n">
        <f aca="false">SUMIFS('Monthly Data'!$G$5:$G$94,'Monthly Data'!$B$5:$B$94,$A9)</f>
        <v>1070.85</v>
      </c>
      <c r="D9" s="17" t="n">
        <f aca="false">SUMIFS('Monthly Data'!$H$5:$H$94,'Monthly Data'!$B$5:$B$94,$A9)</f>
        <v>45.95</v>
      </c>
      <c r="E9" s="7" t="n">
        <v>203</v>
      </c>
      <c r="F9" s="8" t="n">
        <v>1070.85</v>
      </c>
      <c r="G9" s="8" t="n">
        <v>45.95</v>
      </c>
      <c r="H9" s="16" t="n">
        <f aca="false">IF(ISNUMBER(E9),B9-E9,"n/a")</f>
        <v>0</v>
      </c>
      <c r="I9" s="17" t="n">
        <f aca="false">IF(ISNUMBER(F9),C9-F9,"n/a")</f>
        <v>0</v>
      </c>
      <c r="J9" s="17" t="n">
        <f aca="false">IF(ISNUMBER(G9),D9-G9,"n/a")</f>
        <v>0</v>
      </c>
      <c r="K9" s="6" t="s">
        <v>56</v>
      </c>
    </row>
    <row r="10" customFormat="false" ht="15" hidden="false" customHeight="true" outlineLevel="0" collapsed="false">
      <c r="A10" s="13" t="s">
        <v>44</v>
      </c>
      <c r="B10" s="18" t="n">
        <f aca="false">SUM(B4:B9)</f>
        <v>997</v>
      </c>
      <c r="C10" s="19" t="n">
        <f aca="false">SUM(C4:C9)</f>
        <v>5433.28</v>
      </c>
      <c r="D10" s="19" t="n">
        <f aca="false">SUM(D4:D9)</f>
        <v>201.92</v>
      </c>
    </row>
    <row r="12" customFormat="false" ht="15" hidden="false" customHeight="true" outlineLevel="0" collapsed="false">
      <c r="A12" s="3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7" min="2" style="1" width="12"/>
  </cols>
  <sheetData>
    <row r="1" customFormat="false" ht="17.25" hidden="false" customHeight="true" outlineLevel="0" collapsed="false">
      <c r="A1" s="2" t="s">
        <v>58</v>
      </c>
    </row>
    <row r="3" customFormat="false" ht="15" hidden="false" customHeight="true" outlineLevel="0" collapsed="false">
      <c r="A3" s="13" t="s">
        <v>59</v>
      </c>
    </row>
    <row r="4" customFormat="false" ht="15" hidden="false" customHeight="true" outlineLevel="0" collapsed="false">
      <c r="A4" s="4" t="s">
        <v>2</v>
      </c>
      <c r="B4" s="4" t="s">
        <v>14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44</v>
      </c>
    </row>
    <row r="5" customFormat="false" ht="15" hidden="false" customHeight="true" outlineLevel="0" collapsed="false">
      <c r="A5" s="5" t="n">
        <v>45748</v>
      </c>
      <c r="B5" s="16" t="n">
        <f aca="false">SUMIFS('Monthly Data'!$F$5:$F$94,'Monthly Data'!$A$5:$A$94,$A5,'Monthly Data'!$C$5:$C$94,1080)</f>
        <v>9</v>
      </c>
      <c r="C5" s="16" t="n">
        <f aca="false">SUMIFS('Monthly Data'!$F$5:$F$94,'Monthly Data'!$A$5:$A$94,$A5,'Monthly Data'!$C$5:$C$94,1081)</f>
        <v>3</v>
      </c>
      <c r="D5" s="16" t="n">
        <f aca="false">SUMIFS('Monthly Data'!$F$5:$F$94,'Monthly Data'!$A$5:$A$94,$A5,'Monthly Data'!$C$5:$C$94,1082)</f>
        <v>30</v>
      </c>
      <c r="E5" s="16" t="n">
        <f aca="false">SUMIFS('Monthly Data'!$F$5:$F$94,'Monthly Data'!$A$5:$A$94,$A5,'Monthly Data'!$C$5:$C$94,1084)</f>
        <v>24</v>
      </c>
      <c r="F5" s="16" t="n">
        <f aca="false">SUMIFS('Monthly Data'!$F$5:$F$94,'Monthly Data'!$A$5:$A$94,$A5,'Monthly Data'!$C$5:$C$94,1085)</f>
        <v>11</v>
      </c>
      <c r="G5" s="18" t="n">
        <f aca="false">SUM(B5:F5)</f>
        <v>77</v>
      </c>
    </row>
    <row r="6" customFormat="false" ht="15" hidden="false" customHeight="true" outlineLevel="0" collapsed="false">
      <c r="A6" s="5" t="n">
        <v>45778</v>
      </c>
      <c r="B6" s="16" t="n">
        <f aca="false">SUMIFS('Monthly Data'!$F$5:$F$94,'Monthly Data'!$A$5:$A$94,$A6,'Monthly Data'!$C$5:$C$94,1080)</f>
        <v>3</v>
      </c>
      <c r="C6" s="16" t="n">
        <f aca="false">SUMIFS('Monthly Data'!$F$5:$F$94,'Monthly Data'!$A$5:$A$94,$A6,'Monthly Data'!$C$5:$C$94,1081)</f>
        <v>5</v>
      </c>
      <c r="D6" s="16" t="n">
        <f aca="false">SUMIFS('Monthly Data'!$F$5:$F$94,'Monthly Data'!$A$5:$A$94,$A6,'Monthly Data'!$C$5:$C$94,1082)</f>
        <v>14</v>
      </c>
      <c r="E6" s="16" t="n">
        <f aca="false">SUMIFS('Monthly Data'!$F$5:$F$94,'Monthly Data'!$A$5:$A$94,$A6,'Monthly Data'!$C$5:$C$94,1084)</f>
        <v>16</v>
      </c>
      <c r="F6" s="16" t="n">
        <f aca="false">SUMIFS('Monthly Data'!$F$5:$F$94,'Monthly Data'!$A$5:$A$94,$A6,'Monthly Data'!$C$5:$C$94,1085)</f>
        <v>12</v>
      </c>
      <c r="G6" s="18" t="n">
        <f aca="false">SUM(B6:F6)</f>
        <v>50</v>
      </c>
    </row>
    <row r="7" customFormat="false" ht="15" hidden="false" customHeight="true" outlineLevel="0" collapsed="false">
      <c r="A7" s="5" t="n">
        <v>45809</v>
      </c>
      <c r="B7" s="16" t="n">
        <f aca="false">SUMIFS('Monthly Data'!$F$5:$F$94,'Monthly Data'!$A$5:$A$94,$A7,'Monthly Data'!$C$5:$C$94,1080)</f>
        <v>11</v>
      </c>
      <c r="C7" s="16" t="n">
        <f aca="false">SUMIFS('Monthly Data'!$F$5:$F$94,'Monthly Data'!$A$5:$A$94,$A7,'Monthly Data'!$C$5:$C$94,1081)</f>
        <v>11</v>
      </c>
      <c r="D7" s="16" t="n">
        <f aca="false">SUMIFS('Monthly Data'!$F$5:$F$94,'Monthly Data'!$A$5:$A$94,$A7,'Monthly Data'!$C$5:$C$94,1082)</f>
        <v>18</v>
      </c>
      <c r="E7" s="16" t="n">
        <f aca="false">SUMIFS('Monthly Data'!$F$5:$F$94,'Monthly Data'!$A$5:$A$94,$A7,'Monthly Data'!$C$5:$C$94,1084)</f>
        <v>19</v>
      </c>
      <c r="F7" s="16" t="n">
        <f aca="false">SUMIFS('Monthly Data'!$F$5:$F$94,'Monthly Data'!$A$5:$A$94,$A7,'Monthly Data'!$C$5:$C$94,1085)</f>
        <v>14</v>
      </c>
      <c r="G7" s="18" t="n">
        <f aca="false">SUM(B7:F7)</f>
        <v>73</v>
      </c>
    </row>
    <row r="8" customFormat="false" ht="15" hidden="false" customHeight="true" outlineLevel="0" collapsed="false">
      <c r="A8" s="5" t="n">
        <v>45839</v>
      </c>
      <c r="B8" s="16" t="n">
        <f aca="false">SUMIFS('Monthly Data'!$F$5:$F$94,'Monthly Data'!$A$5:$A$94,$A8,'Monthly Data'!$C$5:$C$94,1080)</f>
        <v>7</v>
      </c>
      <c r="C8" s="16" t="n">
        <f aca="false">SUMIFS('Monthly Data'!$F$5:$F$94,'Monthly Data'!$A$5:$A$94,$A8,'Monthly Data'!$C$5:$C$94,1081)</f>
        <v>3</v>
      </c>
      <c r="D8" s="16" t="n">
        <f aca="false">SUMIFS('Monthly Data'!$F$5:$F$94,'Monthly Data'!$A$5:$A$94,$A8,'Monthly Data'!$C$5:$C$94,1082)</f>
        <v>22</v>
      </c>
      <c r="E8" s="16" t="n">
        <f aca="false">SUMIFS('Monthly Data'!$F$5:$F$94,'Monthly Data'!$A$5:$A$94,$A8,'Monthly Data'!$C$5:$C$94,1084)</f>
        <v>15</v>
      </c>
      <c r="F8" s="16" t="n">
        <f aca="false">SUMIFS('Monthly Data'!$F$5:$F$94,'Monthly Data'!$A$5:$A$94,$A8,'Monthly Data'!$C$5:$C$94,1085)</f>
        <v>17</v>
      </c>
      <c r="G8" s="18" t="n">
        <f aca="false">SUM(B8:F8)</f>
        <v>64</v>
      </c>
    </row>
    <row r="9" customFormat="false" ht="15" hidden="false" customHeight="true" outlineLevel="0" collapsed="false">
      <c r="A9" s="5" t="n">
        <v>45870</v>
      </c>
      <c r="B9" s="16" t="n">
        <f aca="false">SUMIFS('Monthly Data'!$F$5:$F$94,'Monthly Data'!$A$5:$A$94,$A9,'Monthly Data'!$C$5:$C$94,1080)</f>
        <v>13</v>
      </c>
      <c r="C9" s="16" t="n">
        <f aca="false">SUMIFS('Monthly Data'!$F$5:$F$94,'Monthly Data'!$A$5:$A$94,$A9,'Monthly Data'!$C$5:$C$94,1081)</f>
        <v>3</v>
      </c>
      <c r="D9" s="16" t="n">
        <f aca="false">SUMIFS('Monthly Data'!$F$5:$F$94,'Monthly Data'!$A$5:$A$94,$A9,'Monthly Data'!$C$5:$C$94,1082)</f>
        <v>19</v>
      </c>
      <c r="E9" s="16" t="n">
        <f aca="false">SUMIFS('Monthly Data'!$F$5:$F$94,'Monthly Data'!$A$5:$A$94,$A9,'Monthly Data'!$C$5:$C$94,1084)</f>
        <v>18</v>
      </c>
      <c r="F9" s="16" t="n">
        <f aca="false">SUMIFS('Monthly Data'!$F$5:$F$94,'Monthly Data'!$A$5:$A$94,$A9,'Monthly Data'!$C$5:$C$94,1085)</f>
        <v>11</v>
      </c>
      <c r="G9" s="18" t="n">
        <f aca="false">SUM(B9:F9)</f>
        <v>64</v>
      </c>
    </row>
    <row r="10" customFormat="false" ht="15" hidden="false" customHeight="true" outlineLevel="0" collapsed="false">
      <c r="A10" s="5" t="n">
        <v>45901</v>
      </c>
      <c r="B10" s="16" t="n">
        <f aca="false">SUMIFS('Monthly Data'!$F$5:$F$94,'Monthly Data'!$A$5:$A$94,$A10,'Monthly Data'!$C$5:$C$94,1080)</f>
        <v>10</v>
      </c>
      <c r="C10" s="16" t="n">
        <f aca="false">SUMIFS('Monthly Data'!$F$5:$F$94,'Monthly Data'!$A$5:$A$94,$A10,'Monthly Data'!$C$5:$C$94,1081)</f>
        <v>2</v>
      </c>
      <c r="D10" s="16" t="n">
        <f aca="false">SUMIFS('Monthly Data'!$F$5:$F$94,'Monthly Data'!$A$5:$A$94,$A10,'Monthly Data'!$C$5:$C$94,1082)</f>
        <v>18</v>
      </c>
      <c r="E10" s="16" t="n">
        <f aca="false">SUMIFS('Monthly Data'!$F$5:$F$94,'Monthly Data'!$A$5:$A$94,$A10,'Monthly Data'!$C$5:$C$94,1084)</f>
        <v>14</v>
      </c>
      <c r="F10" s="16" t="n">
        <f aca="false">SUMIFS('Monthly Data'!$F$5:$F$94,'Monthly Data'!$A$5:$A$94,$A10,'Monthly Data'!$C$5:$C$94,1085)</f>
        <v>20</v>
      </c>
      <c r="G10" s="18" t="n">
        <f aca="false">SUM(B10:F10)</f>
        <v>64</v>
      </c>
    </row>
    <row r="11" customFormat="false" ht="15" hidden="false" customHeight="true" outlineLevel="0" collapsed="false">
      <c r="A11" s="5" t="n">
        <v>45931</v>
      </c>
      <c r="B11" s="16" t="n">
        <f aca="false">SUMIFS('Monthly Data'!$F$5:$F$94,'Monthly Data'!$A$5:$A$94,$A11,'Monthly Data'!$C$5:$C$94,1080)</f>
        <v>13</v>
      </c>
      <c r="C11" s="16" t="n">
        <f aca="false">SUMIFS('Monthly Data'!$F$5:$F$94,'Monthly Data'!$A$5:$A$94,$A11,'Monthly Data'!$C$5:$C$94,1081)</f>
        <v>3</v>
      </c>
      <c r="D11" s="16" t="n">
        <f aca="false">SUMIFS('Monthly Data'!$F$5:$F$94,'Monthly Data'!$A$5:$A$94,$A11,'Monthly Data'!$C$5:$C$94,1082)</f>
        <v>0</v>
      </c>
      <c r="E11" s="16" t="n">
        <f aca="false">SUMIFS('Monthly Data'!$F$5:$F$94,'Monthly Data'!$A$5:$A$94,$A11,'Monthly Data'!$C$5:$C$94,1084)</f>
        <v>23</v>
      </c>
      <c r="F11" s="16" t="n">
        <f aca="false">SUMIFS('Monthly Data'!$F$5:$F$94,'Monthly Data'!$A$5:$A$94,$A11,'Monthly Data'!$C$5:$C$94,1085)</f>
        <v>7</v>
      </c>
      <c r="G11" s="18" t="n">
        <f aca="false">SUM(B11:F11)</f>
        <v>46</v>
      </c>
    </row>
    <row r="12" customFormat="false" ht="15" hidden="false" customHeight="true" outlineLevel="0" collapsed="false">
      <c r="A12" s="5" t="n">
        <v>45962</v>
      </c>
      <c r="B12" s="16" t="n">
        <f aca="false">SUMIFS('Monthly Data'!$F$5:$F$94,'Monthly Data'!$A$5:$A$94,$A12,'Monthly Data'!$C$5:$C$94,1080)</f>
        <v>5</v>
      </c>
      <c r="C12" s="16" t="n">
        <f aca="false">SUMIFS('Monthly Data'!$F$5:$F$94,'Monthly Data'!$A$5:$A$94,$A12,'Monthly Data'!$C$5:$C$94,1081)</f>
        <v>1</v>
      </c>
      <c r="D12" s="16" t="n">
        <f aca="false">SUMIFS('Monthly Data'!$F$5:$F$94,'Monthly Data'!$A$5:$A$94,$A12,'Monthly Data'!$C$5:$C$94,1082)</f>
        <v>0</v>
      </c>
      <c r="E12" s="16" t="n">
        <f aca="false">SUMIFS('Monthly Data'!$F$5:$F$94,'Monthly Data'!$A$5:$A$94,$A12,'Monthly Data'!$C$5:$C$94,1084)</f>
        <v>18</v>
      </c>
      <c r="F12" s="16" t="n">
        <f aca="false">SUMIFS('Monthly Data'!$F$5:$F$94,'Monthly Data'!$A$5:$A$94,$A12,'Monthly Data'!$C$5:$C$94,1085)</f>
        <v>10</v>
      </c>
      <c r="G12" s="18" t="n">
        <f aca="false">SUM(B12:F12)</f>
        <v>34</v>
      </c>
    </row>
    <row r="13" customFormat="false" ht="15" hidden="false" customHeight="true" outlineLevel="0" collapsed="false">
      <c r="A13" s="5" t="n">
        <v>45992</v>
      </c>
      <c r="B13" s="16" t="n">
        <f aca="false">SUMIFS('Monthly Data'!$F$5:$F$94,'Monthly Data'!$A$5:$A$94,$A13,'Monthly Data'!$C$5:$C$94,1080)</f>
        <v>13</v>
      </c>
      <c r="C13" s="16" t="n">
        <f aca="false">SUMIFS('Monthly Data'!$F$5:$F$94,'Monthly Data'!$A$5:$A$94,$A13,'Monthly Data'!$C$5:$C$94,1081)</f>
        <v>1</v>
      </c>
      <c r="D13" s="16" t="n">
        <f aca="false">SUMIFS('Monthly Data'!$F$5:$F$94,'Monthly Data'!$A$5:$A$94,$A13,'Monthly Data'!$C$5:$C$94,1082)</f>
        <v>0</v>
      </c>
      <c r="E13" s="16" t="n">
        <f aca="false">SUMIFS('Monthly Data'!$F$5:$F$94,'Monthly Data'!$A$5:$A$94,$A13,'Monthly Data'!$C$5:$C$94,1084)</f>
        <v>14</v>
      </c>
      <c r="F13" s="16" t="n">
        <f aca="false">SUMIFS('Monthly Data'!$F$5:$F$94,'Monthly Data'!$A$5:$A$94,$A13,'Monthly Data'!$C$5:$C$94,1085)</f>
        <v>18</v>
      </c>
      <c r="G13" s="18" t="n">
        <f aca="false">SUM(B13:F13)</f>
        <v>46</v>
      </c>
    </row>
    <row r="14" customFormat="false" ht="15" hidden="false" customHeight="true" outlineLevel="0" collapsed="false">
      <c r="A14" s="5" t="n">
        <v>46023</v>
      </c>
      <c r="B14" s="16" t="n">
        <f aca="false">SUMIFS('Monthly Data'!$F$5:$F$94,'Monthly Data'!$A$5:$A$94,$A14,'Monthly Data'!$C$5:$C$94,1080)</f>
        <v>11</v>
      </c>
      <c r="C14" s="16" t="n">
        <f aca="false">SUMIFS('Monthly Data'!$F$5:$F$94,'Monthly Data'!$A$5:$A$94,$A14,'Monthly Data'!$C$5:$C$94,1081)</f>
        <v>5</v>
      </c>
      <c r="D14" s="16" t="n">
        <f aca="false">SUMIFS('Monthly Data'!$F$5:$F$94,'Monthly Data'!$A$5:$A$94,$A14,'Monthly Data'!$C$5:$C$94,1082)</f>
        <v>0</v>
      </c>
      <c r="E14" s="16" t="n">
        <f aca="false">SUMIFS('Monthly Data'!$F$5:$F$94,'Monthly Data'!$A$5:$A$94,$A14,'Monthly Data'!$C$5:$C$94,1084)</f>
        <v>17</v>
      </c>
      <c r="F14" s="16" t="n">
        <f aca="false">SUMIFS('Monthly Data'!$F$5:$F$94,'Monthly Data'!$A$5:$A$94,$A14,'Monthly Data'!$C$5:$C$94,1085)</f>
        <v>0</v>
      </c>
      <c r="G14" s="18" t="n">
        <f aca="false">SUM(B14:F14)</f>
        <v>33</v>
      </c>
    </row>
    <row r="15" customFormat="false" ht="15" hidden="false" customHeight="true" outlineLevel="0" collapsed="false">
      <c r="A15" s="5" t="n">
        <v>46054</v>
      </c>
      <c r="B15" s="16" t="n">
        <f aca="false">SUMIFS('Monthly Data'!$F$5:$F$94,'Monthly Data'!$A$5:$A$94,$A15,'Monthly Data'!$C$5:$C$94,1080)</f>
        <v>8</v>
      </c>
      <c r="C15" s="16" t="n">
        <f aca="false">SUMIFS('Monthly Data'!$F$5:$F$94,'Monthly Data'!$A$5:$A$94,$A15,'Monthly Data'!$C$5:$C$94,1081)</f>
        <v>2</v>
      </c>
      <c r="D15" s="16" t="n">
        <f aca="false">SUMIFS('Monthly Data'!$F$5:$F$94,'Monthly Data'!$A$5:$A$94,$A15,'Monthly Data'!$C$5:$C$94,1082)</f>
        <v>0</v>
      </c>
      <c r="E15" s="16" t="n">
        <f aca="false">SUMIFS('Monthly Data'!$F$5:$F$94,'Monthly Data'!$A$5:$A$94,$A15,'Monthly Data'!$C$5:$C$94,1084)</f>
        <v>21</v>
      </c>
      <c r="F15" s="16" t="n">
        <f aca="false">SUMIFS('Monthly Data'!$F$5:$F$94,'Monthly Data'!$A$5:$A$94,$A15,'Monthly Data'!$C$5:$C$94,1085)</f>
        <v>0</v>
      </c>
      <c r="G15" s="18" t="n">
        <f aca="false">SUM(B15:F15)</f>
        <v>31</v>
      </c>
    </row>
    <row r="16" customFormat="false" ht="15" hidden="false" customHeight="true" outlineLevel="0" collapsed="false">
      <c r="A16" s="5" t="n">
        <v>46082</v>
      </c>
      <c r="B16" s="16" t="n">
        <f aca="false">SUMIFS('Monthly Data'!$F$5:$F$94,'Monthly Data'!$A$5:$A$94,$A16,'Monthly Data'!$C$5:$C$94,1080)</f>
        <v>9</v>
      </c>
      <c r="C16" s="16" t="n">
        <f aca="false">SUMIFS('Monthly Data'!$F$5:$F$94,'Monthly Data'!$A$5:$A$94,$A16,'Monthly Data'!$C$5:$C$94,1081)</f>
        <v>5</v>
      </c>
      <c r="D16" s="16" t="n">
        <f aca="false">SUMIFS('Monthly Data'!$F$5:$F$94,'Monthly Data'!$A$5:$A$94,$A16,'Monthly Data'!$C$5:$C$94,1082)</f>
        <v>0</v>
      </c>
      <c r="E16" s="16" t="n">
        <f aca="false">SUMIFS('Monthly Data'!$F$5:$F$94,'Monthly Data'!$A$5:$A$94,$A16,'Monthly Data'!$C$5:$C$94,1084)</f>
        <v>24</v>
      </c>
      <c r="F16" s="16" t="n">
        <f aca="false">SUMIFS('Monthly Data'!$F$5:$F$94,'Monthly Data'!$A$5:$A$94,$A16,'Monthly Data'!$C$5:$C$94,1085)</f>
        <v>0</v>
      </c>
      <c r="G16" s="18" t="n">
        <f aca="false">SUM(B16:F16)</f>
        <v>38</v>
      </c>
    </row>
    <row r="17" customFormat="false" ht="15" hidden="false" customHeight="true" outlineLevel="0" collapsed="false">
      <c r="A17" s="5" t="n">
        <v>46113</v>
      </c>
      <c r="B17" s="16" t="n">
        <f aca="false">SUMIFS('Monthly Data'!$F$5:$F$94,'Monthly Data'!$A$5:$A$94,$A17,'Monthly Data'!$C$5:$C$94,1080)</f>
        <v>14</v>
      </c>
      <c r="C17" s="16" t="n">
        <f aca="false">SUMIFS('Monthly Data'!$F$5:$F$94,'Monthly Data'!$A$5:$A$94,$A17,'Monthly Data'!$C$5:$C$94,1081)</f>
        <v>1</v>
      </c>
      <c r="D17" s="16" t="n">
        <f aca="false">SUMIFS('Monthly Data'!$F$5:$F$94,'Monthly Data'!$A$5:$A$94,$A17,'Monthly Data'!$C$5:$C$94,1082)</f>
        <v>16</v>
      </c>
      <c r="E17" s="16" t="n">
        <f aca="false">SUMIFS('Monthly Data'!$F$5:$F$94,'Monthly Data'!$A$5:$A$94,$A17,'Monthly Data'!$C$5:$C$94,1084)</f>
        <v>19</v>
      </c>
      <c r="F17" s="16" t="n">
        <f aca="false">SUMIFS('Monthly Data'!$F$5:$F$94,'Monthly Data'!$A$5:$A$94,$A17,'Monthly Data'!$C$5:$C$94,1085)</f>
        <v>0</v>
      </c>
      <c r="G17" s="18" t="n">
        <f aca="false">SUM(B17:F17)</f>
        <v>50</v>
      </c>
    </row>
    <row r="18" customFormat="false" ht="15" hidden="false" customHeight="true" outlineLevel="0" collapsed="false">
      <c r="A18" s="5" t="n">
        <v>46143</v>
      </c>
      <c r="B18" s="16" t="n">
        <f aca="false">SUMIFS('Monthly Data'!$F$5:$F$94,'Monthly Data'!$A$5:$A$94,$A18,'Monthly Data'!$C$5:$C$94,1080)</f>
        <v>13</v>
      </c>
      <c r="C18" s="16" t="n">
        <f aca="false">SUMIFS('Monthly Data'!$F$5:$F$94,'Monthly Data'!$A$5:$A$94,$A18,'Monthly Data'!$C$5:$C$94,1081)</f>
        <v>2</v>
      </c>
      <c r="D18" s="16" t="n">
        <f aca="false">SUMIFS('Monthly Data'!$F$5:$F$94,'Monthly Data'!$A$5:$A$94,$A18,'Monthly Data'!$C$5:$C$94,1082)</f>
        <v>11</v>
      </c>
      <c r="E18" s="16" t="n">
        <f aca="false">SUMIFS('Monthly Data'!$F$5:$F$94,'Monthly Data'!$A$5:$A$94,$A18,'Monthly Data'!$C$5:$C$94,1084)</f>
        <v>28</v>
      </c>
      <c r="F18" s="16" t="n">
        <f aca="false">SUMIFS('Monthly Data'!$F$5:$F$94,'Monthly Data'!$A$5:$A$94,$A18,'Monthly Data'!$C$5:$C$94,1085)</f>
        <v>4</v>
      </c>
      <c r="G18" s="18" t="n">
        <f aca="false">SUM(B18:F18)</f>
        <v>58</v>
      </c>
    </row>
    <row r="19" customFormat="false" ht="15" hidden="false" customHeight="true" outlineLevel="0" collapsed="false">
      <c r="A19" s="5" t="n">
        <v>46174</v>
      </c>
      <c r="B19" s="16" t="n">
        <f aca="false">SUMIFS('Monthly Data'!$F$5:$F$94,'Monthly Data'!$A$5:$A$94,$A19,'Monthly Data'!$C$5:$C$94,1080)</f>
        <v>9</v>
      </c>
      <c r="C19" s="16" t="n">
        <f aca="false">SUMIFS('Monthly Data'!$F$5:$F$94,'Monthly Data'!$A$5:$A$94,$A19,'Monthly Data'!$C$5:$C$94,1081)</f>
        <v>6</v>
      </c>
      <c r="D19" s="16" t="n">
        <f aca="false">SUMIFS('Monthly Data'!$F$5:$F$94,'Monthly Data'!$A$5:$A$94,$A19,'Monthly Data'!$C$5:$C$94,1082)</f>
        <v>15</v>
      </c>
      <c r="E19" s="16" t="n">
        <f aca="false">SUMIFS('Monthly Data'!$F$5:$F$94,'Monthly Data'!$A$5:$A$94,$A19,'Monthly Data'!$C$5:$C$94,1084)</f>
        <v>23</v>
      </c>
      <c r="F19" s="16" t="n">
        <f aca="false">SUMIFS('Monthly Data'!$F$5:$F$94,'Monthly Data'!$A$5:$A$94,$A19,'Monthly Data'!$C$5:$C$94,1085)</f>
        <v>13</v>
      </c>
      <c r="G19" s="18" t="n">
        <f aca="false">SUM(B19:F19)</f>
        <v>66</v>
      </c>
    </row>
    <row r="20" customFormat="false" ht="15" hidden="false" customHeight="true" outlineLevel="0" collapsed="false">
      <c r="A20" s="5" t="n">
        <v>46204</v>
      </c>
      <c r="B20" s="16" t="n">
        <f aca="false">SUMIFS('Monthly Data'!$F$5:$F$94,'Monthly Data'!$A$5:$A$94,$A20,'Monthly Data'!$C$5:$C$94,1080)</f>
        <v>9</v>
      </c>
      <c r="C20" s="16" t="n">
        <f aca="false">SUMIFS('Monthly Data'!$F$5:$F$94,'Monthly Data'!$A$5:$A$94,$A20,'Monthly Data'!$C$5:$C$94,1081)</f>
        <v>8</v>
      </c>
      <c r="D20" s="16" t="n">
        <f aca="false">SUMIFS('Monthly Data'!$F$5:$F$94,'Monthly Data'!$A$5:$A$94,$A20,'Monthly Data'!$C$5:$C$94,1082)</f>
        <v>20</v>
      </c>
      <c r="E20" s="16" t="n">
        <f aca="false">SUMIFS('Monthly Data'!$F$5:$F$94,'Monthly Data'!$A$5:$A$94,$A20,'Monthly Data'!$C$5:$C$94,1084)</f>
        <v>32</v>
      </c>
      <c r="F20" s="16" t="n">
        <f aca="false">SUMIFS('Monthly Data'!$F$5:$F$94,'Monthly Data'!$A$5:$A$94,$A20,'Monthly Data'!$C$5:$C$94,1085)</f>
        <v>7</v>
      </c>
      <c r="G20" s="18" t="n">
        <f aca="false">SUM(B20:F20)</f>
        <v>76</v>
      </c>
    </row>
    <row r="21" customFormat="false" ht="15" hidden="false" customHeight="true" outlineLevel="0" collapsed="false">
      <c r="A21" s="5" t="n">
        <v>46235</v>
      </c>
      <c r="B21" s="16" t="n">
        <f aca="false">SUMIFS('Monthly Data'!$F$5:$F$94,'Monthly Data'!$A$5:$A$94,$A21,'Monthly Data'!$C$5:$C$94,1080)</f>
        <v>9</v>
      </c>
      <c r="C21" s="16" t="n">
        <f aca="false">SUMIFS('Monthly Data'!$F$5:$F$94,'Monthly Data'!$A$5:$A$94,$A21,'Monthly Data'!$C$5:$C$94,1081)</f>
        <v>2</v>
      </c>
      <c r="D21" s="16" t="n">
        <f aca="false">SUMIFS('Monthly Data'!$F$5:$F$94,'Monthly Data'!$A$5:$A$94,$A21,'Monthly Data'!$C$5:$C$94,1082)</f>
        <v>17</v>
      </c>
      <c r="E21" s="16" t="n">
        <f aca="false">SUMIFS('Monthly Data'!$F$5:$F$94,'Monthly Data'!$A$5:$A$94,$A21,'Monthly Data'!$C$5:$C$94,1084)</f>
        <v>21</v>
      </c>
      <c r="F21" s="16" t="n">
        <f aca="false">SUMIFS('Monthly Data'!$F$5:$F$94,'Monthly Data'!$A$5:$A$94,$A21,'Monthly Data'!$C$5:$C$94,1085)</f>
        <v>12</v>
      </c>
      <c r="G21" s="18" t="n">
        <f aca="false">SUM(B21:F21)</f>
        <v>61</v>
      </c>
    </row>
    <row r="22" customFormat="false" ht="15" hidden="false" customHeight="true" outlineLevel="0" collapsed="false">
      <c r="A22" s="5" t="n">
        <v>46266</v>
      </c>
      <c r="B22" s="16" t="n">
        <f aca="false">SUMIFS('Monthly Data'!$F$5:$F$94,'Monthly Data'!$A$5:$A$94,$A22,'Monthly Data'!$C$5:$C$94,1080)</f>
        <v>4</v>
      </c>
      <c r="C22" s="16" t="n">
        <f aca="false">SUMIFS('Monthly Data'!$F$5:$F$94,'Monthly Data'!$A$5:$A$94,$A22,'Monthly Data'!$C$5:$C$94,1081)</f>
        <v>4</v>
      </c>
      <c r="D22" s="16" t="n">
        <f aca="false">SUMIFS('Monthly Data'!$F$5:$F$94,'Monthly Data'!$A$5:$A$94,$A22,'Monthly Data'!$C$5:$C$94,1082)</f>
        <v>26</v>
      </c>
      <c r="E22" s="16" t="n">
        <f aca="false">SUMIFS('Monthly Data'!$F$5:$F$94,'Monthly Data'!$A$5:$A$94,$A22,'Monthly Data'!$C$5:$C$94,1084)</f>
        <v>15</v>
      </c>
      <c r="F22" s="16" t="n">
        <f aca="false">SUMIFS('Monthly Data'!$F$5:$F$94,'Monthly Data'!$A$5:$A$94,$A22,'Monthly Data'!$C$5:$C$94,1085)</f>
        <v>17</v>
      </c>
      <c r="G22" s="18" t="n">
        <f aca="false">SUM(B22:F22)</f>
        <v>66</v>
      </c>
    </row>
    <row r="23" customFormat="false" ht="15" hidden="false" customHeight="true" outlineLevel="0" collapsed="false">
      <c r="A23" s="13" t="s">
        <v>44</v>
      </c>
      <c r="B23" s="18" t="n">
        <f aca="false">SUM(B5:B22)</f>
        <v>170</v>
      </c>
      <c r="C23" s="18" t="n">
        <f aca="false">SUM(C5:C22)</f>
        <v>67</v>
      </c>
      <c r="D23" s="18" t="n">
        <f aca="false">SUM(D5:D22)</f>
        <v>226</v>
      </c>
      <c r="E23" s="18" t="n">
        <f aca="false">SUM(E5:E22)</f>
        <v>361</v>
      </c>
      <c r="F23" s="18" t="n">
        <f aca="false">SUM(F5:F22)</f>
        <v>173</v>
      </c>
      <c r="G23" s="18" t="n">
        <f aca="false">SUM(G5:G22)</f>
        <v>997</v>
      </c>
    </row>
    <row r="26" customFormat="false" ht="15" hidden="false" customHeight="true" outlineLevel="0" collapsed="false">
      <c r="A26" s="13" t="s">
        <v>60</v>
      </c>
    </row>
    <row r="27" customFormat="false" ht="15" hidden="false" customHeight="true" outlineLevel="0" collapsed="false">
      <c r="A27" s="4" t="s">
        <v>2</v>
      </c>
      <c r="B27" s="4" t="s">
        <v>14</v>
      </c>
      <c r="C27" s="4" t="s">
        <v>17</v>
      </c>
      <c r="D27" s="4" t="s">
        <v>18</v>
      </c>
      <c r="E27" s="4" t="s">
        <v>19</v>
      </c>
      <c r="F27" s="4" t="s">
        <v>20</v>
      </c>
      <c r="G27" s="4" t="s">
        <v>44</v>
      </c>
    </row>
    <row r="28" customFormat="false" ht="15" hidden="false" customHeight="true" outlineLevel="0" collapsed="false">
      <c r="A28" s="5" t="n">
        <v>45748</v>
      </c>
      <c r="B28" s="17" t="n">
        <f aca="false">SUMIFS('Monthly Data'!$G$5:$G$94,'Monthly Data'!$A$5:$A$94,$A28,'Monthly Data'!$C$5:$C$94,1080)</f>
        <v>38.2</v>
      </c>
      <c r="C28" s="17" t="n">
        <f aca="false">SUMIFS('Monthly Data'!$G$5:$G$94,'Monthly Data'!$A$5:$A$94,$A28,'Monthly Data'!$C$5:$C$94,1081)</f>
        <v>24.32</v>
      </c>
      <c r="D28" s="17" t="n">
        <f aca="false">SUMIFS('Monthly Data'!$G$5:$G$94,'Monthly Data'!$A$5:$A$94,$A28,'Monthly Data'!$C$5:$C$94,1082)</f>
        <v>176.3</v>
      </c>
      <c r="E28" s="17" t="n">
        <f aca="false">SUMIFS('Monthly Data'!$G$5:$G$94,'Monthly Data'!$A$5:$A$94,$A28,'Monthly Data'!$C$5:$C$94,1084)</f>
        <v>177.73</v>
      </c>
      <c r="F28" s="17" t="n">
        <f aca="false">SUMIFS('Monthly Data'!$G$5:$G$94,'Monthly Data'!$A$5:$A$94,$A28,'Monthly Data'!$C$5:$C$94,1085)</f>
        <v>70.77</v>
      </c>
      <c r="G28" s="19" t="n">
        <f aca="false">SUM(B28:F28)</f>
        <v>487.32</v>
      </c>
    </row>
    <row r="29" customFormat="false" ht="15" hidden="false" customHeight="true" outlineLevel="0" collapsed="false">
      <c r="A29" s="5" t="n">
        <v>45778</v>
      </c>
      <c r="B29" s="17" t="n">
        <f aca="false">SUMIFS('Monthly Data'!$G$5:$G$94,'Monthly Data'!$A$5:$A$94,$A29,'Monthly Data'!$C$5:$C$94,1080)</f>
        <v>5.94</v>
      </c>
      <c r="C29" s="17" t="n">
        <f aca="false">SUMIFS('Monthly Data'!$G$5:$G$94,'Monthly Data'!$A$5:$A$94,$A29,'Monthly Data'!$C$5:$C$94,1081)</f>
        <v>19.82</v>
      </c>
      <c r="D29" s="17" t="n">
        <f aca="false">SUMIFS('Monthly Data'!$G$5:$G$94,'Monthly Data'!$A$5:$A$94,$A29,'Monthly Data'!$C$5:$C$94,1082)</f>
        <v>71.09</v>
      </c>
      <c r="E29" s="17" t="n">
        <f aca="false">SUMIFS('Monthly Data'!$G$5:$G$94,'Monthly Data'!$A$5:$A$94,$A29,'Monthly Data'!$C$5:$C$94,1084)</f>
        <v>53.21</v>
      </c>
      <c r="F29" s="17" t="n">
        <f aca="false">SUMIFS('Monthly Data'!$G$5:$G$94,'Monthly Data'!$A$5:$A$94,$A29,'Monthly Data'!$C$5:$C$94,1085)</f>
        <v>44.45</v>
      </c>
      <c r="G29" s="19" t="n">
        <f aca="false">SUM(B29:F29)</f>
        <v>194.51</v>
      </c>
    </row>
    <row r="30" customFormat="false" ht="15" hidden="false" customHeight="true" outlineLevel="0" collapsed="false">
      <c r="A30" s="5" t="n">
        <v>45809</v>
      </c>
      <c r="B30" s="17" t="n">
        <f aca="false">SUMIFS('Monthly Data'!$G$5:$G$94,'Monthly Data'!$A$5:$A$94,$A30,'Monthly Data'!$C$5:$C$94,1080)</f>
        <v>57.39</v>
      </c>
      <c r="C30" s="17" t="n">
        <f aca="false">SUMIFS('Monthly Data'!$G$5:$G$94,'Monthly Data'!$A$5:$A$94,$A30,'Monthly Data'!$C$5:$C$94,1081)</f>
        <v>104.84</v>
      </c>
      <c r="D30" s="17" t="n">
        <f aca="false">SUMIFS('Monthly Data'!$G$5:$G$94,'Monthly Data'!$A$5:$A$94,$A30,'Monthly Data'!$C$5:$C$94,1082)</f>
        <v>77.16</v>
      </c>
      <c r="E30" s="17" t="n">
        <f aca="false">SUMIFS('Monthly Data'!$G$5:$G$94,'Monthly Data'!$A$5:$A$94,$A30,'Monthly Data'!$C$5:$C$94,1084)</f>
        <v>130.6</v>
      </c>
      <c r="F30" s="17" t="n">
        <f aca="false">SUMIFS('Monthly Data'!$G$5:$G$94,'Monthly Data'!$A$5:$A$94,$A30,'Monthly Data'!$C$5:$C$94,1085)</f>
        <v>66.02</v>
      </c>
      <c r="G30" s="19" t="n">
        <f aca="false">SUM(B30:F30)</f>
        <v>436.01</v>
      </c>
    </row>
    <row r="31" customFormat="false" ht="15" hidden="false" customHeight="true" outlineLevel="0" collapsed="false">
      <c r="A31" s="5" t="n">
        <v>45839</v>
      </c>
      <c r="B31" s="17" t="n">
        <f aca="false">SUMIFS('Monthly Data'!$G$5:$G$94,'Monthly Data'!$A$5:$A$94,$A31,'Monthly Data'!$C$5:$C$94,1080)</f>
        <v>26.32</v>
      </c>
      <c r="C31" s="17" t="n">
        <f aca="false">SUMIFS('Monthly Data'!$G$5:$G$94,'Monthly Data'!$A$5:$A$94,$A31,'Monthly Data'!$C$5:$C$94,1081)</f>
        <v>14.32</v>
      </c>
      <c r="D31" s="17" t="n">
        <f aca="false">SUMIFS('Monthly Data'!$G$5:$G$94,'Monthly Data'!$A$5:$A$94,$A31,'Monthly Data'!$C$5:$C$94,1082)</f>
        <v>91.85</v>
      </c>
      <c r="E31" s="17" t="n">
        <f aca="false">SUMIFS('Monthly Data'!$G$5:$G$94,'Monthly Data'!$A$5:$A$94,$A31,'Monthly Data'!$C$5:$C$94,1084)</f>
        <v>60.84</v>
      </c>
      <c r="F31" s="17" t="n">
        <f aca="false">SUMIFS('Monthly Data'!$G$5:$G$94,'Monthly Data'!$A$5:$A$94,$A31,'Monthly Data'!$C$5:$C$94,1085)</f>
        <v>92.65</v>
      </c>
      <c r="G31" s="19" t="n">
        <f aca="false">SUM(B31:F31)</f>
        <v>285.98</v>
      </c>
    </row>
    <row r="32" customFormat="false" ht="15" hidden="false" customHeight="true" outlineLevel="0" collapsed="false">
      <c r="A32" s="5" t="n">
        <v>45870</v>
      </c>
      <c r="B32" s="17" t="n">
        <f aca="false">SUMIFS('Monthly Data'!$G$5:$G$94,'Monthly Data'!$A$5:$A$94,$A32,'Monthly Data'!$C$5:$C$94,1080)</f>
        <v>51.96</v>
      </c>
      <c r="C32" s="17" t="n">
        <f aca="false">SUMIFS('Monthly Data'!$G$5:$G$94,'Monthly Data'!$A$5:$A$94,$A32,'Monthly Data'!$C$5:$C$94,1081)</f>
        <v>11.63</v>
      </c>
      <c r="D32" s="17" t="n">
        <f aca="false">SUMIFS('Monthly Data'!$G$5:$G$94,'Monthly Data'!$A$5:$A$94,$A32,'Monthly Data'!$C$5:$C$94,1082)</f>
        <v>133.29</v>
      </c>
      <c r="E32" s="17" t="n">
        <f aca="false">SUMIFS('Monthly Data'!$G$5:$G$94,'Monthly Data'!$A$5:$A$94,$A32,'Monthly Data'!$C$5:$C$94,1084)</f>
        <v>138.47</v>
      </c>
      <c r="F32" s="17" t="n">
        <f aca="false">SUMIFS('Monthly Data'!$G$5:$G$94,'Monthly Data'!$A$5:$A$94,$A32,'Monthly Data'!$C$5:$C$94,1085)</f>
        <v>54.39</v>
      </c>
      <c r="G32" s="19" t="n">
        <f aca="false">SUM(B32:F32)</f>
        <v>389.74</v>
      </c>
    </row>
    <row r="33" customFormat="false" ht="15" hidden="false" customHeight="true" outlineLevel="0" collapsed="false">
      <c r="A33" s="5" t="n">
        <v>45901</v>
      </c>
      <c r="B33" s="17" t="n">
        <f aca="false">SUMIFS('Monthly Data'!$G$5:$G$94,'Monthly Data'!$A$5:$A$94,$A33,'Monthly Data'!$C$5:$C$94,1080)</f>
        <v>39.71</v>
      </c>
      <c r="C33" s="17" t="n">
        <f aca="false">SUMIFS('Monthly Data'!$G$5:$G$94,'Monthly Data'!$A$5:$A$94,$A33,'Monthly Data'!$C$5:$C$94,1081)</f>
        <v>5.19</v>
      </c>
      <c r="D33" s="17" t="n">
        <f aca="false">SUMIFS('Monthly Data'!$G$5:$G$94,'Monthly Data'!$A$5:$A$94,$A33,'Monthly Data'!$C$5:$C$94,1082)</f>
        <v>110.47</v>
      </c>
      <c r="E33" s="17" t="n">
        <f aca="false">SUMIFS('Monthly Data'!$G$5:$G$94,'Monthly Data'!$A$5:$A$94,$A33,'Monthly Data'!$C$5:$C$94,1084)</f>
        <v>52.47</v>
      </c>
      <c r="F33" s="17" t="n">
        <f aca="false">SUMIFS('Monthly Data'!$G$5:$G$94,'Monthly Data'!$A$5:$A$94,$A33,'Monthly Data'!$C$5:$C$94,1085)</f>
        <v>97.59</v>
      </c>
      <c r="G33" s="19" t="n">
        <f aca="false">SUM(B33:F33)</f>
        <v>305.43</v>
      </c>
    </row>
    <row r="34" customFormat="false" ht="15" hidden="false" customHeight="true" outlineLevel="0" collapsed="false">
      <c r="A34" s="5" t="n">
        <v>45931</v>
      </c>
      <c r="B34" s="17" t="n">
        <f aca="false">SUMIFS('Monthly Data'!$G$5:$G$94,'Monthly Data'!$A$5:$A$94,$A34,'Monthly Data'!$C$5:$C$94,1080)</f>
        <v>83.65</v>
      </c>
      <c r="C34" s="17" t="n">
        <f aca="false">SUMIFS('Monthly Data'!$G$5:$G$94,'Monthly Data'!$A$5:$A$94,$A34,'Monthly Data'!$C$5:$C$94,1081)</f>
        <v>17.63</v>
      </c>
      <c r="D34" s="17" t="n">
        <f aca="false">SUMIFS('Monthly Data'!$G$5:$G$94,'Monthly Data'!$A$5:$A$94,$A34,'Monthly Data'!$C$5:$C$94,1082)</f>
        <v>0</v>
      </c>
      <c r="E34" s="17" t="n">
        <f aca="false">SUMIFS('Monthly Data'!$G$5:$G$94,'Monthly Data'!$A$5:$A$94,$A34,'Monthly Data'!$C$5:$C$94,1084)</f>
        <v>87.98</v>
      </c>
      <c r="F34" s="17" t="n">
        <f aca="false">SUMIFS('Monthly Data'!$G$5:$G$94,'Monthly Data'!$A$5:$A$94,$A34,'Monthly Data'!$C$5:$C$94,1085)</f>
        <v>30.08</v>
      </c>
      <c r="G34" s="19" t="n">
        <f aca="false">SUM(B34:F34)</f>
        <v>219.34</v>
      </c>
    </row>
    <row r="35" customFormat="false" ht="15" hidden="false" customHeight="true" outlineLevel="0" collapsed="false">
      <c r="A35" s="5" t="n">
        <v>45962</v>
      </c>
      <c r="B35" s="17" t="n">
        <f aca="false">SUMIFS('Monthly Data'!$G$5:$G$94,'Monthly Data'!$A$5:$A$94,$A35,'Monthly Data'!$C$5:$C$94,1080)</f>
        <v>24.51</v>
      </c>
      <c r="C35" s="17" t="n">
        <f aca="false">SUMIFS('Monthly Data'!$G$5:$G$94,'Monthly Data'!$A$5:$A$94,$A35,'Monthly Data'!$C$5:$C$94,1081)</f>
        <v>2.44</v>
      </c>
      <c r="D35" s="17" t="n">
        <f aca="false">SUMIFS('Monthly Data'!$G$5:$G$94,'Monthly Data'!$A$5:$A$94,$A35,'Monthly Data'!$C$5:$C$94,1082)</f>
        <v>0</v>
      </c>
      <c r="E35" s="17" t="n">
        <f aca="false">SUMIFS('Monthly Data'!$G$5:$G$94,'Monthly Data'!$A$5:$A$94,$A35,'Monthly Data'!$C$5:$C$94,1084)</f>
        <v>95.09</v>
      </c>
      <c r="F35" s="17" t="n">
        <f aca="false">SUMIFS('Monthly Data'!$G$5:$G$94,'Monthly Data'!$A$5:$A$94,$A35,'Monthly Data'!$C$5:$C$94,1085)</f>
        <v>44.71</v>
      </c>
      <c r="G35" s="19" t="n">
        <f aca="false">SUM(B35:F35)</f>
        <v>166.75</v>
      </c>
    </row>
    <row r="36" customFormat="false" ht="15" hidden="false" customHeight="true" outlineLevel="0" collapsed="false">
      <c r="A36" s="5" t="n">
        <v>45992</v>
      </c>
      <c r="B36" s="17" t="n">
        <f aca="false">SUMIFS('Monthly Data'!$G$5:$G$94,'Monthly Data'!$A$5:$A$94,$A36,'Monthly Data'!$C$5:$C$94,1080)</f>
        <v>91.65</v>
      </c>
      <c r="C36" s="17" t="n">
        <f aca="false">SUMIFS('Monthly Data'!$G$5:$G$94,'Monthly Data'!$A$5:$A$94,$A36,'Monthly Data'!$C$5:$C$94,1081)</f>
        <v>13.44</v>
      </c>
      <c r="D36" s="17" t="n">
        <f aca="false">SUMIFS('Monthly Data'!$G$5:$G$94,'Monthly Data'!$A$5:$A$94,$A36,'Monthly Data'!$C$5:$C$94,1082)</f>
        <v>0</v>
      </c>
      <c r="E36" s="17" t="n">
        <f aca="false">SUMIFS('Monthly Data'!$G$5:$G$94,'Monthly Data'!$A$5:$A$94,$A36,'Monthly Data'!$C$5:$C$94,1084)</f>
        <v>88.4</v>
      </c>
      <c r="F36" s="17" t="n">
        <f aca="false">SUMIFS('Monthly Data'!$G$5:$G$94,'Monthly Data'!$A$5:$A$94,$A36,'Monthly Data'!$C$5:$C$94,1085)</f>
        <v>89.54</v>
      </c>
      <c r="G36" s="19" t="n">
        <f aca="false">SUM(B36:F36)</f>
        <v>283.03</v>
      </c>
    </row>
    <row r="37" customFormat="false" ht="15" hidden="false" customHeight="true" outlineLevel="0" collapsed="false">
      <c r="A37" s="5" t="n">
        <v>46023</v>
      </c>
      <c r="B37" s="17" t="n">
        <f aca="false">SUMIFS('Monthly Data'!$G$5:$G$94,'Monthly Data'!$A$5:$A$94,$A37,'Monthly Data'!$C$5:$C$94,1080)</f>
        <v>55.77</v>
      </c>
      <c r="C37" s="17" t="n">
        <f aca="false">SUMIFS('Monthly Data'!$G$5:$G$94,'Monthly Data'!$A$5:$A$94,$A37,'Monthly Data'!$C$5:$C$94,1081)</f>
        <v>45.82</v>
      </c>
      <c r="D37" s="17" t="n">
        <f aca="false">SUMIFS('Monthly Data'!$G$5:$G$94,'Monthly Data'!$A$5:$A$94,$A37,'Monthly Data'!$C$5:$C$94,1082)</f>
        <v>0</v>
      </c>
      <c r="E37" s="17" t="n">
        <f aca="false">SUMIFS('Monthly Data'!$G$5:$G$94,'Monthly Data'!$A$5:$A$94,$A37,'Monthly Data'!$C$5:$C$94,1084)</f>
        <v>117.1</v>
      </c>
      <c r="F37" s="17" t="n">
        <f aca="false">SUMIFS('Monthly Data'!$G$5:$G$94,'Monthly Data'!$A$5:$A$94,$A37,'Monthly Data'!$C$5:$C$94,1085)</f>
        <v>0</v>
      </c>
      <c r="G37" s="19" t="n">
        <f aca="false">SUM(B37:F37)</f>
        <v>218.69</v>
      </c>
    </row>
    <row r="38" customFormat="false" ht="15" hidden="false" customHeight="true" outlineLevel="0" collapsed="false">
      <c r="A38" s="5" t="n">
        <v>46054</v>
      </c>
      <c r="B38" s="17" t="n">
        <f aca="false">SUMIFS('Monthly Data'!$G$5:$G$94,'Monthly Data'!$A$5:$A$94,$A38,'Monthly Data'!$C$5:$C$94,1080)</f>
        <v>46.7</v>
      </c>
      <c r="C38" s="17" t="n">
        <f aca="false">SUMIFS('Monthly Data'!$G$5:$G$94,'Monthly Data'!$A$5:$A$94,$A38,'Monthly Data'!$C$5:$C$94,1081)</f>
        <v>10.19</v>
      </c>
      <c r="D38" s="17" t="n">
        <f aca="false">SUMIFS('Monthly Data'!$G$5:$G$94,'Monthly Data'!$A$5:$A$94,$A38,'Monthly Data'!$C$5:$C$94,1082)</f>
        <v>0</v>
      </c>
      <c r="E38" s="17" t="n">
        <f aca="false">SUMIFS('Monthly Data'!$G$5:$G$94,'Monthly Data'!$A$5:$A$94,$A38,'Monthly Data'!$C$5:$C$94,1084)</f>
        <v>75.72</v>
      </c>
      <c r="F38" s="17" t="n">
        <f aca="false">SUMIFS('Monthly Data'!$G$5:$G$94,'Monthly Data'!$A$5:$A$94,$A38,'Monthly Data'!$C$5:$C$94,1085)</f>
        <v>0</v>
      </c>
      <c r="G38" s="19" t="n">
        <f aca="false">SUM(B38:F38)</f>
        <v>132.61</v>
      </c>
    </row>
    <row r="39" customFormat="false" ht="15" hidden="false" customHeight="true" outlineLevel="0" collapsed="false">
      <c r="A39" s="5" t="n">
        <v>46082</v>
      </c>
      <c r="B39" s="17" t="n">
        <f aca="false">SUMIFS('Monthly Data'!$G$5:$G$94,'Monthly Data'!$A$5:$A$94,$A39,'Monthly Data'!$C$5:$C$94,1080)</f>
        <v>64.58</v>
      </c>
      <c r="C39" s="17" t="n">
        <f aca="false">SUMIFS('Monthly Data'!$G$5:$G$94,'Monthly Data'!$A$5:$A$94,$A39,'Monthly Data'!$C$5:$C$94,1081)</f>
        <v>18.51</v>
      </c>
      <c r="D39" s="17" t="n">
        <f aca="false">SUMIFS('Monthly Data'!$G$5:$G$94,'Monthly Data'!$A$5:$A$94,$A39,'Monthly Data'!$C$5:$C$94,1082)</f>
        <v>0</v>
      </c>
      <c r="E39" s="17" t="n">
        <f aca="false">SUMIFS('Monthly Data'!$G$5:$G$94,'Monthly Data'!$A$5:$A$94,$A39,'Monthly Data'!$C$5:$C$94,1084)</f>
        <v>125.8</v>
      </c>
      <c r="F39" s="17" t="n">
        <f aca="false">SUMIFS('Monthly Data'!$G$5:$G$94,'Monthly Data'!$A$5:$A$94,$A39,'Monthly Data'!$C$5:$C$94,1085)</f>
        <v>0</v>
      </c>
      <c r="G39" s="19" t="n">
        <f aca="false">SUM(B39:F39)</f>
        <v>208.89</v>
      </c>
    </row>
    <row r="40" customFormat="false" ht="15" hidden="false" customHeight="true" outlineLevel="0" collapsed="false">
      <c r="A40" s="5" t="n">
        <v>46113</v>
      </c>
      <c r="B40" s="17" t="n">
        <f aca="false">SUMIFS('Monthly Data'!$G$5:$G$94,'Monthly Data'!$A$5:$A$94,$A40,'Monthly Data'!$C$5:$C$94,1080)</f>
        <v>77.64</v>
      </c>
      <c r="C40" s="17" t="n">
        <f aca="false">SUMIFS('Monthly Data'!$G$5:$G$94,'Monthly Data'!$A$5:$A$94,$A40,'Monthly Data'!$C$5:$C$94,1081)</f>
        <v>2.44</v>
      </c>
      <c r="D40" s="17" t="n">
        <f aca="false">SUMIFS('Monthly Data'!$G$5:$G$94,'Monthly Data'!$A$5:$A$94,$A40,'Monthly Data'!$C$5:$C$94,1082)</f>
        <v>71.47</v>
      </c>
      <c r="E40" s="17" t="n">
        <f aca="false">SUMIFS('Monthly Data'!$G$5:$G$94,'Monthly Data'!$A$5:$A$94,$A40,'Monthly Data'!$C$5:$C$94,1084)</f>
        <v>112.85</v>
      </c>
      <c r="F40" s="17" t="n">
        <f aca="false">SUMIFS('Monthly Data'!$G$5:$G$94,'Monthly Data'!$A$5:$A$94,$A40,'Monthly Data'!$C$5:$C$94,1085)</f>
        <v>0</v>
      </c>
      <c r="G40" s="19" t="n">
        <f aca="false">SUM(B40:F40)</f>
        <v>264.4</v>
      </c>
    </row>
    <row r="41" customFormat="false" ht="15" hidden="false" customHeight="true" outlineLevel="0" collapsed="false">
      <c r="A41" s="5" t="n">
        <v>46143</v>
      </c>
      <c r="B41" s="17" t="n">
        <f aca="false">SUMIFS('Monthly Data'!$G$5:$G$94,'Monthly Data'!$A$5:$A$94,$A41,'Monthly Data'!$C$5:$C$94,1080)</f>
        <v>90.52</v>
      </c>
      <c r="C41" s="17" t="n">
        <f aca="false">SUMIFS('Monthly Data'!$G$5:$G$94,'Monthly Data'!$A$5:$A$94,$A41,'Monthly Data'!$C$5:$C$94,1081)</f>
        <v>22.19</v>
      </c>
      <c r="D41" s="17" t="n">
        <f aca="false">SUMIFS('Monthly Data'!$G$5:$G$94,'Monthly Data'!$A$5:$A$94,$A41,'Monthly Data'!$C$5:$C$94,1082)</f>
        <v>63.58</v>
      </c>
      <c r="E41" s="17" t="n">
        <f aca="false">SUMIFS('Monthly Data'!$G$5:$G$94,'Monthly Data'!$A$5:$A$94,$A41,'Monthly Data'!$C$5:$C$94,1084)</f>
        <v>172.68</v>
      </c>
      <c r="F41" s="17" t="n">
        <f aca="false">SUMIFS('Monthly Data'!$G$5:$G$94,'Monthly Data'!$A$5:$A$94,$A41,'Monthly Data'!$C$5:$C$94,1085)</f>
        <v>27.07</v>
      </c>
      <c r="G41" s="19" t="n">
        <f aca="false">SUM(B41:F41)</f>
        <v>376.04</v>
      </c>
    </row>
    <row r="42" customFormat="false" ht="15" hidden="false" customHeight="true" outlineLevel="0" collapsed="false">
      <c r="A42" s="5" t="n">
        <v>46174</v>
      </c>
      <c r="B42" s="17" t="n">
        <f aca="false">SUMIFS('Monthly Data'!$G$5:$G$94,'Monthly Data'!$A$5:$A$94,$A42,'Monthly Data'!$C$5:$C$94,1080)</f>
        <v>44.89</v>
      </c>
      <c r="C42" s="17" t="n">
        <f aca="false">SUMIFS('Monthly Data'!$G$5:$G$94,'Monthly Data'!$A$5:$A$94,$A42,'Monthly Data'!$C$5:$C$94,1081)</f>
        <v>40.26</v>
      </c>
      <c r="D42" s="17" t="n">
        <f aca="false">SUMIFS('Monthly Data'!$G$5:$G$94,'Monthly Data'!$A$5:$A$94,$A42,'Monthly Data'!$C$5:$C$94,1082)</f>
        <v>84.09</v>
      </c>
      <c r="E42" s="17" t="n">
        <f aca="false">SUMIFS('Monthly Data'!$G$5:$G$94,'Monthly Data'!$A$5:$A$94,$A42,'Monthly Data'!$C$5:$C$94,1084)</f>
        <v>172.61</v>
      </c>
      <c r="F42" s="17" t="n">
        <f aca="false">SUMIFS('Monthly Data'!$G$5:$G$94,'Monthly Data'!$A$5:$A$94,$A42,'Monthly Data'!$C$5:$C$94,1085)</f>
        <v>51.84</v>
      </c>
      <c r="G42" s="19" t="n">
        <f aca="false">SUM(B42:F42)</f>
        <v>393.69</v>
      </c>
    </row>
    <row r="43" customFormat="false" ht="15" hidden="false" customHeight="true" outlineLevel="0" collapsed="false">
      <c r="A43" s="5" t="n">
        <v>46204</v>
      </c>
      <c r="B43" s="17" t="n">
        <f aca="false">SUMIFS('Monthly Data'!$G$5:$G$94,'Monthly Data'!$A$5:$A$94,$A43,'Monthly Data'!$C$5:$C$94,1080)</f>
        <v>60.2</v>
      </c>
      <c r="C43" s="17" t="n">
        <f aca="false">SUMIFS('Monthly Data'!$G$5:$G$94,'Monthly Data'!$A$5:$A$94,$A43,'Monthly Data'!$C$5:$C$94,1081)</f>
        <v>26.83</v>
      </c>
      <c r="D43" s="17" t="n">
        <f aca="false">SUMIFS('Monthly Data'!$G$5:$G$94,'Monthly Data'!$A$5:$A$94,$A43,'Monthly Data'!$C$5:$C$94,1082)</f>
        <v>92.53</v>
      </c>
      <c r="E43" s="17" t="n">
        <f aca="false">SUMIFS('Monthly Data'!$G$5:$G$94,'Monthly Data'!$A$5:$A$94,$A43,'Monthly Data'!$C$5:$C$94,1084)</f>
        <v>202.7</v>
      </c>
      <c r="F43" s="17" t="n">
        <f aca="false">SUMIFS('Monthly Data'!$G$5:$G$94,'Monthly Data'!$A$5:$A$94,$A43,'Monthly Data'!$C$5:$C$94,1085)</f>
        <v>44.7</v>
      </c>
      <c r="G43" s="19" t="n">
        <f aca="false">SUM(B43:F43)</f>
        <v>426.96</v>
      </c>
    </row>
    <row r="44" customFormat="false" ht="15" hidden="false" customHeight="true" outlineLevel="0" collapsed="false">
      <c r="A44" s="5" t="n">
        <v>46235</v>
      </c>
      <c r="B44" s="17" t="n">
        <f aca="false">SUMIFS('Monthly Data'!$G$5:$G$94,'Monthly Data'!$A$5:$A$94,$A44,'Monthly Data'!$C$5:$C$94,1080)</f>
        <v>41.51</v>
      </c>
      <c r="C44" s="17" t="n">
        <f aca="false">SUMIFS('Monthly Data'!$G$5:$G$94,'Monthly Data'!$A$5:$A$94,$A44,'Monthly Data'!$C$5:$C$94,1081)</f>
        <v>6.88</v>
      </c>
      <c r="D44" s="17" t="n">
        <f aca="false">SUMIFS('Monthly Data'!$G$5:$G$94,'Monthly Data'!$A$5:$A$94,$A44,'Monthly Data'!$C$5:$C$94,1082)</f>
        <v>72.03</v>
      </c>
      <c r="E44" s="17" t="n">
        <f aca="false">SUMIFS('Monthly Data'!$G$5:$G$94,'Monthly Data'!$A$5:$A$94,$A44,'Monthly Data'!$C$5:$C$94,1084)</f>
        <v>98.22</v>
      </c>
      <c r="F44" s="17" t="n">
        <f aca="false">SUMIFS('Monthly Data'!$G$5:$G$94,'Monthly Data'!$A$5:$A$94,$A44,'Monthly Data'!$C$5:$C$94,1085)</f>
        <v>48.59</v>
      </c>
      <c r="G44" s="19" t="n">
        <f aca="false">SUM(B44:F44)</f>
        <v>267.23</v>
      </c>
    </row>
    <row r="45" customFormat="false" ht="15" hidden="false" customHeight="true" outlineLevel="0" collapsed="false">
      <c r="A45" s="5" t="n">
        <v>46266</v>
      </c>
      <c r="B45" s="17" t="n">
        <f aca="false">SUMIFS('Monthly Data'!$G$5:$G$94,'Monthly Data'!$A$5:$A$94,$A45,'Monthly Data'!$C$5:$C$94,1080)</f>
        <v>16.76</v>
      </c>
      <c r="C45" s="17" t="n">
        <f aca="false">SUMIFS('Monthly Data'!$G$5:$G$94,'Monthly Data'!$A$5:$A$94,$A45,'Monthly Data'!$C$5:$C$94,1081)</f>
        <v>25.76</v>
      </c>
      <c r="D45" s="17" t="n">
        <f aca="false">SUMIFS('Monthly Data'!$G$5:$G$94,'Monthly Data'!$A$5:$A$94,$A45,'Monthly Data'!$C$5:$C$94,1082)</f>
        <v>150.41</v>
      </c>
      <c r="E45" s="17" t="n">
        <f aca="false">SUMIFS('Monthly Data'!$G$5:$G$94,'Monthly Data'!$A$5:$A$94,$A45,'Monthly Data'!$C$5:$C$94,1084)</f>
        <v>85.46</v>
      </c>
      <c r="F45" s="17" t="n">
        <f aca="false">SUMIFS('Monthly Data'!$G$5:$G$94,'Monthly Data'!$A$5:$A$94,$A45,'Monthly Data'!$C$5:$C$94,1085)</f>
        <v>98.27</v>
      </c>
      <c r="G45" s="19" t="n">
        <f aca="false">SUM(B45:F45)</f>
        <v>376.66</v>
      </c>
    </row>
    <row r="46" customFormat="false" ht="15" hidden="false" customHeight="true" outlineLevel="0" collapsed="false">
      <c r="A46" s="13" t="s">
        <v>44</v>
      </c>
      <c r="B46" s="19" t="n">
        <f aca="false">SUM(B28:B45)</f>
        <v>917.9</v>
      </c>
      <c r="C46" s="19" t="n">
        <f aca="false">SUM(C28:C45)</f>
        <v>412.51</v>
      </c>
      <c r="D46" s="19" t="n">
        <f aca="false">SUM(D28:D45)</f>
        <v>1194.27</v>
      </c>
      <c r="E46" s="19" t="n">
        <f aca="false">SUM(E28:E45)</f>
        <v>2047.93</v>
      </c>
      <c r="F46" s="19" t="n">
        <f aca="false">SUM(F28:F45)</f>
        <v>860.67</v>
      </c>
      <c r="G46" s="19" t="n">
        <f aca="false">SUM(G28:G45)</f>
        <v>5433.28</v>
      </c>
    </row>
    <row r="49" customFormat="false" ht="15" hidden="false" customHeight="true" outlineLevel="0" collapsed="false">
      <c r="A49" s="13" t="s">
        <v>9</v>
      </c>
    </row>
    <row r="50" customFormat="false" ht="15" hidden="false" customHeight="true" outlineLevel="0" collapsed="false">
      <c r="A50" s="4" t="s">
        <v>2</v>
      </c>
      <c r="B50" s="4" t="s">
        <v>14</v>
      </c>
      <c r="C50" s="4" t="s">
        <v>17</v>
      </c>
      <c r="D50" s="4" t="s">
        <v>18</v>
      </c>
      <c r="E50" s="4" t="s">
        <v>19</v>
      </c>
      <c r="F50" s="4" t="s">
        <v>20</v>
      </c>
      <c r="G50" s="4" t="s">
        <v>44</v>
      </c>
    </row>
    <row r="51" customFormat="false" ht="15" hidden="false" customHeight="true" outlineLevel="0" collapsed="false">
      <c r="A51" s="5" t="n">
        <v>45748</v>
      </c>
      <c r="B51" s="17" t="n">
        <f aca="false">SUMIFS('Monthly Data'!$H$5:$H$94,'Monthly Data'!$A$5:$A$94,$A51,'Monthly Data'!$C$5:$C$94,1080)</f>
        <v>0</v>
      </c>
      <c r="C51" s="17" t="n">
        <f aca="false">SUMIFS('Monthly Data'!$H$5:$H$94,'Monthly Data'!$A$5:$A$94,$A51,'Monthly Data'!$C$5:$C$94,1081)</f>
        <v>0</v>
      </c>
      <c r="D51" s="17" t="n">
        <f aca="false">SUMIFS('Monthly Data'!$H$5:$H$94,'Monthly Data'!$A$5:$A$94,$A51,'Monthly Data'!$C$5:$C$94,1082)</f>
        <v>17.76</v>
      </c>
      <c r="E51" s="17" t="n">
        <f aca="false">SUMIFS('Monthly Data'!$H$5:$H$94,'Monthly Data'!$A$5:$A$94,$A51,'Monthly Data'!$C$5:$C$94,1084)</f>
        <v>18.05</v>
      </c>
      <c r="F51" s="17" t="n">
        <f aca="false">SUMIFS('Monthly Data'!$H$5:$H$94,'Monthly Data'!$A$5:$A$94,$A51,'Monthly Data'!$C$5:$C$94,1085)</f>
        <v>1.04</v>
      </c>
      <c r="G51" s="19" t="n">
        <f aca="false">SUM(B51:F51)</f>
        <v>36.85</v>
      </c>
    </row>
    <row r="52" customFormat="false" ht="15" hidden="false" customHeight="true" outlineLevel="0" collapsed="false">
      <c r="A52" s="5" t="n">
        <v>45778</v>
      </c>
      <c r="B52" s="17" t="n">
        <f aca="false">SUMIFS('Monthly Data'!$H$5:$H$94,'Monthly Data'!$A$5:$A$94,$A52,'Monthly Data'!$C$5:$C$94,1080)</f>
        <v>0</v>
      </c>
      <c r="C52" s="17" t="n">
        <f aca="false">SUMIFS('Monthly Data'!$H$5:$H$94,'Monthly Data'!$A$5:$A$94,$A52,'Monthly Data'!$C$5:$C$94,1081)</f>
        <v>0</v>
      </c>
      <c r="D52" s="17" t="n">
        <f aca="false">SUMIFS('Monthly Data'!$H$5:$H$94,'Monthly Data'!$A$5:$A$94,$A52,'Monthly Data'!$C$5:$C$94,1082)</f>
        <v>1.05</v>
      </c>
      <c r="E52" s="17" t="n">
        <f aca="false">SUMIFS('Monthly Data'!$H$5:$H$94,'Monthly Data'!$A$5:$A$94,$A52,'Monthly Data'!$C$5:$C$94,1084)</f>
        <v>0.16</v>
      </c>
      <c r="F52" s="17" t="n">
        <f aca="false">SUMIFS('Monthly Data'!$H$5:$H$94,'Monthly Data'!$A$5:$A$94,$A52,'Monthly Data'!$C$5:$C$94,1085)</f>
        <v>0</v>
      </c>
      <c r="G52" s="19" t="n">
        <f aca="false">SUM(B52:F52)</f>
        <v>1.21</v>
      </c>
    </row>
    <row r="53" customFormat="false" ht="15" hidden="false" customHeight="true" outlineLevel="0" collapsed="false">
      <c r="A53" s="5" t="n">
        <v>45809</v>
      </c>
      <c r="B53" s="17" t="n">
        <f aca="false">SUMIFS('Monthly Data'!$H$5:$H$94,'Monthly Data'!$A$5:$A$94,$A53,'Monthly Data'!$C$5:$C$94,1080)</f>
        <v>0.37</v>
      </c>
      <c r="C53" s="17" t="n">
        <f aca="false">SUMIFS('Monthly Data'!$H$5:$H$94,'Monthly Data'!$A$5:$A$94,$A53,'Monthly Data'!$C$5:$C$94,1081)</f>
        <v>3.47</v>
      </c>
      <c r="D53" s="17" t="n">
        <f aca="false">SUMIFS('Monthly Data'!$H$5:$H$94,'Monthly Data'!$A$5:$A$94,$A53,'Monthly Data'!$C$5:$C$94,1082)</f>
        <v>1.36</v>
      </c>
      <c r="E53" s="17" t="n">
        <f aca="false">SUMIFS('Monthly Data'!$H$5:$H$94,'Monthly Data'!$A$5:$A$94,$A53,'Monthly Data'!$C$5:$C$94,1084)</f>
        <v>8.62</v>
      </c>
      <c r="F53" s="17" t="n">
        <f aca="false">SUMIFS('Monthly Data'!$H$5:$H$94,'Monthly Data'!$A$5:$A$94,$A53,'Monthly Data'!$C$5:$C$94,1085)</f>
        <v>0.8</v>
      </c>
      <c r="G53" s="19" t="n">
        <f aca="false">SUM(B53:F53)</f>
        <v>14.62</v>
      </c>
    </row>
    <row r="54" customFormat="false" ht="15" hidden="false" customHeight="true" outlineLevel="0" collapsed="false">
      <c r="A54" s="5" t="n">
        <v>45839</v>
      </c>
      <c r="B54" s="17" t="n">
        <f aca="false">SUMIFS('Monthly Data'!$H$5:$H$94,'Monthly Data'!$A$5:$A$94,$A54,'Monthly Data'!$C$5:$C$94,1080)</f>
        <v>0</v>
      </c>
      <c r="C54" s="17" t="n">
        <f aca="false">SUMIFS('Monthly Data'!$H$5:$H$94,'Monthly Data'!$A$5:$A$94,$A54,'Monthly Data'!$C$5:$C$94,1081)</f>
        <v>0</v>
      </c>
      <c r="D54" s="17" t="n">
        <f aca="false">SUMIFS('Monthly Data'!$H$5:$H$94,'Monthly Data'!$A$5:$A$94,$A54,'Monthly Data'!$C$5:$C$94,1082)</f>
        <v>2.09</v>
      </c>
      <c r="E54" s="17" t="n">
        <f aca="false">SUMIFS('Monthly Data'!$H$5:$H$94,'Monthly Data'!$A$5:$A$94,$A54,'Monthly Data'!$C$5:$C$94,1084)</f>
        <v>0.54</v>
      </c>
      <c r="F54" s="17" t="n">
        <f aca="false">SUMIFS('Monthly Data'!$H$5:$H$94,'Monthly Data'!$A$5:$A$94,$A54,'Monthly Data'!$C$5:$C$94,1085)</f>
        <v>2.13</v>
      </c>
      <c r="G54" s="19" t="n">
        <f aca="false">SUM(B54:F54)</f>
        <v>4.76</v>
      </c>
    </row>
    <row r="55" customFormat="false" ht="15" hidden="false" customHeight="true" outlineLevel="0" collapsed="false">
      <c r="A55" s="5" t="n">
        <v>45870</v>
      </c>
      <c r="B55" s="17" t="n">
        <f aca="false">SUMIFS('Monthly Data'!$H$5:$H$94,'Monthly Data'!$A$5:$A$94,$A55,'Monthly Data'!$C$5:$C$94,1080)</f>
        <v>0.1</v>
      </c>
      <c r="C55" s="17" t="n">
        <f aca="false">SUMIFS('Monthly Data'!$H$5:$H$94,'Monthly Data'!$A$5:$A$94,$A55,'Monthly Data'!$C$5:$C$94,1081)</f>
        <v>0</v>
      </c>
      <c r="D55" s="17" t="n">
        <f aca="false">SUMIFS('Monthly Data'!$H$5:$H$94,'Monthly Data'!$A$5:$A$94,$A55,'Monthly Data'!$C$5:$C$94,1082)</f>
        <v>9.16</v>
      </c>
      <c r="E55" s="17" t="n">
        <f aca="false">SUMIFS('Monthly Data'!$H$5:$H$94,'Monthly Data'!$A$5:$A$94,$A55,'Monthly Data'!$C$5:$C$94,1084)</f>
        <v>10.19</v>
      </c>
      <c r="F55" s="17" t="n">
        <f aca="false">SUMIFS('Monthly Data'!$H$5:$H$94,'Monthly Data'!$A$5:$A$94,$A55,'Monthly Data'!$C$5:$C$94,1085)</f>
        <v>0.22</v>
      </c>
      <c r="G55" s="19" t="n">
        <f aca="false">SUM(B55:F55)</f>
        <v>19.67</v>
      </c>
    </row>
    <row r="56" customFormat="false" ht="15" hidden="false" customHeight="true" outlineLevel="0" collapsed="false">
      <c r="A56" s="5" t="n">
        <v>45901</v>
      </c>
      <c r="B56" s="17" t="n">
        <f aca="false">SUMIFS('Monthly Data'!$H$5:$H$94,'Monthly Data'!$A$5:$A$94,$A56,'Monthly Data'!$C$5:$C$94,1080)</f>
        <v>0</v>
      </c>
      <c r="C56" s="17" t="n">
        <f aca="false">SUMIFS('Monthly Data'!$H$5:$H$94,'Monthly Data'!$A$5:$A$94,$A56,'Monthly Data'!$C$5:$C$94,1081)</f>
        <v>0</v>
      </c>
      <c r="D56" s="17" t="n">
        <f aca="false">SUMIFS('Monthly Data'!$H$5:$H$94,'Monthly Data'!$A$5:$A$94,$A56,'Monthly Data'!$C$5:$C$94,1082)</f>
        <v>4.59</v>
      </c>
      <c r="E56" s="17" t="n">
        <f aca="false">SUMIFS('Monthly Data'!$H$5:$H$94,'Monthly Data'!$A$5:$A$94,$A56,'Monthly Data'!$C$5:$C$94,1084)</f>
        <v>0.12</v>
      </c>
      <c r="F56" s="17" t="n">
        <f aca="false">SUMIFS('Monthly Data'!$H$5:$H$94,'Monthly Data'!$A$5:$A$94,$A56,'Monthly Data'!$C$5:$C$94,1085)</f>
        <v>2.38</v>
      </c>
      <c r="G56" s="19" t="n">
        <f aca="false">SUM(B56:F56)</f>
        <v>7.09</v>
      </c>
    </row>
    <row r="57" customFormat="false" ht="15" hidden="false" customHeight="true" outlineLevel="0" collapsed="false">
      <c r="A57" s="5" t="n">
        <v>45931</v>
      </c>
      <c r="B57" s="17" t="n">
        <f aca="false">SUMIFS('Monthly Data'!$H$5:$H$94,'Monthly Data'!$A$5:$A$94,$A57,'Monthly Data'!$C$5:$C$94,1080)</f>
        <v>1.68</v>
      </c>
      <c r="C57" s="17" t="n">
        <f aca="false">SUMIFS('Monthly Data'!$H$5:$H$94,'Monthly Data'!$A$5:$A$94,$A57,'Monthly Data'!$C$5:$C$94,1081)</f>
        <v>0</v>
      </c>
      <c r="D57" s="17" t="n">
        <f aca="false">SUMIFS('Monthly Data'!$H$5:$H$94,'Monthly Data'!$A$5:$A$94,$A57,'Monthly Data'!$C$5:$C$94,1082)</f>
        <v>0</v>
      </c>
      <c r="E57" s="17" t="n">
        <f aca="false">SUMIFS('Monthly Data'!$H$5:$H$94,'Monthly Data'!$A$5:$A$94,$A57,'Monthly Data'!$C$5:$C$94,1084)</f>
        <v>1.9</v>
      </c>
      <c r="F57" s="17" t="n">
        <f aca="false">SUMIFS('Monthly Data'!$H$5:$H$94,'Monthly Data'!$A$5:$A$94,$A57,'Monthly Data'!$C$5:$C$94,1085)</f>
        <v>0</v>
      </c>
      <c r="G57" s="19" t="n">
        <f aca="false">SUM(B57:F57)</f>
        <v>3.58</v>
      </c>
    </row>
    <row r="58" customFormat="false" ht="15" hidden="false" customHeight="true" outlineLevel="0" collapsed="false">
      <c r="A58" s="5" t="n">
        <v>45962</v>
      </c>
      <c r="B58" s="17" t="n">
        <f aca="false">SUMIFS('Monthly Data'!$H$5:$H$94,'Monthly Data'!$A$5:$A$94,$A58,'Monthly Data'!$C$5:$C$94,1080)</f>
        <v>0</v>
      </c>
      <c r="C58" s="17" t="n">
        <f aca="false">SUMIFS('Monthly Data'!$H$5:$H$94,'Monthly Data'!$A$5:$A$94,$A58,'Monthly Data'!$C$5:$C$94,1081)</f>
        <v>0</v>
      </c>
      <c r="D58" s="17" t="n">
        <f aca="false">SUMIFS('Monthly Data'!$H$5:$H$94,'Monthly Data'!$A$5:$A$94,$A58,'Monthly Data'!$C$5:$C$94,1082)</f>
        <v>0</v>
      </c>
      <c r="E58" s="17" t="n">
        <f aca="false">SUMIFS('Monthly Data'!$H$5:$H$94,'Monthly Data'!$A$5:$A$94,$A58,'Monthly Data'!$C$5:$C$94,1084)</f>
        <v>2.25</v>
      </c>
      <c r="F58" s="17" t="n">
        <f aca="false">SUMIFS('Monthly Data'!$H$5:$H$94,'Monthly Data'!$A$5:$A$94,$A58,'Monthly Data'!$C$5:$C$94,1085)</f>
        <v>0</v>
      </c>
      <c r="G58" s="19" t="n">
        <f aca="false">SUM(B58:F58)</f>
        <v>2.25</v>
      </c>
    </row>
    <row r="59" customFormat="false" ht="15" hidden="false" customHeight="true" outlineLevel="0" collapsed="false">
      <c r="A59" s="5" t="n">
        <v>45992</v>
      </c>
      <c r="B59" s="17" t="n">
        <f aca="false">SUMIFS('Monthly Data'!$H$5:$H$94,'Monthly Data'!$A$5:$A$94,$A59,'Monthly Data'!$C$5:$C$94,1080)</f>
        <v>2.08</v>
      </c>
      <c r="C59" s="17" t="n">
        <f aca="false">SUMIFS('Monthly Data'!$H$5:$H$94,'Monthly Data'!$A$5:$A$94,$A59,'Monthly Data'!$C$5:$C$94,1081)</f>
        <v>0</v>
      </c>
      <c r="D59" s="17" t="n">
        <f aca="false">SUMIFS('Monthly Data'!$H$5:$H$94,'Monthly Data'!$A$5:$A$94,$A59,'Monthly Data'!$C$5:$C$94,1082)</f>
        <v>0</v>
      </c>
      <c r="E59" s="17" t="n">
        <f aca="false">SUMIFS('Monthly Data'!$H$5:$H$94,'Monthly Data'!$A$5:$A$94,$A59,'Monthly Data'!$C$5:$C$94,1084)</f>
        <v>1.92</v>
      </c>
      <c r="F59" s="17" t="n">
        <f aca="false">SUMIFS('Monthly Data'!$H$5:$H$94,'Monthly Data'!$A$5:$A$94,$A59,'Monthly Data'!$C$5:$C$94,1085)</f>
        <v>1.98</v>
      </c>
      <c r="G59" s="19" t="n">
        <f aca="false">SUM(B59:F59)</f>
        <v>5.98</v>
      </c>
    </row>
    <row r="60" customFormat="false" ht="15" hidden="false" customHeight="true" outlineLevel="0" collapsed="false">
      <c r="A60" s="5" t="n">
        <v>46023</v>
      </c>
      <c r="B60" s="17" t="n">
        <f aca="false">SUMIFS('Monthly Data'!$H$5:$H$94,'Monthly Data'!$A$5:$A$94,$A60,'Monthly Data'!$C$5:$C$94,1080)</f>
        <v>0.22</v>
      </c>
      <c r="C60" s="17" t="n">
        <f aca="false">SUMIFS('Monthly Data'!$H$5:$H$94,'Monthly Data'!$A$5:$A$94,$A60,'Monthly Data'!$C$5:$C$94,1081)</f>
        <v>0</v>
      </c>
      <c r="D60" s="17" t="n">
        <f aca="false">SUMIFS('Monthly Data'!$H$5:$H$94,'Monthly Data'!$A$5:$A$94,$A60,'Monthly Data'!$C$5:$C$94,1082)</f>
        <v>0</v>
      </c>
      <c r="E60" s="17" t="n">
        <f aca="false">SUMIFS('Monthly Data'!$H$5:$H$94,'Monthly Data'!$A$5:$A$94,$A60,'Monthly Data'!$C$5:$C$94,1084)</f>
        <v>4.2</v>
      </c>
      <c r="F60" s="17" t="n">
        <f aca="false">SUMIFS('Monthly Data'!$H$5:$H$94,'Monthly Data'!$A$5:$A$94,$A60,'Monthly Data'!$C$5:$C$94,1085)</f>
        <v>0</v>
      </c>
      <c r="G60" s="19" t="n">
        <f aca="false">SUM(B60:F60)</f>
        <v>4.42</v>
      </c>
    </row>
    <row r="61" customFormat="false" ht="15" hidden="false" customHeight="true" outlineLevel="0" collapsed="false">
      <c r="A61" s="5" t="n">
        <v>46054</v>
      </c>
      <c r="B61" s="17" t="n">
        <f aca="false">SUMIFS('Monthly Data'!$H$5:$H$94,'Monthly Data'!$A$5:$A$94,$A61,'Monthly Data'!$C$5:$C$94,1080)</f>
        <v>0</v>
      </c>
      <c r="C61" s="17" t="n">
        <f aca="false">SUMIFS('Monthly Data'!$H$5:$H$94,'Monthly Data'!$A$5:$A$94,$A61,'Monthly Data'!$C$5:$C$94,1081)</f>
        <v>0</v>
      </c>
      <c r="D61" s="17" t="n">
        <f aca="false">SUMIFS('Monthly Data'!$H$5:$H$94,'Monthly Data'!$A$5:$A$94,$A61,'Monthly Data'!$C$5:$C$94,1082)</f>
        <v>0</v>
      </c>
      <c r="E61" s="17" t="n">
        <f aca="false">SUMIFS('Monthly Data'!$H$5:$H$94,'Monthly Data'!$A$5:$A$94,$A61,'Monthly Data'!$C$5:$C$94,1084)</f>
        <v>1.07</v>
      </c>
      <c r="F61" s="17" t="n">
        <f aca="false">SUMIFS('Monthly Data'!$H$5:$H$94,'Monthly Data'!$A$5:$A$94,$A61,'Monthly Data'!$C$5:$C$94,1085)</f>
        <v>0</v>
      </c>
      <c r="G61" s="19" t="n">
        <f aca="false">SUM(B61:F61)</f>
        <v>1.07</v>
      </c>
    </row>
    <row r="62" customFormat="false" ht="15" hidden="false" customHeight="true" outlineLevel="0" collapsed="false">
      <c r="A62" s="5" t="n">
        <v>46082</v>
      </c>
      <c r="B62" s="17" t="n">
        <f aca="false">SUMIFS('Monthly Data'!$H$5:$H$94,'Monthly Data'!$A$5:$A$94,$A62,'Monthly Data'!$C$5:$C$94,1080)</f>
        <v>0.73</v>
      </c>
      <c r="C62" s="17" t="n">
        <f aca="false">SUMIFS('Monthly Data'!$H$5:$H$94,'Monthly Data'!$A$5:$A$94,$A62,'Monthly Data'!$C$5:$C$94,1081)</f>
        <v>0</v>
      </c>
      <c r="D62" s="17" t="n">
        <f aca="false">SUMIFS('Monthly Data'!$H$5:$H$94,'Monthly Data'!$A$5:$A$94,$A62,'Monthly Data'!$C$5:$C$94,1082)</f>
        <v>0</v>
      </c>
      <c r="E62" s="17" t="n">
        <f aca="false">SUMIFS('Monthly Data'!$H$5:$H$94,'Monthly Data'!$A$5:$A$94,$A62,'Monthly Data'!$C$5:$C$94,1084)</f>
        <v>7.66</v>
      </c>
      <c r="F62" s="17" t="n">
        <f aca="false">SUMIFS('Monthly Data'!$H$5:$H$94,'Monthly Data'!$A$5:$A$94,$A62,'Monthly Data'!$C$5:$C$94,1085)</f>
        <v>0</v>
      </c>
      <c r="G62" s="19" t="n">
        <f aca="false">SUM(B62:F62)</f>
        <v>8.39</v>
      </c>
    </row>
    <row r="63" customFormat="false" ht="15" hidden="false" customHeight="true" outlineLevel="0" collapsed="false">
      <c r="A63" s="5" t="n">
        <v>46113</v>
      </c>
      <c r="B63" s="17" t="n">
        <f aca="false">SUMIFS('Monthly Data'!$H$5:$H$94,'Monthly Data'!$A$5:$A$94,$A63,'Monthly Data'!$C$5:$C$94,1080)</f>
        <v>1.38</v>
      </c>
      <c r="C63" s="17" t="n">
        <f aca="false">SUMIFS('Monthly Data'!$H$5:$H$94,'Monthly Data'!$A$5:$A$94,$A63,'Monthly Data'!$C$5:$C$94,1081)</f>
        <v>0</v>
      </c>
      <c r="D63" s="17" t="n">
        <f aca="false">SUMIFS('Monthly Data'!$H$5:$H$94,'Monthly Data'!$A$5:$A$94,$A63,'Monthly Data'!$C$5:$C$94,1082)</f>
        <v>1.07</v>
      </c>
      <c r="E63" s="17" t="n">
        <f aca="false">SUMIFS('Monthly Data'!$H$5:$H$94,'Monthly Data'!$A$5:$A$94,$A63,'Monthly Data'!$C$5:$C$94,1084)</f>
        <v>5.07</v>
      </c>
      <c r="F63" s="17" t="n">
        <f aca="false">SUMIFS('Monthly Data'!$H$5:$H$94,'Monthly Data'!$A$5:$A$94,$A63,'Monthly Data'!$C$5:$C$94,1085)</f>
        <v>0</v>
      </c>
      <c r="G63" s="19" t="n">
        <f aca="false">SUM(B63:F63)</f>
        <v>7.52</v>
      </c>
    </row>
    <row r="64" customFormat="false" ht="15" hidden="false" customHeight="true" outlineLevel="0" collapsed="false">
      <c r="A64" s="5" t="n">
        <v>46143</v>
      </c>
      <c r="B64" s="17" t="n">
        <f aca="false">SUMIFS('Monthly Data'!$H$5:$H$94,'Monthly Data'!$A$5:$A$94,$A64,'Monthly Data'!$C$5:$C$94,1080)</f>
        <v>2.03</v>
      </c>
      <c r="C64" s="17" t="n">
        <f aca="false">SUMIFS('Monthly Data'!$H$5:$H$94,'Monthly Data'!$A$5:$A$94,$A64,'Monthly Data'!$C$5:$C$94,1081)</f>
        <v>0</v>
      </c>
      <c r="D64" s="17" t="n">
        <f aca="false">SUMIFS('Monthly Data'!$H$5:$H$94,'Monthly Data'!$A$5:$A$94,$A64,'Monthly Data'!$C$5:$C$94,1082)</f>
        <v>0.68</v>
      </c>
      <c r="E64" s="17" t="n">
        <f aca="false">SUMIFS('Monthly Data'!$H$5:$H$94,'Monthly Data'!$A$5:$A$94,$A64,'Monthly Data'!$C$5:$C$94,1084)</f>
        <v>17.04</v>
      </c>
      <c r="F64" s="17" t="n">
        <f aca="false">SUMIFS('Monthly Data'!$H$5:$H$94,'Monthly Data'!$A$5:$A$94,$A64,'Monthly Data'!$C$5:$C$94,1085)</f>
        <v>0</v>
      </c>
      <c r="G64" s="19" t="n">
        <f aca="false">SUM(B64:F64)</f>
        <v>19.75</v>
      </c>
    </row>
    <row r="65" customFormat="false" ht="15" hidden="false" customHeight="true" outlineLevel="0" collapsed="false">
      <c r="A65" s="5" t="n">
        <v>46174</v>
      </c>
      <c r="B65" s="17" t="n">
        <f aca="false">SUMIFS('Monthly Data'!$H$5:$H$94,'Monthly Data'!$A$5:$A$94,$A65,'Monthly Data'!$C$5:$C$94,1080)</f>
        <v>0</v>
      </c>
      <c r="C65" s="17" t="n">
        <f aca="false">SUMIFS('Monthly Data'!$H$5:$H$94,'Monthly Data'!$A$5:$A$94,$A65,'Monthly Data'!$C$5:$C$94,1081)</f>
        <v>0</v>
      </c>
      <c r="D65" s="17" t="n">
        <f aca="false">SUMIFS('Monthly Data'!$H$5:$H$94,'Monthly Data'!$A$5:$A$94,$A65,'Monthly Data'!$C$5:$C$94,1082)</f>
        <v>1.7</v>
      </c>
      <c r="E65" s="17" t="n">
        <f aca="false">SUMIFS('Monthly Data'!$H$5:$H$94,'Monthly Data'!$A$5:$A$94,$A65,'Monthly Data'!$C$5:$C$94,1084)</f>
        <v>17.02</v>
      </c>
      <c r="F65" s="17" t="n">
        <f aca="false">SUMIFS('Monthly Data'!$H$5:$H$94,'Monthly Data'!$A$5:$A$94,$A65,'Monthly Data'!$C$5:$C$94,1085)</f>
        <v>0.09</v>
      </c>
      <c r="G65" s="19" t="n">
        <f aca="false">SUM(B65:F65)</f>
        <v>18.81</v>
      </c>
    </row>
    <row r="66" customFormat="false" ht="15" hidden="false" customHeight="true" outlineLevel="0" collapsed="false">
      <c r="A66" s="5" t="n">
        <v>46204</v>
      </c>
      <c r="B66" s="17" t="n">
        <f aca="false">SUMIFS('Monthly Data'!$H$5:$H$94,'Monthly Data'!$A$5:$A$94,$A66,'Monthly Data'!$C$5:$C$94,1080)</f>
        <v>0.51</v>
      </c>
      <c r="C66" s="17" t="n">
        <f aca="false">SUMIFS('Monthly Data'!$H$5:$H$94,'Monthly Data'!$A$5:$A$94,$A66,'Monthly Data'!$C$5:$C$94,1081)</f>
        <v>0</v>
      </c>
      <c r="D66" s="17" t="n">
        <f aca="false">SUMIFS('Monthly Data'!$H$5:$H$94,'Monthly Data'!$A$5:$A$94,$A66,'Monthly Data'!$C$5:$C$94,1082)</f>
        <v>2.13</v>
      </c>
      <c r="E66" s="17" t="n">
        <f aca="false">SUMIFS('Monthly Data'!$H$5:$H$94,'Monthly Data'!$A$5:$A$94,$A66,'Monthly Data'!$C$5:$C$94,1084)</f>
        <v>23.04</v>
      </c>
      <c r="F66" s="17" t="n">
        <f aca="false">SUMIFS('Monthly Data'!$H$5:$H$94,'Monthly Data'!$A$5:$A$94,$A66,'Monthly Data'!$C$5:$C$94,1085)</f>
        <v>0</v>
      </c>
      <c r="G66" s="19" t="n">
        <f aca="false">SUM(B66:F66)</f>
        <v>25.68</v>
      </c>
    </row>
    <row r="67" customFormat="false" ht="15" hidden="false" customHeight="true" outlineLevel="0" collapsed="false">
      <c r="A67" s="5" t="n">
        <v>46235</v>
      </c>
      <c r="B67" s="17" t="n">
        <f aca="false">SUMIFS('Monthly Data'!$H$5:$H$94,'Monthly Data'!$A$5:$A$94,$A67,'Monthly Data'!$C$5:$C$94,1080)</f>
        <v>0</v>
      </c>
      <c r="C67" s="17" t="n">
        <f aca="false">SUMIFS('Monthly Data'!$H$5:$H$94,'Monthly Data'!$A$5:$A$94,$A67,'Monthly Data'!$C$5:$C$94,1081)</f>
        <v>0</v>
      </c>
      <c r="D67" s="17" t="n">
        <f aca="false">SUMIFS('Monthly Data'!$H$5:$H$94,'Monthly Data'!$A$5:$A$94,$A67,'Monthly Data'!$C$5:$C$94,1082)</f>
        <v>1.1</v>
      </c>
      <c r="E67" s="17" t="n">
        <f aca="false">SUMIFS('Monthly Data'!$H$5:$H$94,'Monthly Data'!$A$5:$A$94,$A67,'Monthly Data'!$C$5:$C$94,1084)</f>
        <v>2.41</v>
      </c>
      <c r="F67" s="17" t="n">
        <f aca="false">SUMIFS('Monthly Data'!$H$5:$H$94,'Monthly Data'!$A$5:$A$94,$A67,'Monthly Data'!$C$5:$C$94,1085)</f>
        <v>0</v>
      </c>
      <c r="G67" s="19" t="n">
        <f aca="false">SUM(B67:F67)</f>
        <v>3.51</v>
      </c>
    </row>
    <row r="68" customFormat="false" ht="15" hidden="false" customHeight="true" outlineLevel="0" collapsed="false">
      <c r="A68" s="5" t="n">
        <v>46266</v>
      </c>
      <c r="B68" s="17" t="n">
        <f aca="false">SUMIFS('Monthly Data'!$H$5:$H$94,'Monthly Data'!$A$5:$A$94,$A68,'Monthly Data'!$C$5:$C$94,1080)</f>
        <v>0</v>
      </c>
      <c r="C68" s="17" t="n">
        <f aca="false">SUMIFS('Monthly Data'!$H$5:$H$94,'Monthly Data'!$A$5:$A$94,$A68,'Monthly Data'!$C$5:$C$94,1081)</f>
        <v>0</v>
      </c>
      <c r="D68" s="17" t="n">
        <f aca="false">SUMIFS('Monthly Data'!$H$5:$H$94,'Monthly Data'!$A$5:$A$94,$A68,'Monthly Data'!$C$5:$C$94,1082)</f>
        <v>12.58</v>
      </c>
      <c r="E68" s="17" t="n">
        <f aca="false">SUMIFS('Monthly Data'!$H$5:$H$94,'Monthly Data'!$A$5:$A$94,$A68,'Monthly Data'!$C$5:$C$94,1084)</f>
        <v>1.77</v>
      </c>
      <c r="F68" s="17" t="n">
        <f aca="false">SUMIFS('Monthly Data'!$H$5:$H$94,'Monthly Data'!$A$5:$A$94,$A68,'Monthly Data'!$C$5:$C$94,1085)</f>
        <v>2.41</v>
      </c>
      <c r="G68" s="19" t="n">
        <f aca="false">SUM(B68:F68)</f>
        <v>16.76</v>
      </c>
    </row>
    <row r="69" customFormat="false" ht="15" hidden="false" customHeight="true" outlineLevel="0" collapsed="false">
      <c r="A69" s="13" t="s">
        <v>44</v>
      </c>
      <c r="B69" s="19" t="n">
        <f aca="false">SUM(B51:B68)</f>
        <v>9.1</v>
      </c>
      <c r="C69" s="19" t="n">
        <f aca="false">SUM(C51:C68)</f>
        <v>3.47</v>
      </c>
      <c r="D69" s="19" t="n">
        <f aca="false">SUM(D51:D68)</f>
        <v>55.27</v>
      </c>
      <c r="E69" s="19" t="n">
        <f aca="false">SUM(E51:E68)</f>
        <v>123.03</v>
      </c>
      <c r="F69" s="19" t="n">
        <f aca="false">SUM(F51:F68)</f>
        <v>11.05</v>
      </c>
      <c r="G69" s="19" t="n">
        <f aca="false">SUM(G51:G68)</f>
        <v>201.92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8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62"/>
  </cols>
  <sheetData>
    <row r="1" customFormat="false" ht="17.25" hidden="false" customHeight="true" outlineLevel="0" collapsed="false">
      <c r="A1" s="2" t="s">
        <v>61</v>
      </c>
    </row>
    <row r="3" customFormat="false" ht="15" hidden="false" customHeight="true" outlineLevel="0" collapsed="false">
      <c r="A3" s="4" t="s">
        <v>62</v>
      </c>
      <c r="B3" s="4" t="s">
        <v>63</v>
      </c>
      <c r="C3" s="4" t="s">
        <v>64</v>
      </c>
      <c r="D3" s="4" t="s">
        <v>65</v>
      </c>
      <c r="E3" s="4" t="s">
        <v>66</v>
      </c>
    </row>
    <row r="4" customFormat="false" ht="15" hidden="false" customHeight="true" outlineLevel="0" collapsed="false">
      <c r="A4" s="6" t="s">
        <v>67</v>
      </c>
      <c r="B4" s="6" t="s">
        <v>68</v>
      </c>
      <c r="C4" s="6" t="s">
        <v>69</v>
      </c>
      <c r="D4" s="6" t="s">
        <v>70</v>
      </c>
      <c r="E4" s="6" t="s">
        <v>71</v>
      </c>
    </row>
    <row r="5" customFormat="false" ht="15" hidden="false" customHeight="true" outlineLevel="0" collapsed="false">
      <c r="A5" s="6" t="s">
        <v>72</v>
      </c>
      <c r="B5" s="6" t="s">
        <v>73</v>
      </c>
      <c r="C5" s="6" t="s">
        <v>74</v>
      </c>
      <c r="D5" s="6" t="s">
        <v>75</v>
      </c>
      <c r="E5" s="6" t="s">
        <v>76</v>
      </c>
    </row>
    <row r="6" customFormat="false" ht="15" hidden="false" customHeight="true" outlineLevel="0" collapsed="false">
      <c r="A6" s="6" t="s">
        <v>77</v>
      </c>
      <c r="B6" s="6" t="s">
        <v>73</v>
      </c>
      <c r="C6" s="6" t="s">
        <v>78</v>
      </c>
      <c r="D6" s="6" t="s">
        <v>79</v>
      </c>
      <c r="E6" s="6" t="s">
        <v>76</v>
      </c>
    </row>
    <row r="7" customFormat="false" ht="15" hidden="false" customHeight="true" outlineLevel="0" collapsed="false">
      <c r="A7" s="6" t="s">
        <v>80</v>
      </c>
      <c r="B7" s="6" t="s">
        <v>68</v>
      </c>
      <c r="C7" s="6" t="s">
        <v>81</v>
      </c>
      <c r="D7" s="6" t="s">
        <v>82</v>
      </c>
      <c r="E7" s="6" t="s">
        <v>83</v>
      </c>
    </row>
    <row r="8" customFormat="false" ht="15" hidden="false" customHeight="true" outlineLevel="0" collapsed="false">
      <c r="A8" s="6" t="s">
        <v>84</v>
      </c>
      <c r="B8" s="6" t="s">
        <v>73</v>
      </c>
      <c r="C8" s="6" t="s">
        <v>85</v>
      </c>
      <c r="D8" s="6" t="s">
        <v>86</v>
      </c>
      <c r="E8" s="6" t="s">
        <v>87</v>
      </c>
    </row>
    <row r="9" customFormat="false" ht="15" hidden="false" customHeight="true" outlineLevel="0" collapsed="false">
      <c r="A9" s="6" t="s">
        <v>88</v>
      </c>
      <c r="B9" s="6" t="s">
        <v>73</v>
      </c>
      <c r="C9" s="6" t="s">
        <v>89</v>
      </c>
      <c r="D9" s="6" t="s">
        <v>90</v>
      </c>
      <c r="E9" s="6" t="s">
        <v>87</v>
      </c>
    </row>
    <row r="10" customFormat="false" ht="15" hidden="false" customHeight="true" outlineLevel="0" collapsed="false">
      <c r="A10" s="6" t="s">
        <v>91</v>
      </c>
      <c r="B10" s="6" t="s">
        <v>68</v>
      </c>
      <c r="C10" s="6" t="s">
        <v>92</v>
      </c>
      <c r="D10" s="6" t="s">
        <v>93</v>
      </c>
      <c r="E10" s="6" t="s">
        <v>94</v>
      </c>
    </row>
    <row r="11" customFormat="false" ht="15" hidden="false" customHeight="true" outlineLevel="0" collapsed="false">
      <c r="A11" s="6" t="s">
        <v>95</v>
      </c>
      <c r="B11" s="6" t="s">
        <v>96</v>
      </c>
      <c r="C11" s="6" t="s">
        <v>97</v>
      </c>
      <c r="D11" s="6" t="s">
        <v>98</v>
      </c>
      <c r="E11" s="6" t="s">
        <v>99</v>
      </c>
    </row>
    <row r="12" customFormat="false" ht="15" hidden="false" customHeight="true" outlineLevel="0" collapsed="false">
      <c r="A12" s="6" t="s">
        <v>100</v>
      </c>
      <c r="B12" s="6" t="s">
        <v>96</v>
      </c>
      <c r="C12" s="6" t="s">
        <v>101</v>
      </c>
      <c r="D12" s="6" t="s">
        <v>102</v>
      </c>
      <c r="E12" s="6" t="s">
        <v>103</v>
      </c>
    </row>
    <row r="13" customFormat="false" ht="15" hidden="false" customHeight="true" outlineLevel="0" collapsed="false">
      <c r="A13" s="6" t="s">
        <v>104</v>
      </c>
      <c r="B13" s="6" t="s">
        <v>96</v>
      </c>
      <c r="C13" s="6" t="s">
        <v>105</v>
      </c>
      <c r="D13" s="6" t="s">
        <v>106</v>
      </c>
      <c r="E13" s="6" t="s">
        <v>107</v>
      </c>
    </row>
    <row r="14" customFormat="false" ht="15" hidden="false" customHeight="true" outlineLevel="0" collapsed="false">
      <c r="A14" s="6" t="s">
        <v>108</v>
      </c>
      <c r="B14" s="6" t="s">
        <v>96</v>
      </c>
      <c r="C14" s="6" t="s">
        <v>109</v>
      </c>
      <c r="D14" s="6" t="s">
        <v>110</v>
      </c>
      <c r="E14" s="6" t="s">
        <v>111</v>
      </c>
    </row>
    <row r="15" customFormat="false" ht="15" hidden="false" customHeight="true" outlineLevel="0" collapsed="false">
      <c r="A15" s="6" t="s">
        <v>112</v>
      </c>
      <c r="B15" s="6" t="s">
        <v>96</v>
      </c>
      <c r="C15" s="6" t="s">
        <v>113</v>
      </c>
      <c r="D15" s="6" t="s">
        <v>114</v>
      </c>
      <c r="E15" s="6" t="s">
        <v>115</v>
      </c>
    </row>
    <row r="16" customFormat="false" ht="15" hidden="false" customHeight="true" outlineLevel="0" collapsed="false">
      <c r="A16" s="6" t="s">
        <v>116</v>
      </c>
      <c r="B16" s="6" t="s">
        <v>117</v>
      </c>
      <c r="C16" s="6" t="s">
        <v>118</v>
      </c>
      <c r="D16" s="6" t="s">
        <v>119</v>
      </c>
      <c r="E16" s="6" t="s">
        <v>120</v>
      </c>
    </row>
    <row r="17" customFormat="false" ht="15" hidden="false" customHeight="true" outlineLevel="0" collapsed="false">
      <c r="A17" s="6" t="s">
        <v>121</v>
      </c>
      <c r="B17" s="6" t="s">
        <v>96</v>
      </c>
      <c r="C17" s="6" t="s">
        <v>122</v>
      </c>
      <c r="D17" s="6" t="s">
        <v>123</v>
      </c>
      <c r="E17" s="6" t="s">
        <v>124</v>
      </c>
    </row>
    <row r="18" customFormat="false" ht="15" hidden="false" customHeight="true" outlineLevel="0" collapsed="false">
      <c r="A18" s="6" t="s">
        <v>125</v>
      </c>
      <c r="B18" s="6" t="s">
        <v>96</v>
      </c>
      <c r="C18" s="6" t="s">
        <v>126</v>
      </c>
      <c r="D18" s="6" t="s">
        <v>127</v>
      </c>
      <c r="E18" s="6" t="s">
        <v>128</v>
      </c>
    </row>
    <row r="19" customFormat="false" ht="15" hidden="false" customHeight="true" outlineLevel="0" collapsed="false">
      <c r="A19" s="6" t="s">
        <v>129</v>
      </c>
      <c r="B19" s="6" t="s">
        <v>96</v>
      </c>
      <c r="C19" s="6" t="s">
        <v>130</v>
      </c>
      <c r="D19" s="6" t="s">
        <v>131</v>
      </c>
      <c r="E19" s="6" t="s">
        <v>132</v>
      </c>
    </row>
    <row r="20" customFormat="false" ht="15" hidden="false" customHeight="true" outlineLevel="0" collapsed="false">
      <c r="A20" s="6" t="s">
        <v>133</v>
      </c>
      <c r="B20" s="6" t="s">
        <v>117</v>
      </c>
      <c r="C20" s="6" t="s">
        <v>134</v>
      </c>
      <c r="D20" s="6" t="s">
        <v>135</v>
      </c>
      <c r="E20" s="6" t="s">
        <v>136</v>
      </c>
    </row>
    <row r="23" customFormat="false" ht="15" hidden="false" customHeight="true" outlineLevel="0" collapsed="false">
      <c r="A23" s="3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2026-10-26T19:55:49Z</dcterms:created>
  <dc:creator>openpyxl</dc:creator>
  <dc:description/>
  <dc:language>en-US</dc:language>
  <cp:lastModifiedBy/>
  <dcterms:modified xsi:type="dcterms:W3CDTF">2026-10-26T19:56:07Z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