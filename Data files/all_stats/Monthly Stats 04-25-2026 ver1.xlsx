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50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Shared drives\Statistics\Monthly Statistics\Board Files and Data Analysis\Board Files\2026\5-26\"/>
    </mc:Choice>
  </mc:AlternateContent>
  <xr:revisionPtr revIDLastSave="0" documentId="13_ncr:1_{E075A287-E014-41BB-8334-213453C8882F}" xr6:coauthVersionLast="36" xr6:coauthVersionMax="36" xr10:uidLastSave="{00000000-0000-0000-0000-000000000000}"/>
  <bookViews>
    <workbookView xWindow="-120" yWindow="-120" windowWidth="29040" windowHeight="15720" tabRatio="822" firstSheet="3" activeTab="5" xr2:uid="{00000000-000D-0000-FFFF-FFFF00000000}"/>
  </bookViews>
  <sheets>
    <sheet name="Notes" sheetId="17" r:id="rId1"/>
    <sheet name="Dash Board" sheetId="1" r:id="rId2"/>
    <sheet name="Other 2025 Stats" sheetId="2" r:id="rId3"/>
    <sheet name="Asynch" sheetId="16" r:id="rId4"/>
    <sheet name="Circ Door Cnt Cards" sheetId="3" r:id="rId5"/>
    <sheet name="Circ Data Test" sheetId="24" r:id="rId6"/>
    <sheet name="ICLs" sheetId="23" r:id="rId7"/>
    <sheet name="eResources Use" sheetId="4" r:id="rId8"/>
    <sheet name="Programs Month" sheetId="5" r:id="rId9"/>
    <sheet name="Prog Annual" sheetId="21" r:id="rId10"/>
    <sheet name="Online use" sheetId="13" r:id="rId11"/>
    <sheet name="Outreach etc" sheetId="14" r:id="rId12"/>
    <sheet name="Social" sheetId="6" r:id="rId13"/>
    <sheet name="Tech Use" sheetId="7" r:id="rId14"/>
    <sheet name="Hotspots" sheetId="22" r:id="rId15"/>
    <sheet name="Training" sheetId="15" r:id="rId16"/>
    <sheet name="Branch Stats" sheetId="9" r:id="rId17"/>
    <sheet name="eResources" sheetId="10" r:id="rId18"/>
    <sheet name="Online Stats" sheetId="11" r:id="rId19"/>
    <sheet name="Qrtly Ref Stats" sheetId="12" r:id="rId20"/>
    <sheet name="Lamar" sheetId="18" r:id="rId21"/>
    <sheet name="Lamar2" sheetId="19" r:id="rId22"/>
    <sheet name="Lamar 3" sheetId="20" r:id="rId23"/>
  </sheets>
  <definedNames>
    <definedName name="_xlnm._FilterDatabase" localSheetId="16" hidden="1">'Branch Stats'!$A$1:$BD$619</definedName>
    <definedName name="BranchStatsData" comment="Dynamically adds all new data to Branch DATA" localSheetId="16">OFFSET('Branch Stats'!$B$1,0,0,COUNTA('Branch Stats'!$A:$A),COUNTA('Branch Stats'!$1:$1)-1)</definedName>
    <definedName name="OnlineStatsData">'Online Stats'!$A$1:$AB$1759</definedName>
  </definedNames>
  <calcPr calcId="191029"/>
  <pivotCaches>
    <pivotCache cacheId="0" r:id="rId24"/>
    <pivotCache cacheId="1" r:id="rId25"/>
    <pivotCache cacheId="2" r:id="rId26"/>
    <pivotCache cacheId="3" r:id="rId27"/>
    <pivotCache cacheId="4" r:id="rId28"/>
    <pivotCache cacheId="5" r:id="rId29"/>
    <pivotCache cacheId="6" r:id="rId30"/>
    <pivotCache cacheId="7" r:id="rId31"/>
    <pivotCache cacheId="8" r:id="rId32"/>
    <pivotCache cacheId="9" r:id="rId33"/>
    <pivotCache cacheId="10" r:id="rId34"/>
    <pivotCache cacheId="11" r:id="rId35"/>
    <pivotCache cacheId="12" r:id="rId36"/>
    <pivotCache cacheId="13" r:id="rId37"/>
    <pivotCache cacheId="14" r:id="rId38"/>
    <pivotCache cacheId="15" r:id="rId39"/>
    <pivotCache cacheId="16" r:id="rId40"/>
    <pivotCache cacheId="17" r:id="rId41"/>
  </pivotCaches>
</workbook>
</file>

<file path=xl/calcChain.xml><?xml version="1.0" encoding="utf-8"?>
<calcChain xmlns="http://schemas.openxmlformats.org/spreadsheetml/2006/main">
  <c r="C8" i="1" l="1"/>
  <c r="C7" i="1"/>
  <c r="C6" i="1"/>
  <c r="C4" i="1"/>
  <c r="C3" i="1"/>
  <c r="C5" i="1"/>
  <c r="B12" i="23" l="1"/>
  <c r="N21" i="21"/>
  <c r="M21" i="21"/>
  <c r="L21" i="21"/>
  <c r="K21" i="21"/>
  <c r="J21" i="21"/>
  <c r="F21" i="21"/>
  <c r="E21" i="21"/>
  <c r="D21" i="21"/>
  <c r="C21" i="21"/>
  <c r="B21" i="21"/>
  <c r="A11" i="22"/>
  <c r="J23" i="21" l="1"/>
  <c r="B24" i="21"/>
  <c r="N113" i="20"/>
  <c r="N112" i="20"/>
  <c r="B10" i="23"/>
  <c r="A10" i="23"/>
  <c r="J11" i="7"/>
  <c r="I11" i="7"/>
  <c r="H11" i="7"/>
  <c r="G11" i="7"/>
  <c r="K13" i="6"/>
  <c r="J13" i="6"/>
  <c r="K14" i="13"/>
  <c r="J14" i="13"/>
  <c r="I14" i="13"/>
  <c r="H14" i="13"/>
  <c r="K18" i="3"/>
  <c r="J18" i="3"/>
  <c r="G18" i="3"/>
  <c r="F18" i="3"/>
  <c r="E18" i="3"/>
  <c r="D3" i="18" l="1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2" i="18"/>
  <c r="A15" i="17" l="1"/>
  <c r="C39" i="1" l="1"/>
  <c r="C30" i="1" l="1"/>
  <c r="C29" i="1"/>
  <c r="C28" i="1"/>
  <c r="C27" i="1"/>
  <c r="C26" i="1"/>
  <c r="C52" i="1"/>
  <c r="C57" i="1"/>
  <c r="B9" i="16"/>
  <c r="C49" i="1"/>
  <c r="C9" i="16"/>
  <c r="C48" i="1"/>
  <c r="C53" i="1"/>
  <c r="C55" i="1"/>
  <c r="C56" i="1"/>
  <c r="C51" i="1"/>
  <c r="C54" i="1"/>
  <c r="C50" i="1"/>
  <c r="C66" i="1"/>
  <c r="C67" i="1"/>
  <c r="C40" i="1"/>
  <c r="C71" i="1"/>
  <c r="C69" i="1"/>
  <c r="C38" i="1"/>
  <c r="C36" i="1"/>
  <c r="C37" i="1"/>
  <c r="C70" i="1"/>
  <c r="C35" i="1"/>
  <c r="C44" i="1"/>
  <c r="C31" i="1"/>
  <c r="C32" i="1"/>
  <c r="C45" i="1"/>
  <c r="C34" i="1"/>
  <c r="C43" i="1"/>
  <c r="C33" i="1"/>
  <c r="C47" i="1"/>
  <c r="C46" i="1"/>
  <c r="C60" i="1" l="1"/>
  <c r="C63" i="1"/>
</calcChain>
</file>

<file path=xl/sharedStrings.xml><?xml version="1.0" encoding="utf-8"?>
<sst xmlns="http://schemas.openxmlformats.org/spreadsheetml/2006/main" count="17785" uniqueCount="16762">
  <si>
    <t>Section</t>
  </si>
  <si>
    <t>State Library Annual Statistical Report</t>
  </si>
  <si>
    <t>LIBRARY USERS, VISITS, AND INTERNET USAGE</t>
  </si>
  <si>
    <t>G1</t>
  </si>
  <si>
    <t>Registered Users, Adult</t>
  </si>
  <si>
    <t>G2</t>
  </si>
  <si>
    <t>Registered Users, Juvenile</t>
  </si>
  <si>
    <t>G4</t>
  </si>
  <si>
    <t>Gate Count</t>
  </si>
  <si>
    <t>G6</t>
  </si>
  <si>
    <t>Public Interent Computer Use</t>
  </si>
  <si>
    <t>G9</t>
  </si>
  <si>
    <t>WiFI Sessions Annual</t>
  </si>
  <si>
    <t>G11</t>
  </si>
  <si>
    <t>Website Visits</t>
  </si>
  <si>
    <t>G12</t>
  </si>
  <si>
    <t>External Party Meeting Room Use</t>
  </si>
  <si>
    <t>REFERENCE, CIRCLUATION</t>
  </si>
  <si>
    <t>H1</t>
  </si>
  <si>
    <t>Annual Reference Transactions</t>
  </si>
  <si>
    <t>H3</t>
  </si>
  <si>
    <t>1on1 Sessions</t>
  </si>
  <si>
    <t>H4</t>
  </si>
  <si>
    <t>Children's Print Circ</t>
  </si>
  <si>
    <t>H5</t>
  </si>
  <si>
    <t>Children's Non-Print Circ</t>
  </si>
  <si>
    <t>H7</t>
  </si>
  <si>
    <t>Adult Print Circ</t>
  </si>
  <si>
    <t>H8</t>
  </si>
  <si>
    <t>Adult Non-Print Circ</t>
  </si>
  <si>
    <t>H10</t>
  </si>
  <si>
    <t>Circ of Other Physical Materials</t>
  </si>
  <si>
    <t>H14</t>
  </si>
  <si>
    <t>Ebook Circ</t>
  </si>
  <si>
    <t>H15</t>
  </si>
  <si>
    <t>EAudio Circ</t>
  </si>
  <si>
    <t>H16</t>
  </si>
  <si>
    <t>EVideo Circ</t>
  </si>
  <si>
    <t>H17</t>
  </si>
  <si>
    <t>ESerial Circulation</t>
  </si>
  <si>
    <t>H20</t>
  </si>
  <si>
    <t>ILLs Sent</t>
  </si>
  <si>
    <t>H21</t>
  </si>
  <si>
    <t>ILLs Received</t>
  </si>
  <si>
    <t>PROGRAMMING</t>
  </si>
  <si>
    <t>SESSIONS</t>
  </si>
  <si>
    <t>ONSITE</t>
  </si>
  <si>
    <t>Programs 0-5</t>
  </si>
  <si>
    <t>Programs 6-11</t>
  </si>
  <si>
    <t>Programs 12-18</t>
  </si>
  <si>
    <t>Programs 19+</t>
  </si>
  <si>
    <t>Programs General Interest</t>
  </si>
  <si>
    <t>OFFSITE</t>
  </si>
  <si>
    <t>VIRTUAL</t>
  </si>
  <si>
    <t>ATTENDANCE</t>
  </si>
  <si>
    <t>Sessions 0-5</t>
  </si>
  <si>
    <t>Sessions 6-11</t>
  </si>
  <si>
    <t>Sessions 12-18</t>
  </si>
  <si>
    <t>Sessions 19+</t>
  </si>
  <si>
    <t>ASYNCHRONOUS PRESENTATIONS</t>
  </si>
  <si>
    <t>Youtube, Dial-A-Story</t>
  </si>
  <si>
    <t>ASYNCHRONOUS VIEWS</t>
  </si>
  <si>
    <t>Outreach Activities</t>
  </si>
  <si>
    <t>Branches</t>
  </si>
  <si>
    <t>Bookmobile</t>
  </si>
  <si>
    <t>Passive Programming</t>
  </si>
  <si>
    <t>Training - # of Staff Trained</t>
  </si>
  <si>
    <t>Training - # Hours</t>
  </si>
  <si>
    <t>Curbside</t>
  </si>
  <si>
    <t>External Party Library Room Use</t>
  </si>
  <si>
    <t>New Library Card Registrations, Juvenile</t>
  </si>
  <si>
    <t>Attendance 0-5</t>
  </si>
  <si>
    <t>Attendance 6-11</t>
  </si>
  <si>
    <t>Attendance 12-18</t>
  </si>
  <si>
    <t>Attendance 19+</t>
  </si>
  <si>
    <t>Attendance General Interest</t>
  </si>
  <si>
    <t>yclibrary.org - web sessions</t>
  </si>
  <si>
    <t>YCL - App - Users</t>
  </si>
  <si>
    <t>YCL - App - Sessions</t>
  </si>
  <si>
    <t>Contact Us</t>
  </si>
  <si>
    <t>Instragram - Subscribers</t>
  </si>
  <si>
    <t>Facebook Followers</t>
  </si>
  <si>
    <t>YouTube - Views</t>
  </si>
  <si>
    <t>YouTube - Hours Watched</t>
  </si>
  <si>
    <t>Youtube - Subscribers</t>
  </si>
  <si>
    <t>WiFi - Unique Sessions</t>
  </si>
  <si>
    <t>Hotspots Circulation</t>
  </si>
  <si>
    <t>PC Reservations</t>
  </si>
  <si>
    <t>Timestamp</t>
  </si>
  <si>
    <t>Month</t>
  </si>
  <si>
    <t>BRANCH</t>
  </si>
  <si>
    <t>New Library Card Registrations, Adult (includes YA)</t>
  </si>
  <si>
    <t>Total Branch Circulation</t>
  </si>
  <si>
    <t>ILL - Sent (Main ONLY)</t>
  </si>
  <si>
    <t>ILL - Received (Main ONLY)</t>
  </si>
  <si>
    <t>ICLs - Sent (MAIN ONLY)</t>
  </si>
  <si>
    <t>ICLs - Received (MAIN ONLY)</t>
  </si>
  <si>
    <t>Total Prints per Month</t>
  </si>
  <si>
    <t>I2:  ONSITE Sessions 0-5</t>
  </si>
  <si>
    <t>I3:   ONSITE Sessions 6-11</t>
  </si>
  <si>
    <t>I4: ONSITE Sessions 12-18</t>
  </si>
  <si>
    <t>I5:   ONSITE Sessions 19+</t>
  </si>
  <si>
    <t>I6:  ONSITE Sessions GENERAL INTEREST</t>
  </si>
  <si>
    <t>ONSITE Attendance 0-5</t>
  </si>
  <si>
    <t>ONSITE Attendance 6-11</t>
  </si>
  <si>
    <t>ONSITE Attendance 12-18</t>
  </si>
  <si>
    <t>ONSITE Attendance 19+</t>
  </si>
  <si>
    <t>ONSITE Attendance General Interest</t>
  </si>
  <si>
    <t>OFFSITE Sessions 0-5</t>
  </si>
  <si>
    <t>OFFSITE Sessions 6-11</t>
  </si>
  <si>
    <t>OFFSITE Sessions 12-18</t>
  </si>
  <si>
    <t>OFFSITE Sessions 19+</t>
  </si>
  <si>
    <t>OFFSITE Sessions General Interest</t>
  </si>
  <si>
    <t>OFFSITE Attendance 0-5</t>
  </si>
  <si>
    <t>OFFSITE Attendance 6-11</t>
  </si>
  <si>
    <t>OFFSITE Attendance 12-18</t>
  </si>
  <si>
    <t>OFFSITE Attendance 19+</t>
  </si>
  <si>
    <t>OFFSITE Attendance General Interest</t>
  </si>
  <si>
    <t>VIRTUAL Sessions 0-5</t>
  </si>
  <si>
    <t>VIRTUAL Sessions 6-11</t>
  </si>
  <si>
    <t>VIRTUAL Sessions 12-18</t>
  </si>
  <si>
    <t>VIRTUAL Sessions 19+</t>
  </si>
  <si>
    <t>VIRTUAL Sessions General Interest</t>
  </si>
  <si>
    <t>VIRTUAL Attendance 0-5</t>
  </si>
  <si>
    <t>VIRTUAL Attendance 6-11</t>
  </si>
  <si>
    <t>VIRTUAL Attendance 12-18</t>
  </si>
  <si>
    <t>VIRTUAL Attendance 19+</t>
  </si>
  <si>
    <t>VIRTUAL Attendance General Interest</t>
  </si>
  <si>
    <t>I21: NUMBER OF OUTREACH ACTIVITIES Conducted</t>
  </si>
  <si>
    <t>Outreach Attendance (YCL Internal)</t>
  </si>
  <si>
    <t>I23: NUMBER OF STAFF TAKING TRAINING</t>
  </si>
  <si>
    <t>I24: NUMBER OF HOURS STAFF ATTENDED TRAINING</t>
  </si>
  <si>
    <t>1-on-1 Total for Month</t>
  </si>
  <si>
    <t>July</t>
  </si>
  <si>
    <t>OUTREACH / BOOKMOBILE</t>
  </si>
  <si>
    <t>CLOVER</t>
  </si>
  <si>
    <t>FORT MILL</t>
  </si>
  <si>
    <t>August</t>
  </si>
  <si>
    <t>LAKE WYLIE</t>
  </si>
  <si>
    <t>ROCK HILL</t>
  </si>
  <si>
    <t>YORK</t>
  </si>
  <si>
    <t>Email Address</t>
  </si>
  <si>
    <t>Select Month</t>
  </si>
  <si>
    <t>Select Branch</t>
  </si>
  <si>
    <t>"Ask A Librarian"  Questions</t>
  </si>
  <si>
    <t>ABCmouse</t>
  </si>
  <si>
    <t>Biblioboard Requests</t>
  </si>
  <si>
    <t>Biblioboard Sessions</t>
  </si>
  <si>
    <t>Brainfuse</t>
  </si>
  <si>
    <t>Data Axle/Reference USA</t>
  </si>
  <si>
    <t>Flipster Searches</t>
  </si>
  <si>
    <t>Flipster Sessions</t>
  </si>
  <si>
    <t>Gale eBooks</t>
  </si>
  <si>
    <t>Gale Udemy</t>
  </si>
  <si>
    <t>Infobase eBooks</t>
  </si>
  <si>
    <t>Infobase: The Mailbox Searches</t>
  </si>
  <si>
    <t>Infobase: The Mailbox Sessions</t>
  </si>
  <si>
    <t>Kanopy Plays</t>
  </si>
  <si>
    <t>Kanopy Sessions/Views</t>
  </si>
  <si>
    <t>Library Aware: Newsletter Page Views</t>
  </si>
  <si>
    <t>Library Aware: Newsletter Subscriptions</t>
  </si>
  <si>
    <t>Mango</t>
  </si>
  <si>
    <t>hoopla Binge Passes</t>
  </si>
  <si>
    <t>hoopla Comics</t>
  </si>
  <si>
    <t>hoopla Flex eAudio</t>
  </si>
  <si>
    <t xml:space="preserve">hoopla Flex eBook </t>
  </si>
  <si>
    <t>hoopla Instant eAudio</t>
  </si>
  <si>
    <t>hoopla Instant eBook</t>
  </si>
  <si>
    <t>hoopla Movies</t>
  </si>
  <si>
    <t>hoopla Music</t>
  </si>
  <si>
    <t>hoopla TV</t>
  </si>
  <si>
    <t>Newsbank Newspapers</t>
  </si>
  <si>
    <t>Libby eAudio</t>
  </si>
  <si>
    <t>Libby eBook</t>
  </si>
  <si>
    <t xml:space="preserve">Libby Magazines </t>
  </si>
  <si>
    <t>Libby Streaming</t>
  </si>
  <si>
    <t>Proquest: Ancestry Library Edition</t>
  </si>
  <si>
    <t>Proquest: Fold3</t>
  </si>
  <si>
    <t>Proquest: Heritage Quest Online</t>
  </si>
  <si>
    <t>Salem eBooks</t>
  </si>
  <si>
    <t>Tutor</t>
  </si>
  <si>
    <t>ValueLine Searches</t>
  </si>
  <si>
    <t>Weiss Page Views</t>
  </si>
  <si>
    <t>Weiss Searches</t>
  </si>
  <si>
    <t>Weiss Sessions</t>
  </si>
  <si>
    <t>Lote4Kids - Stories Watched</t>
  </si>
  <si>
    <t>Lote4Kids - Activities</t>
  </si>
  <si>
    <t>Lote4Kids - Logins</t>
  </si>
  <si>
    <t>DigitalLearn - Sessions</t>
  </si>
  <si>
    <t>DigitalLearn - Completed Courses</t>
  </si>
  <si>
    <t>carol.nicol@yclibrary.org</t>
  </si>
  <si>
    <t>YCL (System Wide)</t>
  </si>
  <si>
    <t>martin.house@yclibrary.org</t>
  </si>
  <si>
    <t>ychistory.org - views</t>
  </si>
  <si>
    <t>patchworktales.org  - views</t>
  </si>
  <si>
    <t>Dial A Story - CALLS</t>
  </si>
  <si>
    <t>Dial A Story - VIEWS</t>
  </si>
  <si>
    <t>DSpace - Views</t>
  </si>
  <si>
    <t>Beanstack - Sessions</t>
  </si>
  <si>
    <t>LibraryCalendar - Sessions</t>
  </si>
  <si>
    <t>LibGuides - Sessions</t>
  </si>
  <si>
    <t>DigitalLearn.org - Sessions</t>
  </si>
  <si>
    <t>DigitalLearn.org - Completed Courses</t>
  </si>
  <si>
    <t>LOTE4Kids - Stories Watched</t>
  </si>
  <si>
    <t>LOTE4Kids - Actvitities</t>
  </si>
  <si>
    <t>LOTE4Kids - Logins</t>
  </si>
  <si>
    <t>YCL News - Subscriber</t>
  </si>
  <si>
    <t>Website Messages</t>
  </si>
  <si>
    <t>YouTube Uploads</t>
  </si>
  <si>
    <t>Dial A Story Uploads</t>
  </si>
  <si>
    <t>Quarter</t>
  </si>
  <si>
    <t>Branch or Location</t>
  </si>
  <si>
    <t>Total # of Transactions for the Week</t>
  </si>
  <si>
    <t>Clover</t>
  </si>
  <si>
    <t>Fort Mill</t>
  </si>
  <si>
    <t>Rock Hill - Circulation</t>
  </si>
  <si>
    <t>Outreach / BKM</t>
  </si>
  <si>
    <t>Rock Hill - Reference</t>
  </si>
  <si>
    <t>Lake Wylie</t>
  </si>
  <si>
    <t>York</t>
  </si>
  <si>
    <t>Rock Hill - YA</t>
  </si>
  <si>
    <t>(All)</t>
  </si>
  <si>
    <t>October</t>
  </si>
  <si>
    <t>September</t>
  </si>
  <si>
    <t>OUTREACH/BOOKMOBILE</t>
  </si>
  <si>
    <t>Year</t>
  </si>
  <si>
    <t>Row Labels</t>
  </si>
  <si>
    <t>Grand Total</t>
  </si>
  <si>
    <t>Monthly Gate Count</t>
  </si>
  <si>
    <t>Monthly Circulation</t>
  </si>
  <si>
    <t>New Library Cards, Juvenile</t>
  </si>
  <si>
    <t>New Library Cards, Adult (includes YA)</t>
  </si>
  <si>
    <t>Sessions GENERAL INTEREST</t>
  </si>
  <si>
    <t>Monthly PC Reservations</t>
  </si>
  <si>
    <t>Website Hits</t>
  </si>
  <si>
    <t>YCLApp Users</t>
  </si>
  <si>
    <t>YCLApp Sessions</t>
  </si>
  <si>
    <t>(blank)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</si>
  <si>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</si>
  <si>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</si>
  <si>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</si>
  <si>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</si>
  <si>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</si>
  <si>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</si>
  <si>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</si>
  <si>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</si>
  <si>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</si>
  <si>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</si>
  <si>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</si>
  <si>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</si>
  <si>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</si>
  <si>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</si>
  <si>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</si>
  <si>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</si>
  <si>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</si>
  <si>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</si>
  <si>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</si>
  <si>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</si>
  <si>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</si>
  <si>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</si>
  <si>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</si>
  <si>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</si>
  <si>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</si>
  <si>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</si>
  <si>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</si>
  <si>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</si>
  <si>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</si>
  <si>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</si>
  <si>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</si>
  <si>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</si>
  <si>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</si>
  <si>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</si>
  <si>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</si>
  <si>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</si>
  <si>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</si>
  <si>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</si>
  <si>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</si>
  <si>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</si>
  <si>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</si>
  <si>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</si>
  <si>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</si>
  <si>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</si>
  <si>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</si>
  <si>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</si>
  <si>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</si>
  <si>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</si>
  <si>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</si>
  <si>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</si>
  <si>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</si>
  <si>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</si>
  <si>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</si>
  <si>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</si>
  <si>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</si>
  <si>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</si>
  <si>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</si>
  <si>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</si>
  <si>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</si>
  <si>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</si>
  <si>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</si>
  <si>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</si>
  <si>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</si>
  <si>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</si>
  <si>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</si>
  <si>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</si>
  <si>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</si>
  <si>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</si>
  <si>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</si>
  <si>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</si>
  <si>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</si>
  <si>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</si>
  <si>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</si>
  <si>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</si>
  <si>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</si>
  <si>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</si>
  <si>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</si>
  <si>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</si>
  <si>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</si>
  <si>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</si>
  <si>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</si>
  <si>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</si>
  <si>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</si>
  <si>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</si>
  <si>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</si>
  <si>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</si>
  <si>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</si>
  <si>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</si>
  <si>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</si>
  <si>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</si>
  <si>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</si>
  <si>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</si>
  <si>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</si>
  <si>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</si>
  <si>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</si>
  <si>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</si>
  <si>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</si>
  <si>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</si>
  <si>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</si>
  <si>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</si>
  <si>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</si>
  <si>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</si>
  <si>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</si>
  <si>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</si>
  <si>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</si>
  <si>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</si>
  <si>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</si>
  <si>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</si>
  <si>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</si>
  <si>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</si>
  <si>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</si>
  <si>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</si>
  <si>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</si>
  <si>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</si>
  <si>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</si>
  <si>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</si>
  <si>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</si>
  <si>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</si>
  <si>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</si>
  <si>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</si>
  <si>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</si>
  <si>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</si>
  <si>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</si>
  <si>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</si>
  <si>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</si>
  <si>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</si>
  <si>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</si>
  <si>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</si>
  <si>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</si>
  <si>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</si>
  <si>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</si>
  <si>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</si>
  <si>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</si>
  <si>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</si>
  <si>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</si>
  <si>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</si>
  <si>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</si>
  <si>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</si>
  <si>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</si>
  <si>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</si>
  <si>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</si>
  <si>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</si>
  <si>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</si>
  <si>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</si>
  <si>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</si>
  <si>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</si>
  <si>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</si>
  <si>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</si>
  <si>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</si>
  <si>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</si>
  <si>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</si>
  <si>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</si>
  <si>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</si>
  <si>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</si>
  <si>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</si>
  <si>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</si>
  <si>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</si>
  <si>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</si>
  <si>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</si>
  <si>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</si>
  <si>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</si>
  <si>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</si>
  <si>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</si>
  <si>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</si>
  <si>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</si>
  <si>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</si>
  <si>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</si>
  <si>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</si>
  <si>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</si>
  <si>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</si>
  <si>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</si>
  <si>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</si>
  <si>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</si>
  <si>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</si>
  <si>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</si>
  <si>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</si>
  <si>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</si>
  <si>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</si>
  <si>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</si>
  <si>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</si>
  <si>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</si>
  <si>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</si>
  <si>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</si>
  <si>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</si>
  <si>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</si>
  <si>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</si>
  <si>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</si>
  <si>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</si>
  <si>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</si>
  <si>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</si>
  <si>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</si>
  <si>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</si>
  <si>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</si>
  <si>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</si>
  <si>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</si>
  <si>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</si>
  <si>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</si>
  <si>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</si>
  <si>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</si>
  <si>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</si>
  <si>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</si>
  <si>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</si>
  <si>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</si>
  <si>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</si>
  <si>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</si>
  <si>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</si>
  <si>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</si>
  <si>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</si>
  <si>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</si>
  <si>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</si>
  <si>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</si>
  <si>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</si>
  <si>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</si>
  <si>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</si>
  <si>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</si>
  <si>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</si>
  <si>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</si>
  <si>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</si>
  <si>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</si>
  <si>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</si>
  <si>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</si>
  <si>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</si>
  <si>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</si>
  <si>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</si>
  <si>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</si>
  <si>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</si>
  <si>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</si>
  <si>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</si>
  <si>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</si>
  <si>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</si>
  <si>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</si>
  <si>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</si>
  <si>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</si>
  <si>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</si>
  <si>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</si>
  <si>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</si>
  <si>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</si>
  <si>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</si>
  <si>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</si>
  <si>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</si>
  <si>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</si>
  <si>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</si>
  <si>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</si>
  <si>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</si>
  <si>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</si>
  <si>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</si>
  <si>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</si>
  <si>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</si>
  <si>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</si>
  <si>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</si>
  <si>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</si>
  <si>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</si>
  <si>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</si>
  <si>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</si>
  <si>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</si>
  <si>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</si>
  <si>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</si>
  <si>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</si>
  <si>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</si>
  <si>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</si>
  <si>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</si>
  <si>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</si>
  <si>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</si>
  <si>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</si>
  <si>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</si>
  <si>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</si>
  <si>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</si>
  <si>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</si>
  <si>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</si>
  <si>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</si>
  <si>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</si>
  <si>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</si>
  <si>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</si>
  <si>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</si>
  <si>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</si>
  <si>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</si>
  <si>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</si>
  <si>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</si>
  <si>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</si>
  <si>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</si>
  <si>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</si>
  <si>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</si>
  <si>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</si>
  <si>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</si>
  <si>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</si>
  <si>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</si>
  <si>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</si>
  <si>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</si>
  <si>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</si>
  <si>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</si>
  <si>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</si>
  <si>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</si>
  <si>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</si>
  <si>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</si>
  <si>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</si>
  <si>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</si>
  <si>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</si>
  <si>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</si>
  <si>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</si>
  <si>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</si>
  <si>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</si>
  <si>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</si>
  <si>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</si>
  <si>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</si>
  <si>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</si>
  <si>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</si>
  <si>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</si>
  <si>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</si>
  <si>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</si>
  <si>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</si>
  <si>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</si>
  <si>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</si>
  <si>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</si>
  <si>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</si>
  <si>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</si>
  <si>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</si>
  <si>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</si>
  <si>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</si>
  <si>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</si>
  <si>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</si>
  <si>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</si>
  <si>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</si>
  <si>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</si>
  <si>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</si>
  <si>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</si>
  <si>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</si>
  <si>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</si>
  <si>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</si>
  <si>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</si>
  <si>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</si>
  <si>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</si>
  <si>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</si>
  <si>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</si>
  <si>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</si>
  <si>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</si>
  <si>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</si>
  <si>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</si>
  <si>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</si>
  <si>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</si>
  <si>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</si>
  <si>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</si>
  <si>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</si>
  <si>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</si>
  <si>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</si>
  <si>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</si>
  <si>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</si>
  <si>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</si>
  <si>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</si>
  <si>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</si>
  <si>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</si>
  <si>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</si>
  <si>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</si>
  <si>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</si>
  <si>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</si>
  <si>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</si>
  <si>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</si>
  <si>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</si>
  <si>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</si>
  <si>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</si>
  <si>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</si>
  <si>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</si>
  <si>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</si>
  <si>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</si>
  <si>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</si>
  <si>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</si>
  <si>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</si>
  <si>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</si>
  <si>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</si>
  <si>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</si>
  <si>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</si>
  <si>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</si>
  <si>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</si>
  <si>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</si>
  <si>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</si>
  <si>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</si>
  <si>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</si>
  <si>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</si>
  <si>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</si>
  <si>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</si>
  <si>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</si>
  <si>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</si>
  <si>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</si>
  <si>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</si>
  <si>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</si>
  <si>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</si>
  <si>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</si>
  <si>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</si>
  <si>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</si>
  <si>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</si>
  <si>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</si>
  <si>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</si>
  <si>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</si>
  <si>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</si>
  <si>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</si>
  <si>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</si>
  <si>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</si>
  <si>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</si>
  <si>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</si>
  <si>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</si>
  <si>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</si>
  <si>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</si>
  <si>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</si>
  <si>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</si>
  <si>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</si>
  <si>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</si>
  <si>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</si>
  <si>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</si>
  <si>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</si>
  <si>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</si>
  <si>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</si>
  <si>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</si>
  <si>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</si>
  <si>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</si>
  <si>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</si>
  <si>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</si>
  <si>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</si>
  <si>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</si>
  <si>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</si>
  <si>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</si>
  <si>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</si>
  <si>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</si>
  <si>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</si>
  <si>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</si>
  <si>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</si>
  <si>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</si>
  <si>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</si>
  <si>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</si>
  <si>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</si>
  <si>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</si>
  <si>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</si>
  <si>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</si>
  <si>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</si>
  <si>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</si>
  <si>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</si>
  <si>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</si>
  <si>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</si>
  <si>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</si>
  <si>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</si>
  <si>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</si>
  <si>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</si>
  <si>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</si>
  <si>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</si>
  <si>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</si>
  <si>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</si>
  <si>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</si>
  <si>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</si>
  <si>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</si>
  <si>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</si>
  <si>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</si>
  <si>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</si>
  <si>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</si>
  <si>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</si>
  <si>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</si>
  <si>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</si>
  <si>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</si>
  <si>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</si>
  <si>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</si>
  <si>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</si>
  <si>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</si>
  <si>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</si>
  <si>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</si>
  <si>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</si>
  <si>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</si>
  <si>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</si>
  <si>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</si>
  <si>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</si>
  <si>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</si>
  <si>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</si>
  <si>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</si>
  <si>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</si>
  <si>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</si>
  <si>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</si>
  <si>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</si>
  <si>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</si>
  <si>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</si>
  <si>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</si>
  <si>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</si>
  <si>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</si>
  <si>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</si>
  <si>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</si>
  <si>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</si>
  <si>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</si>
  <si>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</si>
  <si>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</si>
  <si>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</si>
  <si>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</si>
  <si>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</si>
  <si>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</si>
  <si>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</si>
  <si>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</si>
  <si>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</si>
  <si>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</si>
  <si>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</si>
  <si>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</si>
  <si>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</si>
  <si>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</si>
  <si>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</si>
  <si>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</si>
  <si>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</si>
  <si>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</si>
  <si>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</si>
  <si>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</si>
  <si>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</si>
  <si>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</si>
  <si>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</si>
  <si>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</si>
  <si>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</si>
  <si>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</si>
  <si>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</si>
  <si>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</si>
  <si>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</si>
  <si>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</si>
  <si>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</si>
  <si>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</si>
  <si>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</si>
  <si>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</si>
  <si>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</si>
  <si>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</si>
  <si>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</si>
  <si>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</si>
  <si>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</si>
  <si>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</si>
  <si>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</si>
  <si>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</si>
  <si>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</si>
  <si>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</si>
  <si>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</si>
  <si>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</si>
  <si>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</si>
  <si>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</si>
  <si>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</si>
  <si>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</si>
  <si>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</si>
  <si>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</si>
  <si>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</si>
  <si>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</si>
  <si>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</si>
  <si>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</si>
  <si>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</si>
  <si>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</si>
  <si>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</si>
  <si>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</si>
  <si>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</si>
  <si>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</si>
  <si>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</si>
  <si>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</si>
  <si>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</si>
  <si>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</si>
  <si>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</si>
  <si>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</si>
  <si>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</si>
  <si>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</si>
  <si>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</si>
  <si>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</si>
  <si>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</si>
  <si>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</si>
  <si>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</si>
  <si>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</si>
  <si>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</si>
  <si>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</si>
  <si>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</si>
  <si>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</si>
  <si>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</si>
  <si>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</si>
  <si>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</si>
  <si>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</si>
  <si>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</si>
  <si>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</si>
  <si>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</si>
  <si>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</si>
  <si>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</si>
  <si>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</si>
  <si>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</si>
  <si>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</si>
  <si>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</si>
  <si>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</si>
  <si>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</si>
  <si>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</si>
  <si>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</si>
  <si>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</si>
  <si>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</si>
  <si>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</si>
  <si>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</si>
  <si>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</si>
  <si>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</si>
  <si>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</si>
  <si>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</si>
  <si>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</si>
  <si>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</si>
  <si>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</si>
  <si>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</si>
  <si>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</si>
  <si>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</si>
  <si>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</si>
  <si>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</si>
  <si>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</si>
  <si>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</si>
  <si>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</si>
  <si>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</si>
  <si>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</si>
  <si>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</si>
  <si>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</si>
  <si>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</si>
  <si>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</si>
  <si>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</si>
  <si>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</si>
  <si>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</si>
  <si>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</si>
  <si>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</si>
  <si>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</si>
  <si>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</si>
  <si>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</si>
  <si>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</si>
  <si>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</si>
  <si>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</si>
  <si>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</si>
  <si>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</si>
  <si>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</si>
  <si>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</si>
  <si>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</si>
  <si>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</si>
  <si>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</si>
  <si>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</si>
  <si>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</si>
  <si>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</si>
  <si>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</si>
  <si>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</si>
  <si>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</si>
  <si>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</si>
  <si>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</si>
  <si>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</si>
  <si>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</si>
  <si>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</si>
  <si>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</si>
  <si>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</si>
  <si>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</si>
  <si>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</si>
  <si>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</si>
  <si>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</si>
  <si>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</si>
  <si>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</si>
  <si>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</si>
  <si>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</si>
  <si>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</si>
  <si>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</si>
  <si>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</si>
  <si>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</si>
  <si>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</si>
  <si>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</si>
  <si>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</si>
  <si>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</si>
  <si>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</si>
  <si>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</si>
  <si>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</si>
  <si>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</si>
  <si>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</si>
  <si>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</si>
  <si>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</si>
  <si>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</si>
  <si>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</si>
  <si>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</si>
  <si>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</si>
  <si>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</si>
  <si>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</si>
  <si>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</si>
  <si>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</si>
  <si>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</si>
  <si>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</si>
  <si>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</si>
  <si>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</si>
  <si>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</si>
  <si>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</si>
  <si>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</si>
  <si>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</si>
  <si>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</si>
  <si>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</si>
  <si>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</si>
  <si>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</si>
  <si>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</si>
  <si>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</si>
  <si>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</si>
  <si>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</si>
  <si>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</si>
  <si>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</si>
  <si>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</si>
  <si>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</si>
  <si>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</si>
  <si>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</si>
  <si>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</si>
  <si>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</si>
  <si>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</si>
  <si>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</si>
  <si>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</si>
  <si>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</si>
  <si>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</si>
  <si>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</si>
  <si>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</si>
  <si>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</si>
  <si>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</si>
  <si>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</si>
  <si>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</si>
  <si>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</si>
  <si>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</si>
  <si>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</si>
  <si>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</si>
  <si>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</si>
  <si>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</si>
  <si>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</si>
  <si>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</si>
  <si>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</si>
  <si>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</si>
  <si>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</si>
  <si>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</si>
  <si>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</si>
  <si>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</si>
  <si>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</si>
  <si>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</si>
  <si>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</si>
  <si>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</si>
  <si>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</si>
  <si>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</si>
  <si>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</si>
  <si>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</si>
  <si>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</si>
  <si>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</si>
  <si>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</si>
  <si>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</si>
  <si>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</si>
  <si>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</si>
  <si>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</si>
  <si>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</si>
  <si>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</si>
  <si>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</si>
  <si>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</si>
  <si>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</si>
  <si>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</si>
  <si>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</si>
  <si>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</si>
  <si>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</si>
  <si>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</si>
  <si>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</si>
  <si>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</si>
  <si>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</si>
  <si>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</si>
  <si>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</si>
  <si>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</si>
  <si>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</si>
  <si>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</si>
  <si>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</si>
  <si>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</si>
  <si>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</si>
  <si>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</si>
  <si>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</si>
  <si>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</si>
  <si>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</si>
  <si>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</si>
  <si>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</si>
  <si>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</si>
  <si>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</si>
  <si>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</si>
  <si>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</si>
  <si>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</si>
  <si>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</si>
  <si>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</si>
  <si>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</si>
  <si>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</si>
  <si>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</si>
  <si>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</si>
  <si>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</si>
  <si>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</si>
  <si>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</si>
  <si>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</si>
  <si>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</si>
  <si>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</si>
  <si>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</si>
  <si>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</si>
  <si>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</si>
  <si>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</si>
  <si>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</si>
  <si>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</si>
  <si>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</si>
  <si>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</si>
  <si>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</si>
  <si>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</si>
  <si>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</si>
  <si>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</si>
  <si>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</si>
  <si>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</si>
  <si>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</si>
  <si>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</si>
  <si>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</si>
  <si>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</si>
  <si>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</si>
  <si>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</si>
  <si>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</si>
  <si>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</si>
  <si>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</si>
  <si>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</si>
  <si>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</si>
  <si>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</si>
  <si>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</si>
  <si>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</si>
  <si>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</si>
  <si>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</si>
  <si>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</si>
  <si>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</si>
  <si>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</si>
  <si>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</si>
  <si>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</si>
  <si>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</si>
  <si>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</si>
  <si>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</si>
  <si>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</si>
  <si>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</si>
  <si>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</si>
  <si>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</si>
  <si>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</si>
  <si>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</si>
  <si>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</si>
  <si>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</si>
  <si>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</si>
  <si>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</si>
  <si>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</si>
  <si>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</si>
  <si>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</si>
  <si>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</si>
  <si>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</si>
  <si>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</si>
  <si>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</si>
  <si>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</si>
  <si>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</si>
  <si>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</si>
  <si>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</si>
  <si>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</si>
  <si>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</si>
  <si>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</si>
  <si>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</si>
  <si>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</si>
  <si>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</si>
  <si>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</si>
  <si>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</si>
  <si>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</si>
  <si>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</si>
  <si>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</si>
  <si>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</si>
  <si>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</si>
  <si>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</si>
  <si>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</si>
  <si>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</si>
  <si>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</si>
  <si>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</si>
  <si>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</si>
  <si>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</si>
  <si>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</si>
  <si>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</si>
  <si>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</si>
  <si>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</si>
  <si>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</si>
  <si>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</si>
  <si>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</si>
  <si>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</si>
  <si>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</si>
  <si>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</si>
  <si>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</si>
  <si>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</si>
  <si>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</si>
  <si>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</si>
  <si>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</si>
  <si>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</si>
  <si>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</si>
  <si>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</si>
  <si>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</si>
  <si>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</si>
  <si>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</si>
  <si>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</si>
  <si>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</si>
  <si>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</si>
  <si>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</si>
  <si>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</si>
  <si>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</si>
  <si>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</si>
  <si>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</si>
  <si>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</si>
  <si>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</si>
  <si>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</si>
  <si>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</si>
  <si>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</si>
  <si>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</si>
  <si>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</si>
  <si>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</si>
  <si>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</si>
  <si>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</si>
  <si>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</si>
  <si>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</si>
  <si>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</si>
  <si>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</si>
  <si>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</si>
  <si>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</si>
  <si>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</si>
  <si>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</si>
  <si>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</si>
  <si>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</si>
  <si>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</si>
  <si>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</si>
  <si>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</si>
  <si>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</si>
  <si>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</si>
  <si>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</si>
  <si>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</si>
  <si>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</si>
  <si>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</si>
  <si>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</si>
  <si>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</si>
  <si>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</si>
  <si>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</si>
  <si>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</si>
  <si>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</si>
  <si>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</si>
  <si>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</si>
  <si>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</si>
  <si>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</si>
  <si>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</si>
  <si>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</si>
  <si>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</si>
  <si>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</si>
  <si>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</si>
  <si>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</si>
  <si>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</si>
  <si>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</si>
  <si>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</si>
  <si>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</si>
  <si>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</si>
  <si>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</si>
  <si>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</si>
  <si>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</si>
  <si>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</si>
  <si>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</si>
  <si>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</si>
  <si>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</si>
  <si>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</si>
  <si>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</si>
  <si>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</si>
  <si>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</si>
  <si>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</si>
  <si>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</si>
  <si>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</si>
  <si>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</si>
  <si>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</si>
  <si>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</si>
  <si>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</si>
  <si>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</si>
  <si>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</si>
  <si>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</si>
  <si>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</si>
  <si>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</si>
  <si>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</si>
  <si>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</si>
  <si>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</si>
  <si>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</si>
  <si>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</si>
  <si>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</si>
  <si>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</si>
  <si>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</si>
  <si>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</si>
  <si>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</si>
  <si>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</si>
  <si>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</si>
  <si>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</si>
  <si>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</si>
  <si>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</si>
  <si>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</si>
  <si>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</si>
  <si>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</si>
  <si>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</si>
  <si>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</si>
  <si>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</si>
  <si>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</si>
  <si>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</si>
  <si>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</si>
  <si>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</si>
  <si>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</si>
  <si>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</si>
  <si>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</si>
  <si>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</si>
  <si>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</si>
  <si>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</si>
  <si>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</si>
  <si>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</si>
  <si>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</si>
  <si>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</si>
  <si>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</si>
  <si>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</si>
  <si>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</si>
  <si>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</si>
  <si>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</si>
  <si>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</si>
  <si>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</si>
  <si>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</si>
  <si>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</si>
  <si>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</si>
  <si>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</si>
  <si>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</si>
  <si>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</si>
  <si>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</si>
  <si>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</si>
  <si>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</si>
  <si>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</si>
  <si>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</si>
  <si>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</si>
  <si>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</si>
  <si>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</si>
  <si>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</si>
  <si>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</si>
  <si>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</si>
  <si>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</si>
  <si>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</si>
  <si>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</si>
  <si>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</si>
  <si>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</si>
  <si>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</si>
  <si>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</si>
  <si>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</si>
  <si>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</si>
  <si>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</si>
  <si>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</si>
  <si>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</si>
  <si>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</si>
  <si>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</si>
  <si>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</si>
  <si>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</si>
  <si>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</si>
  <si>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</si>
  <si>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</si>
  <si>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</si>
  <si>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</si>
  <si>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</si>
  <si>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</si>
  <si>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</si>
  <si>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</si>
  <si>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</si>
  <si>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</si>
  <si>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</si>
  <si>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</si>
  <si>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</si>
  <si>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</si>
  <si>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</si>
  <si>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</si>
  <si>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</si>
  <si>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</si>
  <si>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</si>
  <si>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</si>
  <si>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</si>
  <si>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</si>
  <si>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</si>
  <si>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</si>
  <si>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</si>
  <si>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</si>
  <si>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</si>
  <si>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</si>
  <si>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</si>
  <si>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</si>
  <si>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</si>
  <si>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</si>
  <si>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</si>
  <si>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</si>
  <si>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</si>
  <si>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</si>
  <si>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</si>
  <si>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</si>
  <si>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</si>
  <si>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</si>
  <si>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</si>
  <si>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</si>
  <si>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</si>
  <si>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</si>
  <si>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</si>
  <si>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</si>
  <si>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</si>
  <si>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</si>
  <si>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</si>
  <si>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</si>
  <si>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</si>
  <si>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</si>
  <si>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</si>
  <si>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</si>
  <si>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</si>
  <si>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</si>
  <si>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</si>
  <si>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</si>
  <si>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</si>
  <si>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</si>
  <si>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</si>
  <si>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</si>
  <si>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</si>
  <si>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</si>
  <si>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</si>
  <si>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</si>
  <si>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</si>
  <si>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</si>
  <si>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</si>
  <si>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</si>
  <si>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</si>
  <si>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</si>
  <si>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</si>
  <si>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</si>
  <si>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</si>
  <si>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</si>
  <si>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</si>
  <si>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</si>
  <si>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</si>
  <si>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</si>
  <si>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</si>
  <si>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</si>
  <si>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</si>
  <si>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</si>
  <si>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</si>
  <si>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</si>
  <si>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</si>
  <si>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</si>
  <si>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</si>
  <si>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</si>
  <si>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</si>
  <si>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</si>
  <si>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</si>
  <si>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</si>
  <si>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</si>
  <si>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</si>
  <si>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</si>
  <si>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</si>
  <si>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</si>
  <si>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</si>
  <si>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</si>
  <si>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</si>
  <si>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</si>
  <si>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</si>
  <si>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</si>
  <si>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</si>
  <si>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</si>
  <si>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</si>
  <si>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</si>
  <si>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</si>
  <si>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</si>
  <si>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</si>
  <si>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</si>
  <si>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</si>
  <si>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</si>
  <si>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</si>
  <si>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</si>
  <si>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</si>
  <si>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</si>
  <si>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</si>
  <si>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</si>
  <si>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</si>
  <si>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</si>
  <si>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</si>
  <si>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</si>
  <si>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</si>
  <si>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</si>
  <si>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</si>
  <si>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</si>
  <si>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</si>
  <si>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</si>
  <si>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</si>
  <si>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</si>
  <si>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</si>
  <si>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</si>
  <si>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</si>
  <si>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</si>
  <si>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</si>
  <si>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</si>
  <si>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</si>
  <si>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</si>
  <si>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</si>
  <si>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</si>
  <si>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</si>
  <si>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</si>
  <si>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</si>
  <si>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</si>
  <si>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</si>
  <si>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</si>
  <si>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</si>
  <si>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</si>
  <si>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</si>
  <si>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</si>
  <si>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</si>
  <si>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</si>
  <si>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</si>
  <si>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</si>
  <si>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</si>
  <si>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</si>
  <si>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</si>
  <si>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</si>
  <si>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</si>
  <si>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</si>
  <si>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</si>
  <si>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</si>
  <si>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</si>
  <si>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</si>
  <si>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</si>
  <si>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</si>
  <si>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</si>
  <si>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</si>
  <si>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</si>
  <si>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</si>
  <si>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</si>
  <si>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</si>
  <si>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</si>
  <si>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</si>
  <si>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</si>
  <si>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</si>
  <si>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</si>
  <si>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</si>
  <si>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</si>
  <si>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</si>
  <si>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</si>
  <si>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</si>
  <si>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</si>
  <si>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</si>
  <si>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</si>
  <si>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</si>
  <si>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</si>
  <si>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</si>
  <si>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</si>
  <si>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</si>
  <si>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</si>
  <si>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</si>
  <si>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</si>
  <si>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</si>
  <si>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</si>
  <si>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</si>
  <si>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</si>
  <si>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</si>
  <si>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</si>
  <si>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</si>
  <si>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</si>
  <si>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</si>
  <si>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</si>
  <si>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</si>
  <si>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</si>
  <si>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</si>
  <si>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</si>
  <si>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</si>
  <si>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</si>
  <si>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</si>
  <si>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</si>
  <si>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</si>
  <si>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</si>
  <si>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</si>
  <si>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</si>
  <si>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</si>
  <si>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</si>
  <si>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</si>
  <si>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</si>
  <si>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</si>
  <si>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</si>
  <si>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</si>
  <si>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</si>
  <si>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</si>
  <si>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</si>
  <si>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</si>
  <si>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</si>
  <si>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</si>
  <si>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</si>
  <si>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</si>
  <si>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</si>
  <si>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</si>
  <si>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</si>
  <si>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</si>
  <si>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</si>
  <si>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</si>
  <si>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</si>
  <si>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</si>
  <si>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</si>
  <si>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</si>
  <si>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</si>
  <si>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</si>
  <si>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</si>
  <si>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</si>
  <si>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</si>
  <si>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</si>
  <si>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</si>
  <si>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</si>
  <si>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</si>
  <si>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</si>
  <si>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</si>
  <si>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</si>
  <si>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</si>
  <si>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</si>
  <si>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</si>
  <si>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</si>
  <si>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</si>
  <si>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</si>
  <si>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</si>
  <si>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</si>
  <si>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</si>
  <si>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</si>
  <si>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</si>
  <si>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</si>
  <si>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</si>
  <si>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</si>
  <si>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</si>
  <si>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</si>
  <si>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</si>
  <si>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</si>
  <si>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</si>
  <si>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</si>
  <si>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</si>
  <si>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</si>
  <si>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</si>
  <si>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</si>
  <si>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</si>
  <si>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</si>
  <si>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</si>
  <si>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</si>
  <si>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</si>
  <si>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</si>
  <si>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</si>
  <si>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</si>
  <si>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</si>
  <si>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</si>
  <si>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</si>
  <si>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</si>
  <si>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</si>
  <si>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</si>
  <si>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</si>
  <si>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</si>
  <si>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</si>
  <si>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</si>
  <si>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</si>
  <si>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</si>
  <si>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</si>
  <si>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</si>
  <si>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</si>
  <si>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</si>
  <si>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</si>
  <si>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</si>
  <si>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</si>
  <si>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</si>
  <si>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</si>
  <si>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</si>
  <si>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</si>
  <si>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</si>
  <si>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</si>
  <si>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</si>
  <si>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</si>
  <si>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</si>
  <si>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</si>
  <si>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</si>
  <si>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</si>
  <si>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</si>
  <si>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</si>
  <si>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</si>
  <si>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</si>
  <si>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</si>
  <si>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</si>
  <si>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</si>
  <si>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</si>
  <si>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</si>
  <si>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</si>
  <si>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</si>
  <si>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</si>
  <si>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</si>
  <si>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</si>
  <si>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</si>
  <si>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</si>
  <si>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</si>
  <si>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</si>
  <si>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</si>
  <si>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</si>
  <si>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</si>
  <si>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</si>
  <si>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</si>
  <si>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</si>
  <si>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</si>
  <si>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</si>
  <si>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</si>
  <si>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</si>
  <si>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</si>
  <si>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</si>
  <si>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</si>
  <si>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</si>
  <si>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</si>
  <si>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</si>
  <si>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</si>
  <si>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</si>
  <si>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</si>
  <si>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</si>
  <si>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</si>
  <si>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</si>
  <si>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</si>
  <si>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</si>
  <si>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</si>
  <si>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</si>
  <si>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</si>
  <si>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</si>
  <si>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</si>
  <si>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</si>
  <si>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</si>
  <si>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</si>
  <si>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</si>
  <si>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</si>
  <si>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</si>
  <si>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</si>
  <si>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</si>
  <si>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</si>
  <si>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</si>
  <si>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</si>
  <si>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</si>
  <si>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</si>
  <si>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</si>
  <si>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</si>
  <si>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</si>
  <si>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</si>
  <si>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</si>
  <si>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</si>
  <si>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</si>
  <si>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</si>
  <si>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</si>
  <si>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</si>
  <si>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</si>
  <si>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</si>
  <si>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</si>
  <si>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</si>
  <si>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</si>
  <si>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</si>
  <si>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</si>
  <si>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</si>
  <si>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</si>
  <si>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</si>
  <si>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</si>
  <si>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</si>
  <si>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</si>
  <si>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</si>
  <si>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</si>
  <si>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</si>
  <si>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</si>
  <si>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</si>
  <si>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</si>
  <si>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</si>
  <si>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</si>
  <si>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</si>
  <si>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</si>
  <si>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</si>
  <si>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</si>
  <si>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</si>
  <si>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</si>
  <si>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</si>
  <si>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</si>
  <si>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</si>
  <si>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</si>
  <si>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</si>
  <si>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</si>
  <si>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</si>
  <si>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</si>
  <si>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</si>
  <si>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</si>
  <si>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</si>
  <si>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</si>
  <si>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</si>
  <si>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</si>
  <si>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</si>
  <si>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</si>
  <si>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</si>
  <si>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</si>
  <si>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</si>
  <si>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</si>
  <si>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</si>
  <si>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</si>
  <si>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</si>
  <si>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</si>
  <si>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</si>
  <si>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</si>
  <si>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</si>
  <si>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</si>
  <si>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</si>
  <si>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</si>
  <si>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</si>
  <si>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</si>
  <si>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</si>
  <si>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</si>
  <si>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</si>
  <si>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</si>
  <si>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</si>
  <si>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</si>
  <si>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</si>
  <si>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</si>
  <si>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</si>
  <si>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</si>
  <si>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</si>
  <si>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</si>
  <si>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</si>
  <si>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</si>
  <si>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</si>
  <si>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</si>
  <si>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</si>
  <si>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</si>
  <si>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</si>
  <si>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</si>
  <si>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</si>
  <si>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</si>
  <si>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</si>
  <si>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</si>
  <si>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</si>
  <si>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</si>
  <si>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</si>
  <si>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</si>
  <si>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</si>
  <si>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</si>
  <si>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</si>
  <si>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</si>
  <si>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</si>
  <si>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</si>
  <si>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</si>
  <si>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</si>
  <si>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</si>
  <si>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</si>
  <si>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</si>
  <si>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</si>
  <si>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</si>
  <si>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</si>
  <si>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</si>
  <si>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</si>
  <si>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</si>
  <si>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</si>
  <si>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</si>
  <si>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</si>
  <si>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</si>
  <si>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</si>
  <si>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</si>
  <si>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</si>
  <si>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</si>
  <si>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</si>
  <si>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</si>
  <si>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</si>
  <si>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</si>
  <si>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</si>
  <si>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</si>
  <si>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</si>
  <si>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</si>
  <si>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</si>
  <si>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</si>
  <si>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</si>
  <si>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</si>
  <si>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</si>
  <si>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</si>
  <si>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</si>
  <si>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</si>
  <si>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</si>
  <si>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</si>
  <si>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</si>
  <si>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</si>
  <si>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</si>
  <si>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</si>
  <si>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</si>
  <si>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</si>
  <si>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</si>
  <si>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</si>
  <si>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</si>
  <si>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</si>
  <si>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</si>
  <si>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</si>
  <si>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</si>
  <si>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</si>
  <si>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</si>
  <si>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</si>
  <si>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</si>
  <si>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</si>
  <si>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</si>
  <si>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</si>
  <si>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</si>
  <si>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</si>
  <si>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</si>
  <si>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</si>
  <si>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</si>
  <si>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</si>
  <si>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</si>
  <si>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</si>
  <si>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</si>
  <si>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</si>
  <si>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</si>
  <si>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</si>
  <si>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</si>
  <si>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</si>
  <si>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</si>
  <si>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</si>
  <si>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</si>
  <si>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</si>
  <si>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</si>
  <si>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</si>
  <si>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</si>
  <si>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</si>
  <si>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</si>
  <si>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</si>
  <si>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</si>
  <si>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</si>
  <si>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</si>
  <si>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</si>
  <si>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</si>
  <si>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</si>
  <si>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</si>
  <si>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</si>
  <si>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</si>
  <si>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</si>
  <si>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</si>
  <si>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</si>
  <si>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</si>
  <si>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</si>
  <si>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</si>
  <si>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</si>
  <si>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</si>
  <si>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</si>
  <si>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</si>
  <si>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</si>
  <si>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</si>
  <si>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</si>
  <si>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</si>
  <si>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</si>
  <si>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</si>
  <si>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</si>
  <si>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</si>
  <si>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</si>
  <si>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</si>
  <si>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</si>
  <si>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</si>
  <si>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</si>
  <si>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</si>
  <si>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</si>
  <si>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</si>
  <si>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</si>
  <si>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</si>
  <si>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</si>
  <si>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</si>
  <si>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</si>
  <si>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</si>
  <si>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</si>
  <si>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</si>
  <si>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</si>
  <si>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</si>
  <si>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</si>
  <si>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</si>
  <si>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</si>
  <si>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</si>
  <si>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</si>
  <si>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</si>
  <si>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</si>
  <si>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</si>
  <si>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</si>
  <si>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</si>
  <si>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</si>
  <si>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</si>
  <si>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</si>
  <si>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</si>
  <si>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</si>
  <si>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</si>
  <si>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</si>
  <si>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</si>
  <si>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</si>
  <si>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</si>
  <si>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</si>
  <si>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</si>
  <si>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</si>
  <si>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</si>
  <si>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</si>
  <si>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</si>
  <si>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</si>
  <si>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</si>
  <si>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</si>
  <si>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</si>
  <si>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</si>
  <si>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</si>
  <si>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</si>
  <si>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</si>
  <si>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</si>
  <si>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</si>
  <si>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</si>
  <si>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</si>
  <si>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</si>
  <si>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</si>
  <si>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</si>
  <si>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</si>
  <si>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</si>
  <si>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</si>
  <si>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</si>
  <si>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</si>
  <si>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</si>
  <si>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</si>
  <si>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</si>
  <si>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</si>
  <si>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</si>
  <si>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</si>
  <si>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</si>
  <si>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</si>
  <si>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</si>
  <si>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</si>
  <si>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</si>
  <si>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</si>
  <si>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</si>
  <si>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</si>
  <si>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</si>
  <si>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</si>
  <si>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</si>
  <si>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</si>
  <si>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</si>
  <si>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</si>
  <si>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</si>
  <si>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</si>
  <si>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</si>
  <si>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</si>
  <si>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</si>
  <si>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</si>
  <si>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</si>
  <si>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</si>
  <si>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</si>
  <si>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</si>
  <si>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</si>
  <si>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</si>
  <si>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</si>
  <si>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</si>
  <si>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</si>
  <si>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</si>
  <si>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</si>
  <si>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</si>
  <si>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</si>
  <si>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</si>
  <si>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</si>
  <si>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</si>
  <si>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</si>
  <si>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</si>
  <si>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</si>
  <si>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</si>
  <si>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</si>
  <si>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</si>
  <si>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</si>
  <si>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</si>
  <si>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</si>
  <si>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</si>
  <si>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</si>
  <si>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</si>
  <si>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</si>
  <si>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</si>
  <si>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</si>
  <si>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</si>
  <si>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</si>
  <si>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</si>
  <si>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</si>
  <si>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</si>
  <si>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</si>
  <si>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</si>
  <si>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</si>
  <si>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</si>
  <si>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</si>
  <si>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</si>
  <si>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</si>
  <si>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</si>
  <si>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</si>
  <si>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</si>
  <si>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</si>
  <si>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</si>
  <si>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</si>
  <si>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</si>
  <si>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</si>
  <si>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</si>
  <si>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</si>
  <si>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</si>
  <si>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</si>
  <si>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</si>
  <si>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</si>
  <si>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</si>
  <si>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</si>
  <si>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</si>
  <si>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</si>
  <si>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</si>
  <si>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</si>
  <si>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</si>
  <si>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</si>
  <si>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</si>
  <si>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</si>
  <si>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</si>
  <si>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</si>
  <si>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</si>
  <si>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</si>
  <si>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</si>
  <si>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</si>
  <si>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</si>
  <si>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</si>
  <si>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</si>
  <si>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</si>
  <si>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</si>
  <si>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</si>
  <si>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</si>
  <si>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</si>
  <si>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</si>
  <si>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</si>
  <si>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</si>
  <si>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</si>
  <si>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</si>
  <si>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</si>
  <si>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</si>
  <si>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</si>
  <si>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</si>
  <si>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</si>
  <si>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</si>
  <si>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</si>
  <si>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</si>
  <si>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</si>
  <si>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</si>
  <si>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</si>
  <si>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</si>
  <si>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</si>
  <si>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</si>
  <si>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</si>
  <si>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</si>
  <si>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</si>
  <si>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</si>
  <si>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</si>
  <si>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</si>
  <si>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</si>
  <si>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</si>
  <si>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</si>
  <si>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</si>
  <si>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</si>
  <si>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</si>
  <si>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</si>
  <si>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</si>
  <si>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</si>
  <si>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</si>
  <si>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</si>
  <si>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</si>
  <si>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</si>
  <si>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</si>
  <si>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</si>
  <si>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</si>
  <si>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</si>
  <si>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</si>
  <si>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</si>
  <si>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</si>
  <si>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</si>
  <si>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</si>
  <si>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</si>
  <si>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</si>
  <si>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</si>
  <si>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</si>
  <si>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</si>
  <si>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</si>
  <si>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</si>
  <si>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</si>
  <si>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</si>
  <si>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</si>
  <si>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</si>
  <si>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</si>
  <si>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</si>
  <si>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</si>
  <si>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</si>
  <si>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</si>
  <si>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</si>
  <si>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</si>
  <si>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</si>
  <si>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</si>
  <si>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</si>
  <si>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</si>
  <si>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</si>
  <si>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</si>
  <si>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</si>
  <si>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</si>
  <si>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</si>
  <si>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</si>
  <si>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</si>
  <si>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</si>
  <si>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</si>
  <si>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</si>
  <si>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</si>
  <si>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</si>
  <si>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</si>
  <si>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</si>
  <si>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</si>
  <si>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</si>
  <si>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</si>
  <si>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</si>
  <si>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</si>
  <si>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</si>
  <si>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</si>
  <si>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</si>
  <si>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</si>
  <si>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</si>
  <si>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</si>
  <si>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</si>
  <si>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</si>
  <si>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</si>
  <si>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</si>
  <si>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</si>
  <si>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</si>
  <si>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</si>
  <si>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</si>
  <si>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</si>
  <si>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</si>
  <si>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</si>
  <si>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</si>
  <si>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</si>
  <si>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</si>
  <si>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</si>
  <si>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</si>
  <si>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</si>
  <si>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</si>
  <si>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</si>
  <si>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</si>
  <si>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</si>
  <si>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</si>
  <si>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</si>
  <si>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</si>
  <si>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</si>
  <si>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</si>
  <si>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</si>
  <si>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</si>
  <si>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</si>
  <si>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</si>
  <si>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</si>
  <si>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</si>
  <si>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</si>
  <si>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</si>
  <si>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</si>
  <si>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</si>
  <si>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</si>
  <si>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</si>
  <si>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</si>
  <si>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</si>
  <si>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</si>
  <si>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</si>
  <si>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</si>
  <si>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</si>
  <si>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</si>
  <si>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</si>
  <si>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</si>
  <si>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</si>
  <si>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</si>
  <si>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</si>
  <si>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</si>
  <si>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</si>
  <si>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</si>
  <si>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</si>
  <si>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</si>
  <si>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</si>
  <si>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</si>
  <si>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</si>
  <si>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</si>
  <si>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</si>
  <si>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</si>
  <si>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</si>
  <si>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</si>
  <si>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</si>
  <si>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</si>
  <si>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</si>
  <si>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</si>
  <si>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</si>
  <si>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</si>
  <si>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</si>
  <si>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</si>
  <si>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</si>
  <si>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</si>
  <si>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</si>
  <si>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</si>
  <si>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</si>
  <si>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</si>
  <si>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</si>
  <si>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</si>
  <si>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</si>
  <si>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</si>
  <si>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</si>
  <si>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</si>
  <si>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</si>
  <si>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</si>
  <si>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</si>
  <si>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</si>
  <si>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</si>
  <si>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</si>
  <si>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</si>
  <si>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</si>
  <si>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</si>
  <si>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</si>
  <si>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</si>
  <si>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</si>
  <si>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</si>
  <si>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</si>
  <si>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</si>
  <si>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</si>
  <si>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</si>
  <si>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</si>
  <si>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</si>
  <si>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</si>
  <si>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</si>
  <si>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</si>
  <si>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</si>
  <si>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</si>
  <si>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</si>
  <si>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</si>
  <si>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</si>
  <si>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</si>
  <si>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</si>
  <si>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</si>
  <si>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</si>
  <si>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</si>
  <si>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</si>
  <si>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</si>
  <si>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</si>
  <si>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</si>
  <si>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</si>
  <si>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</si>
  <si>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</si>
  <si>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</si>
  <si>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</si>
  <si>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</si>
  <si>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</si>
  <si>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</si>
  <si>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</si>
  <si>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</si>
  <si>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</si>
  <si>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</si>
  <si>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</si>
  <si>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</si>
  <si>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</si>
  <si>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</si>
  <si>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</si>
  <si>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</si>
  <si>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</si>
  <si>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</si>
  <si>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</si>
  <si>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</si>
  <si>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</si>
  <si>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</si>
  <si>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</si>
  <si>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</si>
  <si>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</si>
  <si>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</si>
  <si>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</si>
  <si>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</si>
  <si>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</si>
  <si>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</si>
  <si>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</si>
  <si>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</si>
  <si>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</si>
  <si>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</si>
  <si>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</si>
  <si>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</si>
  <si>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</si>
  <si>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</si>
  <si>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</si>
  <si>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</si>
  <si>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</si>
  <si>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</si>
  <si>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</si>
  <si>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</si>
  <si>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</si>
  <si>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</si>
  <si>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</si>
  <si>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</si>
  <si>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</si>
  <si>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</si>
  <si>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</si>
  <si>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</si>
  <si>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</si>
  <si>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</si>
  <si>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</si>
  <si>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</si>
  <si>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</si>
  <si>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</si>
  <si>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</si>
  <si>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</si>
  <si>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</si>
  <si>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</si>
  <si>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</si>
  <si>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</si>
  <si>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</si>
  <si>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</si>
  <si>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</si>
  <si>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</si>
  <si>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</si>
  <si>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</si>
  <si>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</si>
  <si>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</si>
  <si>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</si>
  <si>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</si>
  <si>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</si>
  <si>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</si>
  <si>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</si>
  <si>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</si>
  <si>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</si>
  <si>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</si>
  <si>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</si>
  <si>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</si>
  <si>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</si>
  <si>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</si>
  <si>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</si>
  <si>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</si>
  <si>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</si>
  <si>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</si>
  <si>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</si>
  <si>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</si>
  <si>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</si>
  <si>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</si>
  <si>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</si>
  <si>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</si>
  <si>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</si>
  <si>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</si>
  <si>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</si>
  <si>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</si>
  <si>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</si>
  <si>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</si>
  <si>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</si>
  <si>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</si>
  <si>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</si>
  <si>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</si>
  <si>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</si>
  <si>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</si>
  <si>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</si>
  <si>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</si>
  <si>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</si>
  <si>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</si>
  <si>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</si>
  <si>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</si>
  <si>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</si>
  <si>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</si>
  <si>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</si>
  <si>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</si>
  <si>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</si>
  <si>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</si>
  <si>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</si>
  <si>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</si>
  <si>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</si>
  <si>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</si>
  <si>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</si>
  <si>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</si>
  <si>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</si>
  <si>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</si>
  <si>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</si>
  <si>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</si>
  <si>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</si>
  <si>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</si>
  <si>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</si>
  <si>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</si>
  <si>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</si>
  <si>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</si>
  <si>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</si>
  <si>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</si>
  <si>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</si>
  <si>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</si>
  <si>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</si>
  <si>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</si>
  <si>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</si>
  <si>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</si>
  <si>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</si>
  <si>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</si>
  <si>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</si>
  <si>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</si>
  <si>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</si>
  <si>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</si>
  <si>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</si>
  <si>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</si>
  <si>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</si>
  <si>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</si>
  <si>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</si>
  <si>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</si>
  <si>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</si>
  <si>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</si>
  <si>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</si>
  <si>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</si>
  <si>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</si>
  <si>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</si>
  <si>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</si>
  <si>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</si>
  <si>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</si>
  <si>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</si>
  <si>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</si>
  <si>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</si>
  <si>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</si>
  <si>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</si>
  <si>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</si>
  <si>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</si>
  <si>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</si>
  <si>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</si>
  <si>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</si>
  <si>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</si>
  <si>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</si>
  <si>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</si>
  <si>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</si>
  <si>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</si>
  <si>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</si>
  <si>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</si>
  <si>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</si>
  <si>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</si>
  <si>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</si>
  <si>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</si>
  <si>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</si>
  <si>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</si>
  <si>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</si>
  <si>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</si>
  <si>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</si>
  <si>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</si>
  <si>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</si>
  <si>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</si>
  <si>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</si>
  <si>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</si>
  <si>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</si>
  <si>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</si>
  <si>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</si>
  <si>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</si>
  <si>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</si>
  <si>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</si>
  <si>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</si>
  <si>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</si>
  <si>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</si>
  <si>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</si>
  <si>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</si>
  <si>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</si>
  <si>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</si>
  <si>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</si>
  <si>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</si>
  <si>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</si>
  <si>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</si>
  <si>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</si>
  <si>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</si>
  <si>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</si>
  <si>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</si>
  <si>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</si>
  <si>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</si>
  <si>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</si>
  <si>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</si>
  <si>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</si>
  <si>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</si>
  <si>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</si>
  <si>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</si>
  <si>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</si>
  <si>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</si>
  <si>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</si>
  <si>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</si>
  <si>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</si>
  <si>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</si>
  <si>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</si>
  <si>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</si>
  <si>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</si>
  <si>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</si>
  <si>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</si>
  <si>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</si>
  <si>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</si>
  <si>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</si>
  <si>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</si>
  <si>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</si>
  <si>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</si>
  <si>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</si>
  <si>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</si>
  <si>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</si>
  <si>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</si>
  <si>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</si>
  <si>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</si>
  <si>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</si>
  <si>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</si>
  <si>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</si>
  <si>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</si>
  <si>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</si>
  <si>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</si>
  <si>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</si>
  <si>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</si>
  <si>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</si>
  <si>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</si>
  <si>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</si>
  <si>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</si>
  <si>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</si>
  <si>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</si>
  <si>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</si>
  <si>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</si>
  <si>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</si>
  <si>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</si>
  <si>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</si>
  <si>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</si>
  <si>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</si>
  <si>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</si>
  <si>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</si>
  <si>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</si>
  <si>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</si>
  <si>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</si>
  <si>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</si>
  <si>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</si>
  <si>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</si>
  <si>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</si>
  <si>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</si>
  <si>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</si>
  <si>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</si>
  <si>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</si>
  <si>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</si>
  <si>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</si>
  <si>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</si>
  <si>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</si>
  <si>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</si>
  <si>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</si>
  <si>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</si>
  <si>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</si>
  <si>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</si>
  <si>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</si>
  <si>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</si>
  <si>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</si>
  <si>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</si>
  <si>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</si>
  <si>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</si>
  <si>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</si>
  <si>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</si>
  <si>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</si>
  <si>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</si>
  <si>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</si>
  <si>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</si>
  <si>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</si>
  <si>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</si>
  <si>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</si>
  <si>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</si>
  <si>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</si>
  <si>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</si>
  <si>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</si>
  <si>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</si>
  <si>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</si>
  <si>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</si>
  <si>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</si>
  <si>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</si>
  <si>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</si>
  <si>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</si>
  <si>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</si>
  <si>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</si>
  <si>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</si>
  <si>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</si>
  <si>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</si>
  <si>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</si>
  <si>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</si>
  <si>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</si>
  <si>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</si>
  <si>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</si>
  <si>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</si>
  <si>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</si>
  <si>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</si>
  <si>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</si>
  <si>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</si>
  <si>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</si>
  <si>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</si>
  <si>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</si>
  <si>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</si>
  <si>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</si>
  <si>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</si>
  <si>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</si>
  <si>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</si>
  <si>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</si>
  <si>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</si>
  <si>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</si>
  <si>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</si>
  <si>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</si>
  <si>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</si>
  <si>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</si>
  <si>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</si>
  <si>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</si>
  <si>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</si>
  <si>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</si>
  <si>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</si>
  <si>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</si>
  <si>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</si>
  <si>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</si>
  <si>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</si>
  <si>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</si>
  <si>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</si>
  <si>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</si>
  <si>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</si>
  <si>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</si>
  <si>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</si>
  <si>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</si>
  <si>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</si>
  <si>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</si>
  <si>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</si>
  <si>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</si>
  <si>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</si>
  <si>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</si>
  <si>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</si>
  <si>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</si>
  <si>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</si>
  <si>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</si>
  <si>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</si>
  <si>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</si>
  <si>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</si>
  <si>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</si>
  <si>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</si>
  <si>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</si>
  <si>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</si>
  <si>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</si>
  <si>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</si>
  <si>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</si>
  <si>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</si>
  <si>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</si>
  <si>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</si>
  <si>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</si>
  <si>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</si>
  <si>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</si>
  <si>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</si>
  <si>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</si>
  <si>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</si>
  <si>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</si>
  <si>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</si>
  <si>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</si>
  <si>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</si>
  <si>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</si>
  <si>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</si>
  <si>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</si>
  <si>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</si>
  <si>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</si>
  <si>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</si>
  <si>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</si>
  <si>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</si>
  <si>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</si>
  <si>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</si>
  <si>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</si>
  <si>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</si>
  <si>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</si>
  <si>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</si>
  <si>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</si>
  <si>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</si>
  <si>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</si>
  <si>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</si>
  <si>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</si>
  <si>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</si>
  <si>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</si>
  <si>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</si>
  <si>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</si>
  <si>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</si>
  <si>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</si>
  <si>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</si>
  <si>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</si>
  <si>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</si>
  <si>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</si>
  <si>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</si>
  <si>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</si>
  <si>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</si>
  <si>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</si>
  <si>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</si>
  <si>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</si>
  <si>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</si>
  <si>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</si>
  <si>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</si>
  <si>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</si>
  <si>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</si>
  <si>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</si>
  <si>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</si>
  <si>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</si>
  <si>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</si>
  <si>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</si>
  <si>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</si>
  <si>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</si>
  <si>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</si>
  <si>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</si>
  <si>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</si>
  <si>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</si>
  <si>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</si>
  <si>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</si>
  <si>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</si>
  <si>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</si>
  <si>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</si>
  <si>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</si>
  <si>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</si>
  <si>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</si>
  <si>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</si>
  <si>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</si>
  <si>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</si>
  <si>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</si>
  <si>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</si>
  <si>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</si>
  <si>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</si>
  <si>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</si>
  <si>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</si>
  <si>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</si>
  <si>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</si>
  <si>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</si>
  <si>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</si>
  <si>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</si>
  <si>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</si>
  <si>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</si>
  <si>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</si>
  <si>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</si>
  <si>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</si>
  <si>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</si>
  <si>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</si>
  <si>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</si>
  <si>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</si>
  <si>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</si>
  <si>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</si>
  <si>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</si>
  <si>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</si>
  <si>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</si>
  <si>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</si>
  <si>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</si>
  <si>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</si>
  <si>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</si>
  <si>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</si>
  <si>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</si>
  <si>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</si>
  <si>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</si>
  <si>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</si>
  <si>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</si>
  <si>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</si>
  <si>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</si>
  <si>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</si>
  <si>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</si>
  <si>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</si>
  <si>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</si>
  <si>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</si>
  <si>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</si>
  <si>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</si>
  <si>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</si>
  <si>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</si>
  <si>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</si>
  <si>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</si>
  <si>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</si>
  <si>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</si>
  <si>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</si>
  <si>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</si>
  <si>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</si>
  <si>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</si>
  <si>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</si>
  <si>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</si>
  <si>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</si>
  <si>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</si>
  <si>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</si>
  <si>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</si>
  <si>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</si>
  <si>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</si>
  <si>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</si>
  <si>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</si>
  <si>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</si>
  <si>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</si>
  <si>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</si>
  <si>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</si>
  <si>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</si>
  <si>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</si>
  <si>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</si>
  <si>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</si>
  <si>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</si>
  <si>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</si>
  <si>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</si>
  <si>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</si>
  <si>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</si>
  <si>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</si>
  <si>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</si>
  <si>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</si>
  <si>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</si>
  <si>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</si>
  <si>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</si>
  <si>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</si>
  <si>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</si>
  <si>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</si>
  <si>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</si>
  <si>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</si>
  <si>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</si>
  <si>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</si>
  <si>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</si>
  <si>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</si>
  <si>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</si>
  <si>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</si>
  <si>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</si>
  <si>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</si>
  <si>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</si>
  <si>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</si>
  <si>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</si>
  <si>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</si>
  <si>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</si>
  <si>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</si>
  <si>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</si>
  <si>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</si>
  <si>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</si>
  <si>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</si>
  <si>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</si>
  <si>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</si>
  <si>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</si>
  <si>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</si>
  <si>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</si>
  <si>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</si>
  <si>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</si>
  <si>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</si>
  <si>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</si>
  <si>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</si>
  <si>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</si>
  <si>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</si>
  <si>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</si>
  <si>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</si>
  <si>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</si>
  <si>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</si>
  <si>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</si>
  <si>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</si>
  <si>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</si>
  <si>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</si>
  <si>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</si>
  <si>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</si>
  <si>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</si>
  <si>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</si>
  <si>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</si>
  <si>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</si>
  <si>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</si>
  <si>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</si>
  <si>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</si>
  <si>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</si>
  <si>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</si>
  <si>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</si>
  <si>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</si>
  <si>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</si>
  <si>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</si>
  <si>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</si>
  <si>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</si>
  <si>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</si>
  <si>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</si>
  <si>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</si>
  <si>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</si>
  <si>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</si>
  <si>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</si>
  <si>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</si>
  <si>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</si>
  <si>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</si>
  <si>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</si>
  <si>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</si>
  <si>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</si>
  <si>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</si>
  <si>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</si>
  <si>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</si>
  <si>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</si>
  <si>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</si>
  <si>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</si>
  <si>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</si>
  <si>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</si>
  <si>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</si>
  <si>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</si>
  <si>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</si>
  <si>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</si>
  <si>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</si>
  <si>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</si>
  <si>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</si>
  <si>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</si>
  <si>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</si>
  <si>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</si>
  <si>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</si>
  <si>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</si>
  <si>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</si>
  <si>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</si>
  <si>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</si>
  <si>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</si>
  <si>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</si>
  <si>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</si>
  <si>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</si>
  <si>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</si>
  <si>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</si>
  <si>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</si>
  <si>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</si>
  <si>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</si>
  <si>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</si>
  <si>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</si>
  <si>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</si>
  <si>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</si>
  <si>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</si>
  <si>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</si>
  <si>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</si>
  <si>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</si>
  <si>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</si>
  <si>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</si>
  <si>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</si>
  <si>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</si>
  <si>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</si>
  <si>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</si>
  <si>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</si>
  <si>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</si>
  <si>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</si>
  <si>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</si>
  <si>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</si>
  <si>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</si>
  <si>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</si>
  <si>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</si>
  <si>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</si>
  <si>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</si>
  <si>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</si>
  <si>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</si>
  <si>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</si>
  <si>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</si>
  <si>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</si>
  <si>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</si>
  <si>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</si>
  <si>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</si>
  <si>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</si>
  <si>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</si>
  <si>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</si>
  <si>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</si>
  <si>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</si>
  <si>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</si>
  <si>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</si>
  <si>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</si>
  <si>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</si>
  <si>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</si>
  <si>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</si>
  <si>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</si>
  <si>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</si>
  <si>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</si>
  <si>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</si>
  <si>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</si>
  <si>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</si>
  <si>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</si>
  <si>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</si>
  <si>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</si>
  <si>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</si>
  <si>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</si>
  <si>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</si>
  <si>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</si>
  <si>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</si>
  <si>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</si>
  <si>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</si>
  <si>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</si>
  <si>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</si>
  <si>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</si>
  <si>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</si>
  <si>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</si>
  <si>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</si>
  <si>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</si>
  <si>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</si>
  <si>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</si>
  <si>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</si>
  <si>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</si>
  <si>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</si>
  <si>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</si>
  <si>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</si>
  <si>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</si>
  <si>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</si>
  <si>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</si>
  <si>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</si>
  <si>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</si>
  <si>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</si>
  <si>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</si>
  <si>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</si>
  <si>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</si>
  <si>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</si>
  <si>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</si>
  <si>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</si>
  <si>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</si>
  <si>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</si>
  <si>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</si>
  <si>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</si>
  <si>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</si>
  <si>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</si>
  <si>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</si>
  <si>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</si>
  <si>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</si>
  <si>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</si>
  <si>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</si>
  <si>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</si>
  <si>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</si>
  <si>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</si>
  <si>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</si>
  <si>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</si>
  <si>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</si>
  <si>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</si>
  <si>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</si>
  <si>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</si>
  <si>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</si>
  <si>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</si>
  <si>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</si>
  <si>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</si>
  <si>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</si>
  <si>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</si>
  <si>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</si>
  <si>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</si>
  <si>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</si>
  <si>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</si>
  <si>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</si>
  <si>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</si>
  <si>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</si>
  <si>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</si>
  <si>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</si>
  <si>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</si>
  <si>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</si>
  <si>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</si>
  <si>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</si>
  <si>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</si>
  <si>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</si>
  <si>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</si>
  <si>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</si>
  <si>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</si>
  <si>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</si>
  <si>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</si>
  <si>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</si>
  <si>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</si>
  <si>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</si>
  <si>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</si>
  <si>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</si>
  <si>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</si>
  <si>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</si>
  <si>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</si>
  <si>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</si>
  <si>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</si>
  <si>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</si>
  <si>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</si>
  <si>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</si>
  <si>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</si>
  <si>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</si>
  <si>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</si>
  <si>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</si>
  <si>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</si>
  <si>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</si>
  <si>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</si>
  <si>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</si>
  <si>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</si>
  <si>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</si>
  <si>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</si>
  <si>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</si>
  <si>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</si>
  <si>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</si>
  <si>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</si>
  <si>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</si>
  <si>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</si>
  <si>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</si>
  <si>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</si>
  <si>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</si>
  <si>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</si>
  <si>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</si>
  <si>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</si>
  <si>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</si>
  <si>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</si>
  <si>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</si>
  <si>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</si>
  <si>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</si>
  <si>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</si>
  <si>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</si>
  <si>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</si>
  <si>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</si>
  <si>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</si>
  <si>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</si>
  <si>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</si>
  <si>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</si>
  <si>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</si>
  <si>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</si>
  <si>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</si>
  <si>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</si>
  <si>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</si>
  <si>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</si>
  <si>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</si>
  <si>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</si>
  <si>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</si>
  <si>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</si>
  <si>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</si>
  <si>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</si>
  <si>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</si>
  <si>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</si>
  <si>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</si>
  <si>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</si>
  <si>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</si>
  <si>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</si>
  <si>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</si>
  <si>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</si>
  <si>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</si>
  <si>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</si>
  <si>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</si>
  <si>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</si>
  <si>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</si>
  <si>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</si>
  <si>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</si>
  <si>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</si>
  <si>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</si>
  <si>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</si>
  <si>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</si>
  <si>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</si>
  <si>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</si>
  <si>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</si>
  <si>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</si>
  <si>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</si>
  <si>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</si>
  <si>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</si>
  <si>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</si>
  <si>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</si>
  <si>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</si>
  <si>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</si>
  <si>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</si>
  <si>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</si>
  <si>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</si>
  <si>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</si>
  <si>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</si>
  <si>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</si>
  <si>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</si>
  <si>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</si>
  <si>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</si>
  <si>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</si>
  <si>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</si>
  <si>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</si>
  <si>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</si>
  <si>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</si>
  <si>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</si>
  <si>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</si>
  <si>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</si>
  <si>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</si>
  <si>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</si>
  <si>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</si>
  <si>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</si>
  <si>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</si>
  <si>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</si>
  <si>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</si>
  <si>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</si>
  <si>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</si>
  <si>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</si>
  <si>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</si>
  <si>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</si>
  <si>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</si>
  <si>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</si>
  <si>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</si>
  <si>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</si>
  <si>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</si>
  <si>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</si>
  <si>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</si>
  <si>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</si>
  <si>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</si>
  <si>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</si>
  <si>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</si>
  <si>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</si>
  <si>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</si>
  <si>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</si>
  <si>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</si>
  <si>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</si>
  <si>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</si>
  <si>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</si>
  <si>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</si>
  <si>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</si>
  <si>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</si>
  <si>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</si>
  <si>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</si>
  <si>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</si>
  <si>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</si>
  <si>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</si>
  <si>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</si>
  <si>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</si>
  <si>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</si>
  <si>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</si>
  <si>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</si>
  <si>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</si>
  <si>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</si>
  <si>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</si>
  <si>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</si>
  <si>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</si>
  <si>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</si>
  <si>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</si>
  <si>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</si>
  <si>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</si>
  <si>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</si>
  <si>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</si>
  <si>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</si>
  <si>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</si>
  <si>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</si>
  <si>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</si>
  <si>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</si>
  <si>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</si>
  <si>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</si>
  <si>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</si>
  <si>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</si>
  <si>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</si>
  <si>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</si>
  <si>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</si>
  <si>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</si>
  <si>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</si>
  <si>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</si>
  <si>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</si>
  <si>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</si>
  <si>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</si>
  <si>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</si>
  <si>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</si>
  <si>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</si>
  <si>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</si>
  <si>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</si>
  <si>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</si>
  <si>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</si>
  <si>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</si>
  <si>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</si>
  <si>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</si>
  <si>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</si>
  <si>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</si>
  <si>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</si>
  <si>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</si>
  <si>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</si>
  <si>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</si>
  <si>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</si>
  <si>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</si>
  <si>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</si>
  <si>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</si>
  <si>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</si>
  <si>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</si>
  <si>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</si>
  <si>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</si>
  <si>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</si>
  <si>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</si>
  <si>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</si>
  <si>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</si>
  <si>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</si>
  <si>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</si>
  <si>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</si>
  <si>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</si>
  <si>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</si>
  <si>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</si>
  <si>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</si>
  <si>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</si>
  <si>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</si>
  <si>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</si>
  <si>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</si>
  <si>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</si>
  <si>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</si>
  <si>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</si>
  <si>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</si>
  <si>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</si>
  <si>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</si>
  <si>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</si>
  <si>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</si>
  <si>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</si>
  <si>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</si>
  <si>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</si>
  <si>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</si>
  <si>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</si>
  <si>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</si>
  <si>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</si>
  <si>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</si>
  <si>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</si>
  <si>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</si>
  <si>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</si>
  <si>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</si>
  <si>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</si>
  <si>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</si>
  <si>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</si>
  <si>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</si>
  <si>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</si>
  <si>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</si>
  <si>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</si>
  <si>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</si>
  <si>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</si>
  <si>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</si>
  <si>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</si>
  <si>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</si>
  <si>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</si>
  <si>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</si>
  <si>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</si>
  <si>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</si>
  <si>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</si>
  <si>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</si>
  <si>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</si>
  <si>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</si>
  <si>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</si>
  <si>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</si>
  <si>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</si>
  <si>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</si>
  <si>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</si>
  <si>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</si>
  <si>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</si>
  <si>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</si>
  <si>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</si>
  <si>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</si>
  <si>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</si>
  <si>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</si>
  <si>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</si>
  <si>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</si>
  <si>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</si>
  <si>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</si>
  <si>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</si>
  <si>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</si>
  <si>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</si>
  <si>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</si>
  <si>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</si>
  <si>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</si>
  <si>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</si>
  <si>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</si>
  <si>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</si>
  <si>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</si>
  <si>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</si>
  <si>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</si>
  <si>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</si>
  <si>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</si>
  <si>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</si>
  <si>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</si>
  <si>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</si>
  <si>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</si>
  <si>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</si>
  <si>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</si>
  <si>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</si>
  <si>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</si>
  <si>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</si>
  <si>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</si>
  <si>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</si>
  <si>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</si>
  <si>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</si>
  <si>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</si>
  <si>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</si>
  <si>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</si>
  <si>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</si>
  <si>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</si>
  <si>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</si>
  <si>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</si>
  <si>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</si>
  <si>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</si>
  <si>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</si>
  <si>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</si>
  <si>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</si>
  <si>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</si>
  <si>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</si>
  <si>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</si>
  <si>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</si>
  <si>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</si>
  <si>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</si>
  <si>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</si>
  <si>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</si>
  <si>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</si>
  <si>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</si>
  <si>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</si>
  <si>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</si>
  <si>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</si>
  <si>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</si>
  <si>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</si>
  <si>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</si>
  <si>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</si>
  <si>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</si>
  <si>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</si>
  <si>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</si>
  <si>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</si>
  <si>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</si>
  <si>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</si>
  <si>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</si>
  <si>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</si>
  <si>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</si>
  <si>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</si>
  <si>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</si>
  <si>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</si>
  <si>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</si>
  <si>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</si>
  <si>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</si>
  <si>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</si>
  <si>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</si>
  <si>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</si>
  <si>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</si>
  <si>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</si>
  <si>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</si>
  <si>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</si>
  <si>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</si>
  <si>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</si>
  <si>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</si>
  <si>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</si>
  <si>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</si>
  <si>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</si>
  <si>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</si>
  <si>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</si>
  <si>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</si>
  <si>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</si>
  <si>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</si>
  <si>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</si>
  <si>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</si>
  <si>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</si>
  <si>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</si>
  <si>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</si>
  <si>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</si>
  <si>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</si>
  <si>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</si>
  <si>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</si>
  <si>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</si>
  <si>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</si>
  <si>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</si>
  <si>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</si>
  <si>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</si>
  <si>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</si>
  <si>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</si>
  <si>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</si>
  <si>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</si>
  <si>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</si>
  <si>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</si>
  <si>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</si>
  <si>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</si>
  <si>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</si>
  <si>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</si>
  <si>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</si>
  <si>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</si>
  <si>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</si>
  <si>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</si>
  <si>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</si>
  <si>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</si>
  <si>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</si>
  <si>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</si>
  <si>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</si>
  <si>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</si>
  <si>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</si>
  <si>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</si>
  <si>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</si>
  <si>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</si>
  <si>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</si>
  <si>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</si>
  <si>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</si>
  <si>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</si>
  <si>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</si>
  <si>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</si>
  <si>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</si>
  <si>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</si>
  <si>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</si>
  <si>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</si>
  <si>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</si>
  <si>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</si>
  <si>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</si>
  <si>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</si>
  <si>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</si>
  <si>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</si>
  <si>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</si>
  <si>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</si>
  <si>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</si>
  <si>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</si>
  <si>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</si>
  <si>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</si>
  <si>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</si>
  <si>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</si>
  <si>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</si>
  <si>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</si>
  <si>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</si>
  <si>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</si>
  <si>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</si>
  <si>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</si>
  <si>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</si>
  <si>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</si>
  <si>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</si>
  <si>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</si>
  <si>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</si>
  <si>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</si>
  <si>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</si>
  <si>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</si>
  <si>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</si>
  <si>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</si>
  <si>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</si>
  <si>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</si>
  <si>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</si>
  <si>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</si>
  <si>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</si>
  <si>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</si>
  <si>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</si>
  <si>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</si>
  <si>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</si>
  <si>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</si>
  <si>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</si>
  <si>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</si>
  <si>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</si>
  <si>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</si>
  <si>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</si>
  <si>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</si>
  <si>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</si>
  <si>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</si>
  <si>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</si>
  <si>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</si>
  <si>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</si>
  <si>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</si>
  <si>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</si>
  <si>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</si>
  <si>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</si>
  <si>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</si>
  <si>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</si>
  <si>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</si>
  <si>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</si>
  <si>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</si>
  <si>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</si>
  <si>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</si>
  <si>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</si>
  <si>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</si>
  <si>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</si>
  <si>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</si>
  <si>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</si>
  <si>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</si>
  <si>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</si>
  <si>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</si>
  <si>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</si>
  <si>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</si>
  <si>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</si>
  <si>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</si>
  <si>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</si>
  <si>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</si>
  <si>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</si>
  <si>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</si>
  <si>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</si>
  <si>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</si>
  <si>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</si>
  <si>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</si>
  <si>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</si>
  <si>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</si>
  <si>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</si>
  <si>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</si>
  <si>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</si>
  <si>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</si>
  <si>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</si>
  <si>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</si>
  <si>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</si>
  <si>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</si>
  <si>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</si>
  <si>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</si>
  <si>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</si>
  <si>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</si>
  <si>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</si>
  <si>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</si>
  <si>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</si>
  <si>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</si>
  <si>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</si>
  <si>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</si>
  <si>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</si>
  <si>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</si>
  <si>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</si>
  <si>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</si>
  <si>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</si>
  <si>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</si>
  <si>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</si>
  <si>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</si>
  <si>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</si>
  <si>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</si>
  <si>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</si>
  <si>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</si>
  <si>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</si>
  <si>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</si>
  <si>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</si>
  <si>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</si>
  <si>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</si>
  <si>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</si>
  <si>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</si>
  <si>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</si>
  <si>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</si>
  <si>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</si>
  <si>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</si>
  <si>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</si>
  <si>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</si>
  <si>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</si>
  <si>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</si>
  <si>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</si>
  <si>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</si>
  <si>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</si>
  <si>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</si>
  <si>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</si>
  <si>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</si>
  <si>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</si>
  <si>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</si>
  <si>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</si>
  <si>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</si>
  <si>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</si>
  <si>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</si>
  <si>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</si>
  <si>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</si>
  <si>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</si>
  <si>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</si>
  <si>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</si>
  <si>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</si>
  <si>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</si>
  <si>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</si>
  <si>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</si>
  <si>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</si>
  <si>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</si>
  <si>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</si>
  <si>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</si>
  <si>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</si>
  <si>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</si>
  <si>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</si>
  <si>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</si>
  <si>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</si>
  <si>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</si>
  <si>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</si>
  <si>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</si>
  <si>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</si>
  <si>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</si>
  <si>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</si>
  <si>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</si>
  <si>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</si>
  <si>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</si>
  <si>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</si>
  <si>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</si>
  <si>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</si>
  <si>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</si>
  <si>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</si>
  <si>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</si>
  <si>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</si>
  <si>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</si>
  <si>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</si>
  <si>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</si>
  <si>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</si>
  <si>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</si>
  <si>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</si>
  <si>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</si>
  <si>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</si>
  <si>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</si>
  <si>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</si>
  <si>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</si>
  <si>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</si>
  <si>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</si>
  <si>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</si>
  <si>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</si>
  <si>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</si>
  <si>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</si>
  <si>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</si>
  <si>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</si>
  <si>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</si>
  <si>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</si>
  <si>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</si>
  <si>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</si>
  <si>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</si>
  <si>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</si>
  <si>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</si>
  <si>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</si>
  <si>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</si>
  <si>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</si>
  <si>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</si>
  <si>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</si>
  <si>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</si>
  <si>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</si>
  <si>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</si>
  <si>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</si>
  <si>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</si>
  <si>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</si>
  <si>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</si>
  <si>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</si>
  <si>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</si>
  <si>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</si>
  <si>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</si>
  <si>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</si>
  <si>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</si>
  <si>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</si>
  <si>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</si>
  <si>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</si>
  <si>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</si>
  <si>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</si>
  <si>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</si>
  <si>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</si>
  <si>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</si>
  <si>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</si>
  <si>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</si>
  <si>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</si>
  <si>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</si>
  <si>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</si>
  <si>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</si>
  <si>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</si>
  <si>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</si>
  <si>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</si>
  <si>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</si>
  <si>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</si>
  <si>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</si>
  <si>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</si>
  <si>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</si>
  <si>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</si>
  <si>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</si>
  <si>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</si>
  <si>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</si>
  <si>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</si>
  <si>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</si>
  <si>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</si>
  <si>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</si>
  <si>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</si>
  <si>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</si>
  <si>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</si>
  <si>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</si>
  <si>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</si>
  <si>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</si>
  <si>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</si>
  <si>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</si>
  <si>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</si>
  <si>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</si>
  <si>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</si>
  <si>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</si>
  <si>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</si>
  <si>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</si>
  <si>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</si>
  <si>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</si>
  <si>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</si>
  <si>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</si>
  <si>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</si>
  <si>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</si>
  <si>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</si>
  <si>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</si>
  <si>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</si>
  <si>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</si>
  <si>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</si>
  <si>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</si>
  <si>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</si>
  <si>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</si>
  <si>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</si>
  <si>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</si>
  <si>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</si>
  <si>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</si>
  <si>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</si>
  <si>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</si>
  <si>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</si>
  <si>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</si>
  <si>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</si>
  <si>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</si>
  <si>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</si>
  <si>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</si>
  <si>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</si>
  <si>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</si>
  <si>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</si>
  <si>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</si>
  <si>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</si>
  <si>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</si>
  <si>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</si>
  <si>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</si>
  <si>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</si>
  <si>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</si>
  <si>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</si>
  <si>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</si>
  <si>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</si>
  <si>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</si>
  <si>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</si>
  <si>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</si>
  <si>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</si>
  <si>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</si>
  <si>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</si>
  <si>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</si>
  <si>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</si>
  <si>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</si>
  <si>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</si>
  <si>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</si>
  <si>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</si>
  <si>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</si>
  <si>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</si>
  <si>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</si>
  <si>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</si>
  <si>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</si>
  <si>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</si>
  <si>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</si>
  <si>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</si>
  <si>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</si>
  <si>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</si>
  <si>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</si>
  <si>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</si>
  <si>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</si>
  <si>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</si>
  <si>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</si>
  <si>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</si>
  <si>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</si>
  <si>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</si>
  <si>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</si>
  <si>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</si>
  <si>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</si>
  <si>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</si>
  <si>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</si>
  <si>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</si>
  <si>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</si>
  <si>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</si>
  <si>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</si>
  <si>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</si>
  <si>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</si>
  <si>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</si>
  <si>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</si>
  <si>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</si>
  <si>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</si>
  <si>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</si>
  <si>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</si>
  <si>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</si>
  <si>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</si>
  <si>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</si>
  <si>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</si>
  <si>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</si>
  <si>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</si>
  <si>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</si>
  <si>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</si>
  <si>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</si>
  <si>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</si>
  <si>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</si>
  <si>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</si>
  <si>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</si>
  <si>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</si>
  <si>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</si>
  <si>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</si>
  <si>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</si>
  <si>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</si>
  <si>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</si>
  <si>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</si>
  <si>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</si>
  <si>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</si>
  <si>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</si>
  <si>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</si>
  <si>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</si>
  <si>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</si>
  <si>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</si>
  <si>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</si>
  <si>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</si>
  <si>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</si>
  <si>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</si>
  <si>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</si>
  <si>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</si>
  <si>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</si>
  <si>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</si>
  <si>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</si>
  <si>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</si>
  <si>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</si>
  <si>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</si>
  <si>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</si>
  <si>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</si>
  <si>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</si>
  <si>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</si>
  <si>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</si>
  <si>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</si>
  <si>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</si>
  <si>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</si>
  <si>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</si>
  <si>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</si>
  <si>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</si>
  <si>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</si>
  <si>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</si>
  <si>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</si>
  <si>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</si>
  <si>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</si>
  <si>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</si>
  <si>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</si>
  <si>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</si>
  <si>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</si>
  <si>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</si>
  <si>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</si>
  <si>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</si>
  <si>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</si>
  <si>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</si>
  <si>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</si>
  <si>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</si>
  <si>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</si>
  <si>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</si>
  <si>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</si>
  <si>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</si>
  <si>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</si>
  <si>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</si>
  <si>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</si>
  <si>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</si>
  <si>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</si>
  <si>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</si>
  <si>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</si>
  <si>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</si>
  <si>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</si>
  <si>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</si>
  <si>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</si>
  <si>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</si>
  <si>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</si>
  <si>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</si>
  <si>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</si>
  <si>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</si>
  <si>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</si>
  <si>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</si>
  <si>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</si>
  <si>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</si>
  <si>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</si>
  <si>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</si>
  <si>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</si>
  <si>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</si>
  <si>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</si>
  <si>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</si>
  <si>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</si>
  <si>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</si>
  <si>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</si>
  <si>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</si>
  <si>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</si>
  <si>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</si>
  <si>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</si>
  <si>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</si>
  <si>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</si>
  <si>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</si>
  <si>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</si>
  <si>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</si>
  <si>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</si>
  <si>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</si>
  <si>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</si>
  <si>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</si>
  <si>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</si>
  <si>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</si>
  <si>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</si>
  <si>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</si>
  <si>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</si>
  <si>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</si>
  <si>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</si>
  <si>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</si>
  <si>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</si>
  <si>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</si>
  <si>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</si>
  <si>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</si>
  <si>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</si>
  <si>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</si>
  <si>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</si>
  <si>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</si>
  <si>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</si>
  <si>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</si>
  <si>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</si>
  <si>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</si>
  <si>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</si>
  <si>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</si>
  <si>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</si>
  <si>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</si>
  <si>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</si>
  <si>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</si>
  <si>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</si>
  <si>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</si>
  <si>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</si>
  <si>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</si>
  <si>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</si>
  <si>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</si>
  <si>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</si>
  <si>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</si>
  <si>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</si>
  <si>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</si>
  <si>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</si>
  <si>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</si>
  <si>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</si>
  <si>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</si>
  <si>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</si>
  <si>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</si>
  <si>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</si>
  <si>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</si>
  <si>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</si>
  <si>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</si>
  <si>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</si>
  <si>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</si>
  <si>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</si>
  <si>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</si>
  <si>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</si>
  <si>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</si>
  <si>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</si>
  <si>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</si>
  <si>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</si>
  <si>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</si>
  <si>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</si>
  <si>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</si>
  <si>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</si>
  <si>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</si>
  <si>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</si>
  <si>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</si>
  <si>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</si>
  <si>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</si>
  <si>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</si>
  <si>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</si>
  <si>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</si>
  <si>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</si>
  <si>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</si>
  <si>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</si>
  <si>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</si>
  <si>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</si>
  <si>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</si>
  <si>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</si>
  <si>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</si>
  <si>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</si>
  <si>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</si>
  <si>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</si>
  <si>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</si>
  <si>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</si>
  <si>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</si>
  <si>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</si>
  <si>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</si>
  <si>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</si>
  <si>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</si>
  <si>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</si>
  <si>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</si>
  <si>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</si>
  <si>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</si>
  <si>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</si>
  <si>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</si>
  <si>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</si>
  <si>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</si>
  <si>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</si>
  <si>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</si>
  <si>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</si>
  <si>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</si>
  <si>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</si>
  <si>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</si>
  <si>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</si>
  <si>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</si>
  <si>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</si>
  <si>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</si>
  <si>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</si>
  <si>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</si>
  <si>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</si>
  <si>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</si>
  <si>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</si>
  <si>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</si>
  <si>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</si>
  <si>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</si>
  <si>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</si>
  <si>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</si>
  <si>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</si>
  <si>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</si>
  <si>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</si>
  <si>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</si>
  <si>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</si>
  <si>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</si>
  <si>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</si>
  <si>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</si>
  <si>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</si>
  <si>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</si>
  <si>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</si>
  <si>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</si>
  <si>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</si>
  <si>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</si>
  <si>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</si>
  <si>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</si>
  <si>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</si>
  <si>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</si>
  <si>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</si>
  <si>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</si>
  <si>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</si>
  <si>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</si>
  <si>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</si>
  <si>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</si>
  <si>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</si>
  <si>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</si>
  <si>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</si>
  <si>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</si>
  <si>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</si>
  <si>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</si>
  <si>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</si>
  <si>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</si>
  <si>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</si>
  <si>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</si>
  <si>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</si>
  <si>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</si>
  <si>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</si>
  <si>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</si>
  <si>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</si>
  <si>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</si>
  <si>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</si>
  <si>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</si>
  <si>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</si>
  <si>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</si>
  <si>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</si>
  <si>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</si>
  <si>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</si>
  <si>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</si>
  <si>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</si>
  <si>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</si>
  <si>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</si>
  <si>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</si>
  <si>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</si>
  <si>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</si>
  <si>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</si>
  <si>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</si>
  <si>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</si>
  <si>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</si>
  <si>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</si>
  <si>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</si>
  <si>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</si>
  <si>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</si>
  <si>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</si>
  <si>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</si>
  <si>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</si>
  <si>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</si>
  <si>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</si>
  <si>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</si>
  <si>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</si>
  <si>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</si>
  <si>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</si>
  <si>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</si>
  <si>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</si>
  <si>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</si>
  <si>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</si>
  <si>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</si>
  <si>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</si>
  <si>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</si>
  <si>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</si>
  <si>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</si>
  <si>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</si>
  <si>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</si>
  <si>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</si>
  <si>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</si>
  <si>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</si>
  <si>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</si>
  <si>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</si>
  <si>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</si>
  <si>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</si>
  <si>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</si>
  <si>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</si>
  <si>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</si>
  <si>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</si>
  <si>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</si>
  <si>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</si>
  <si>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</si>
  <si>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</si>
  <si>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</si>
  <si>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</si>
  <si>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</si>
  <si>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</si>
  <si>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</si>
  <si>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</si>
  <si>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</si>
  <si>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</si>
  <si>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</si>
  <si>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</si>
  <si>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</si>
  <si>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</si>
  <si>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</si>
  <si>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</si>
  <si>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</si>
  <si>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</si>
  <si>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</si>
  <si>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</si>
  <si>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</si>
  <si>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</si>
  <si>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</si>
  <si>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</si>
  <si>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</si>
  <si>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</si>
  <si>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</si>
  <si>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</si>
  <si>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</si>
  <si>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</si>
  <si>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</si>
  <si>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</si>
  <si>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</si>
  <si>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</si>
  <si>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</si>
  <si>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</si>
  <si>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</si>
  <si>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</si>
  <si>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</si>
  <si>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</si>
  <si>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</si>
  <si>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</si>
  <si>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</si>
  <si>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</si>
  <si>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</si>
  <si>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</si>
  <si>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</si>
  <si>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</si>
  <si>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</si>
  <si>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</si>
  <si>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</si>
  <si>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</si>
  <si>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</si>
  <si>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</si>
  <si>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</si>
  <si>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</si>
  <si>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</si>
  <si>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</si>
  <si>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</si>
  <si>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</si>
  <si>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</si>
  <si>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</si>
  <si>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</si>
  <si>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</si>
  <si>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</si>
  <si>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</si>
  <si>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</si>
  <si>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</si>
  <si>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</si>
  <si>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</si>
  <si>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</si>
  <si>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</si>
  <si>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</si>
  <si>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</si>
  <si>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</si>
  <si>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</si>
  <si>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</si>
  <si>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</si>
  <si>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</si>
  <si>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</si>
  <si>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</si>
  <si>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</si>
  <si>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</si>
  <si>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</si>
  <si>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</si>
  <si>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</si>
  <si>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</si>
  <si>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</si>
  <si>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</si>
  <si>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</si>
  <si>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</si>
  <si>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</si>
  <si>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</si>
  <si>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</si>
  <si>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</si>
  <si>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</si>
  <si>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</si>
  <si>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</si>
  <si>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</si>
  <si>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</si>
  <si>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</si>
  <si>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</si>
  <si>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</si>
  <si>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</si>
  <si>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</si>
  <si>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</si>
  <si>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</si>
  <si>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</si>
  <si>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</si>
  <si>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</si>
  <si>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</si>
  <si>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</si>
  <si>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</si>
  <si>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</si>
  <si>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</si>
  <si>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</si>
  <si>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</si>
  <si>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</si>
  <si>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</si>
  <si>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</si>
  <si>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</si>
  <si>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</si>
  <si>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</si>
  <si>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</si>
  <si>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</si>
  <si>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</si>
  <si>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</si>
  <si>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</si>
  <si>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</si>
  <si>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</si>
  <si>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</si>
  <si>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</si>
  <si>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</si>
  <si>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</si>
  <si>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</si>
  <si>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</si>
  <si>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</si>
  <si>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</si>
  <si>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</si>
  <si>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</si>
  <si>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</si>
  <si>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</si>
  <si>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</si>
  <si>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</si>
  <si>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</si>
  <si>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</si>
  <si>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</si>
  <si>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</si>
  <si>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</si>
  <si>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</si>
  <si>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</si>
  <si>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</si>
  <si>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</si>
  <si>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</si>
  <si>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</si>
  <si>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</si>
  <si>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</si>
  <si>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</si>
  <si>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</si>
  <si>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</si>
  <si>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</si>
  <si>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</si>
  <si>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</si>
  <si>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</si>
  <si>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</si>
  <si>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</si>
  <si>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</si>
  <si>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</si>
  <si>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</si>
  <si>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</si>
  <si>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</si>
  <si>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</si>
  <si>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</si>
  <si>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</si>
  <si>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</si>
  <si>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</si>
  <si>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</si>
  <si>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</si>
  <si>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</si>
  <si>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</si>
  <si>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</si>
  <si>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</si>
  <si>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</si>
  <si>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</si>
  <si>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</si>
  <si>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</si>
  <si>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</si>
  <si>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</si>
  <si>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</si>
  <si>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</si>
  <si>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</si>
  <si>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</si>
  <si>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</si>
  <si>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</si>
  <si>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</si>
  <si>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</si>
  <si>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</si>
  <si>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</si>
  <si>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</si>
  <si>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</si>
  <si>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</si>
  <si>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</si>
  <si>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</si>
  <si>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</si>
  <si>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</si>
  <si>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</si>
  <si>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</si>
  <si>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</si>
  <si>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</si>
  <si>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</si>
  <si>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</si>
  <si>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</si>
  <si>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</si>
  <si>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</si>
  <si>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</si>
  <si>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</si>
  <si>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</si>
  <si>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</si>
  <si>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</si>
  <si>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</si>
  <si>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</si>
  <si>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</si>
  <si>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</si>
  <si>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</si>
  <si>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</si>
  <si>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</si>
  <si>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</si>
  <si>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</si>
  <si>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</si>
  <si>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</si>
  <si>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</si>
  <si>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</si>
  <si>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</si>
  <si>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</si>
  <si>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</si>
  <si>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</si>
  <si>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</si>
  <si>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</si>
  <si>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</si>
  <si>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</si>
  <si>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</si>
  <si>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</si>
  <si>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</si>
  <si>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</si>
  <si>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</si>
  <si>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</si>
  <si>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</si>
  <si>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</si>
  <si>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</si>
  <si>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</si>
  <si>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</si>
  <si>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</si>
  <si>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</si>
  <si>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</si>
  <si>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</si>
  <si>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</si>
  <si>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</si>
  <si>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</si>
  <si>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</si>
  <si>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</si>
  <si>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</si>
  <si>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</si>
  <si>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</si>
  <si>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</si>
  <si>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</si>
  <si>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</si>
  <si>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</si>
  <si>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</si>
  <si>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</si>
  <si>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</si>
  <si>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</si>
  <si>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</si>
  <si>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</si>
  <si>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</si>
  <si>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</si>
  <si>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</si>
  <si>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</si>
  <si>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</si>
  <si>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</si>
  <si>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</si>
  <si>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</si>
  <si>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</si>
  <si>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</si>
  <si>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</si>
  <si>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</si>
  <si>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</si>
  <si>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</si>
  <si>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</si>
  <si>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</si>
  <si>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</si>
  <si>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</si>
  <si>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</si>
  <si>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</si>
  <si>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</si>
  <si>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</si>
  <si>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</si>
  <si>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</si>
  <si>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</si>
  <si>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</si>
  <si>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</si>
  <si>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</si>
  <si>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</si>
  <si>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</si>
  <si>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</si>
  <si>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</si>
  <si>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</si>
  <si>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</si>
  <si>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</si>
  <si>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</si>
  <si>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</si>
  <si>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</si>
  <si>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</si>
  <si>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</si>
  <si>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</si>
  <si>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</si>
  <si>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</si>
  <si>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</si>
  <si>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</si>
  <si>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</si>
  <si>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</si>
  <si>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</si>
  <si>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</si>
  <si>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</si>
  <si>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</si>
  <si>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</si>
  <si>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</si>
  <si>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</si>
  <si>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</si>
  <si>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</si>
  <si>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</si>
  <si>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</si>
  <si>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</si>
  <si>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</si>
  <si>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</si>
  <si>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</si>
  <si>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</si>
  <si>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</si>
  <si>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</si>
  <si>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</si>
  <si>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</si>
  <si>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</si>
  <si>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</si>
  <si>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</si>
  <si>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</si>
  <si>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</si>
  <si>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</si>
  <si>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</si>
  <si>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</si>
  <si>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</si>
  <si>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</si>
  <si>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</si>
  <si>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</si>
  <si>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</si>
  <si>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</si>
  <si>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</si>
  <si>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</si>
  <si>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</si>
  <si>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</si>
  <si>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</si>
  <si>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</si>
  <si>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</si>
  <si>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</si>
  <si>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</si>
  <si>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</si>
  <si>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</si>
  <si>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</si>
  <si>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</si>
  <si>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</si>
  <si>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</si>
  <si>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</si>
  <si>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</si>
  <si>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</si>
  <si>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</si>
  <si>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</si>
  <si>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</si>
  <si>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</si>
  <si>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</si>
  <si>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</si>
  <si>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</si>
  <si>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</si>
  <si>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</si>
  <si>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</si>
  <si>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</si>
  <si>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</si>
  <si>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</si>
  <si>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</si>
  <si>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</si>
  <si>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</si>
  <si>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</si>
  <si>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</si>
  <si>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</si>
  <si>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</si>
  <si>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</si>
  <si>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</si>
  <si>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</si>
  <si>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</si>
  <si>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</si>
  <si>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</si>
  <si>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</si>
  <si>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</si>
  <si>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</si>
  <si>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</si>
  <si>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</si>
  <si>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</si>
  <si>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</si>
  <si>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</si>
  <si>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</si>
  <si>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</si>
  <si>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</si>
  <si>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</si>
  <si>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</si>
  <si>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</si>
  <si>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</si>
  <si>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</si>
  <si>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</si>
  <si>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</si>
  <si>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</si>
  <si>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</si>
  <si>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</si>
  <si>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</si>
  <si>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</si>
  <si>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</si>
  <si>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</si>
  <si>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</si>
  <si>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</si>
  <si>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</si>
  <si>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</si>
  <si>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</si>
  <si>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</si>
  <si>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</si>
  <si>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</si>
  <si>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</si>
  <si>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</si>
  <si>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</si>
  <si>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</si>
  <si>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</si>
  <si>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</si>
  <si>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</si>
  <si>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</si>
  <si>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</si>
  <si>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</si>
  <si>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</si>
  <si>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</si>
  <si>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</si>
  <si>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</si>
  <si>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</si>
  <si>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</si>
  <si>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</si>
  <si>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</si>
  <si>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</si>
  <si>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</si>
  <si>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</si>
  <si>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</si>
  <si>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</si>
  <si>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</si>
  <si>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</si>
  <si>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</si>
  <si>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</si>
  <si>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</si>
  <si>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</si>
  <si>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</si>
  <si>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</si>
  <si>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</si>
  <si>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</si>
  <si>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</si>
  <si>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</si>
  <si>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</si>
  <si>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</si>
  <si>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</si>
  <si>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</si>
  <si>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</si>
  <si>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</si>
  <si>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</si>
  <si>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</si>
  <si>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</si>
  <si>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</si>
  <si>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</si>
  <si>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</si>
  <si>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</si>
  <si>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</si>
  <si>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</si>
  <si>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</si>
  <si>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</si>
  <si>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</si>
  <si>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</si>
  <si>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</si>
  <si>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</si>
  <si>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</si>
  <si>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</si>
  <si>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</si>
  <si>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</si>
  <si>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</si>
  <si>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</si>
  <si>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</si>
  <si>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</si>
  <si>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</si>
  <si>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</si>
  <si>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</si>
  <si>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</si>
  <si>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</si>
  <si>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</si>
  <si>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</si>
  <si>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</si>
  <si>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</si>
  <si>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</si>
  <si>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</si>
  <si>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</si>
  <si>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</si>
  <si>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</si>
  <si>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</si>
  <si>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</si>
  <si>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</si>
  <si>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</si>
  <si>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</si>
  <si>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</si>
  <si>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</si>
  <si>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</si>
  <si>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</si>
  <si>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</si>
  <si>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</si>
  <si>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</si>
  <si>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</si>
  <si>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</si>
  <si>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</si>
  <si>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</si>
  <si>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</si>
  <si>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</si>
  <si>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</si>
  <si>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</si>
  <si>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</si>
  <si>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</si>
  <si>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</si>
  <si>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</si>
  <si>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</si>
  <si>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</si>
  <si>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</si>
  <si>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</si>
  <si>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</si>
  <si>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</si>
  <si>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</si>
  <si>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</si>
  <si>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</si>
  <si>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</si>
  <si>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</si>
  <si>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</si>
  <si>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</si>
  <si>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</si>
  <si>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</si>
  <si>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</si>
  <si>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</si>
  <si>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</si>
  <si>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</si>
  <si>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</si>
  <si>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</si>
  <si>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</si>
  <si>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</si>
  <si>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</si>
  <si>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</si>
  <si>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</si>
  <si>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</si>
  <si>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</si>
  <si>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</si>
  <si>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</si>
  <si>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</si>
  <si>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</si>
  <si>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</si>
  <si>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</si>
  <si>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</si>
  <si>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</si>
  <si>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</si>
  <si>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</si>
  <si>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</si>
  <si>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</si>
  <si>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</si>
  <si>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</si>
  <si>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</si>
  <si>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</si>
  <si>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</si>
  <si>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</si>
  <si>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</si>
  <si>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</si>
  <si>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</si>
  <si>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</si>
  <si>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</si>
  <si>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</si>
  <si>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</si>
  <si>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</si>
  <si>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</si>
  <si>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</si>
  <si>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</si>
  <si>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</si>
  <si>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</si>
  <si>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</si>
  <si>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</si>
  <si>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</si>
  <si>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</si>
  <si>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</si>
  <si>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</si>
  <si>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</si>
  <si>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</si>
  <si>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</si>
  <si>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</si>
  <si>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</si>
  <si>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</si>
  <si>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</si>
  <si>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</si>
  <si>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</si>
  <si>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</si>
  <si>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</si>
  <si>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</si>
  <si>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</si>
  <si>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</si>
  <si>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</si>
  <si>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</si>
  <si>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</si>
  <si>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</si>
  <si>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</si>
  <si>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</si>
  <si>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</si>
  <si>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</si>
  <si>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</si>
  <si>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</si>
  <si>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</si>
  <si>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</si>
  <si>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</si>
  <si>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</si>
  <si>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</si>
  <si>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</si>
  <si>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</si>
  <si>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</si>
  <si>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</si>
  <si>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</si>
  <si>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</si>
  <si>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</si>
  <si>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</si>
  <si>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</si>
  <si>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</si>
  <si>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</si>
  <si>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</si>
  <si>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</si>
  <si>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</si>
  <si>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</si>
  <si>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</si>
  <si>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</si>
  <si>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</si>
  <si>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</si>
  <si>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</si>
  <si>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</si>
  <si>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</si>
  <si>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</si>
  <si>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</si>
  <si>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</si>
  <si>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</si>
  <si>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</si>
  <si>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</si>
  <si>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</si>
  <si>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</si>
  <si>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</si>
  <si>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</si>
  <si>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</si>
  <si>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</si>
  <si>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</si>
  <si>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</si>
  <si>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</si>
  <si>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</si>
  <si>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</si>
  <si>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</si>
  <si>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</si>
  <si>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</si>
  <si>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</si>
  <si>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</si>
  <si>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</si>
  <si>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</si>
  <si>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</si>
  <si>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</si>
  <si>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</si>
  <si>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</si>
  <si>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</si>
  <si>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</si>
  <si>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</si>
  <si>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</si>
  <si>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</si>
  <si>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</si>
  <si>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</si>
  <si>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</si>
  <si>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</si>
  <si>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</si>
  <si>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</si>
  <si>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</si>
  <si>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</si>
  <si>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</si>
  <si>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</si>
  <si>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</si>
  <si>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</si>
  <si>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</si>
  <si>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</si>
  <si>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</si>
  <si>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</si>
  <si>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</si>
  <si>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</si>
  <si>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</si>
  <si>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</si>
  <si>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</si>
  <si>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</si>
  <si>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</si>
  <si>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</si>
  <si>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</si>
  <si>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</si>
  <si>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</si>
  <si>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</si>
  <si>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</si>
  <si>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</si>
  <si>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</si>
  <si>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</si>
  <si>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</si>
  <si>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</si>
  <si>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</si>
  <si>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</si>
  <si>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</si>
  <si>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</si>
  <si>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</si>
  <si>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</si>
  <si>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</si>
  <si>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</si>
  <si>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</si>
  <si>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</si>
  <si>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</si>
  <si>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</si>
  <si>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</si>
  <si>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</si>
  <si>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</si>
  <si>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</si>
  <si>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</si>
  <si>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</si>
  <si>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</si>
  <si>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</si>
  <si>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</si>
  <si>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</si>
  <si>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</si>
  <si>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</si>
  <si>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</si>
  <si>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</si>
  <si>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</si>
  <si>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</si>
  <si>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</si>
  <si>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</si>
  <si>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</si>
  <si>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</si>
  <si>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</si>
  <si>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</si>
  <si>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</si>
  <si>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</si>
  <si>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</si>
  <si>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</si>
  <si>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</si>
  <si>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</si>
  <si>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</si>
  <si>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</si>
  <si>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</si>
  <si>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</si>
  <si>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</si>
  <si>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</si>
  <si>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</si>
  <si>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</si>
  <si>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</si>
  <si>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</si>
  <si>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</si>
  <si>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</si>
  <si>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</si>
  <si>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</si>
  <si>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</si>
  <si>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</si>
  <si>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</si>
  <si>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</si>
  <si>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</si>
  <si>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</si>
  <si>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</si>
  <si>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</si>
  <si>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</si>
  <si>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</si>
  <si>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</si>
  <si>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</si>
  <si>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</si>
  <si>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</si>
  <si>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</si>
  <si>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</si>
  <si>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</si>
  <si>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</si>
  <si>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</si>
  <si>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</si>
  <si>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</si>
  <si>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</si>
  <si>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</si>
  <si>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</si>
  <si>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</si>
  <si>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</si>
  <si>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</si>
  <si>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</si>
  <si>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</si>
  <si>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</si>
  <si>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</si>
  <si>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</si>
  <si>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</si>
  <si>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</si>
  <si>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</si>
  <si>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</si>
  <si>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</si>
  <si>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</si>
  <si>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</si>
  <si>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</si>
  <si>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</si>
  <si>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</si>
  <si>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</si>
  <si>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</si>
  <si>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</si>
  <si>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</si>
  <si>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</si>
  <si>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</si>
  <si>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</si>
  <si>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</si>
  <si>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</si>
  <si>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</si>
  <si>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</si>
  <si>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</si>
  <si>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</si>
  <si>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</si>
  <si>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</si>
  <si>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</si>
  <si>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</si>
  <si>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</si>
  <si>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</si>
  <si>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</si>
  <si>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</si>
  <si>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</si>
  <si>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</si>
  <si>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</si>
  <si>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</si>
  <si>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</si>
  <si>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</si>
  <si>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</si>
  <si>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</si>
  <si>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</si>
  <si>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</si>
  <si>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</si>
  <si>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</si>
  <si>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</si>
  <si>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</si>
  <si>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</si>
  <si>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</si>
  <si>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</si>
  <si>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</si>
  <si>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</si>
  <si>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</si>
  <si>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</si>
  <si>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</si>
  <si>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</si>
  <si>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</si>
  <si>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</si>
  <si>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</si>
  <si>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</si>
  <si>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</si>
  <si>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</si>
  <si>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</si>
  <si>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</si>
  <si>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</si>
  <si>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</si>
  <si>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</si>
  <si>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</si>
  <si>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</si>
  <si>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</si>
  <si>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</si>
  <si>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</si>
  <si>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</si>
  <si>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</si>
  <si>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</si>
  <si>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</si>
  <si>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</si>
  <si>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</si>
  <si>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</si>
  <si>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</si>
  <si>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</si>
  <si>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</si>
  <si>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</si>
  <si>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</si>
  <si>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</si>
  <si>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</si>
  <si>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</si>
  <si>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</si>
  <si>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</si>
  <si>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</si>
  <si>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</si>
  <si>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</si>
  <si>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</si>
  <si>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</si>
  <si>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</si>
  <si>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</si>
  <si>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</si>
  <si>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</si>
  <si>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</si>
  <si>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</si>
  <si>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</si>
  <si>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</si>
  <si>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</si>
  <si>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</si>
  <si>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</si>
  <si>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</si>
  <si>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</si>
  <si>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</si>
  <si>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</si>
  <si>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</si>
  <si>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</si>
  <si>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</si>
  <si>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</si>
  <si>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</si>
  <si>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</si>
  <si>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</si>
  <si>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</si>
  <si>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</si>
  <si>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</si>
  <si>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</si>
  <si>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</si>
  <si>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</si>
  <si>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</si>
  <si>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</si>
  <si>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</si>
  <si>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</si>
  <si>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</si>
  <si>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</si>
  <si>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</si>
  <si>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</si>
  <si>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</si>
  <si>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</si>
  <si>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</si>
  <si>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</si>
  <si>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</si>
  <si>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</si>
  <si>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</si>
  <si>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</si>
  <si>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</si>
  <si>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</si>
  <si>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</si>
  <si>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</si>
  <si>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</si>
  <si>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</si>
  <si>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</si>
  <si>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</si>
  <si>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</si>
  <si>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</si>
  <si>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</si>
  <si>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</si>
  <si>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</si>
  <si>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</si>
  <si>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</si>
  <si>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</si>
  <si>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</si>
  <si>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</si>
  <si>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</si>
  <si>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</si>
  <si>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</si>
  <si>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</si>
  <si>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</si>
  <si>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</si>
  <si>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</si>
  <si>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</si>
  <si>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</si>
  <si>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</si>
  <si>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</si>
  <si>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</si>
  <si>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</si>
  <si>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</si>
  <si>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</si>
  <si>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</si>
  <si>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</si>
  <si>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</si>
  <si>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</si>
  <si>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</si>
  <si>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</si>
  <si>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</si>
  <si>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</si>
  <si>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</si>
  <si>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</si>
  <si>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</si>
  <si>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</si>
  <si>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</si>
  <si>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</si>
  <si>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</si>
  <si>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</si>
  <si>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</si>
  <si>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</si>
  <si>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</si>
  <si>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</si>
  <si>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</si>
  <si>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</si>
  <si>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</si>
  <si>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</si>
  <si>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</si>
  <si>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</si>
  <si>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</si>
  <si>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</si>
  <si>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</si>
  <si>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</si>
  <si>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</si>
  <si>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</si>
  <si>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</si>
  <si>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</si>
  <si>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</si>
  <si>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</si>
  <si>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</si>
  <si>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</si>
  <si>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</si>
  <si>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</si>
  <si>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</si>
  <si>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</si>
  <si>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</si>
  <si>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</si>
  <si>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</si>
  <si>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</si>
  <si>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</si>
  <si>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</si>
  <si>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</si>
  <si>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</si>
  <si>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</si>
  <si>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</si>
  <si>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</si>
  <si>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</si>
  <si>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</si>
  <si>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</si>
  <si>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</si>
  <si>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</si>
  <si>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</si>
  <si>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</si>
  <si>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</si>
  <si>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</si>
  <si>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</si>
  <si>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</si>
  <si>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</si>
  <si>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</si>
  <si>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</si>
  <si>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</si>
  <si>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</si>
  <si>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</si>
  <si>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</si>
  <si>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</si>
  <si>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</si>
  <si>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</si>
  <si>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</si>
  <si>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</si>
  <si>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</si>
  <si>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</si>
  <si>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</si>
  <si>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</si>
  <si>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</si>
  <si>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</si>
  <si>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</si>
  <si>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</si>
  <si>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</si>
  <si>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</si>
  <si>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</si>
  <si>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</si>
  <si>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</si>
  <si>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</si>
  <si>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</si>
  <si>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</si>
  <si>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</si>
  <si>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</si>
  <si>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</si>
  <si>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</si>
  <si>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</si>
  <si>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</si>
  <si>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</si>
  <si>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</si>
  <si>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</si>
  <si>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</si>
  <si>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</si>
  <si>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</si>
  <si>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</si>
  <si>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</si>
  <si>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</si>
  <si>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</si>
  <si>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</si>
  <si>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</si>
  <si>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</si>
  <si>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</si>
  <si>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</si>
  <si>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</si>
  <si>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</si>
  <si>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</si>
  <si>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</si>
  <si>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</si>
  <si>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</si>
  <si>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</si>
  <si>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</si>
  <si>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</si>
  <si>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</si>
  <si>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</si>
  <si>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</si>
  <si>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</si>
  <si>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</si>
  <si>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</si>
  <si>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</si>
  <si>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</si>
  <si>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</si>
  <si>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</si>
  <si>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</si>
  <si>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</si>
  <si>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</si>
  <si>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</si>
  <si>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</si>
  <si>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</si>
  <si>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</si>
  <si>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</si>
  <si>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</si>
  <si>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</si>
  <si>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</si>
  <si>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</si>
  <si>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</si>
  <si>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</si>
  <si>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</si>
  <si>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</si>
  <si>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</si>
  <si>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</si>
  <si>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</si>
  <si>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</si>
  <si>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</si>
  <si>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</si>
  <si>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</si>
  <si>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</si>
  <si>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</si>
  <si>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</si>
  <si>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</si>
  <si>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</si>
  <si>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</si>
  <si>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</si>
  <si>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</si>
  <si>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</si>
  <si>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</si>
  <si>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</si>
  <si>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</si>
  <si>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</si>
  <si>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</si>
  <si>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</si>
  <si>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</si>
  <si>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</si>
  <si>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</si>
  <si>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</si>
  <si>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</si>
  <si>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</si>
  <si>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</si>
  <si>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</si>
  <si>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</si>
  <si>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</si>
  <si>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</si>
  <si>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</si>
  <si>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</si>
  <si>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</si>
  <si>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</si>
  <si>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</si>
  <si>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</si>
  <si>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</si>
  <si>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</si>
  <si>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</si>
  <si>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</si>
  <si>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</si>
  <si>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</si>
  <si>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</si>
  <si>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</si>
  <si>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</si>
  <si>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</si>
  <si>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</si>
  <si>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</si>
  <si>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</si>
  <si>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</si>
  <si>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</si>
  <si>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</si>
  <si>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</si>
  <si>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</si>
  <si>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</si>
  <si>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</si>
  <si>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</si>
  <si>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</si>
  <si>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</si>
  <si>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</si>
  <si>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</si>
  <si>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</si>
  <si>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</si>
  <si>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</si>
  <si>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</si>
  <si>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</si>
  <si>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</si>
  <si>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</si>
  <si>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</si>
  <si>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</si>
  <si>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</si>
  <si>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</si>
  <si>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</si>
  <si>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</si>
  <si>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</si>
  <si>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</si>
  <si>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</si>
  <si>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</si>
  <si>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</si>
  <si>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</si>
  <si>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</si>
  <si>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</si>
  <si>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</si>
  <si>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</si>
  <si>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</si>
  <si>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</si>
  <si>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</si>
  <si>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</si>
  <si>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</si>
  <si>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</si>
  <si>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</si>
  <si>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</si>
  <si>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</si>
  <si>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</si>
  <si>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</si>
  <si>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</si>
  <si>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</si>
  <si>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</si>
  <si>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</si>
  <si>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</si>
  <si>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</si>
  <si>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</si>
  <si>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</si>
  <si>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</si>
  <si>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</si>
  <si>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</si>
  <si>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</si>
  <si>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</si>
  <si>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</si>
  <si>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</si>
  <si>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</si>
  <si>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</si>
  <si>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</si>
  <si>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</si>
  <si>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</si>
  <si>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</si>
  <si>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</si>
  <si>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</si>
  <si>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</si>
  <si>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</si>
  <si>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</si>
  <si>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</si>
  <si>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</si>
  <si>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</si>
  <si>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</si>
  <si>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</si>
  <si>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</si>
  <si>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</si>
  <si>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</si>
  <si>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</si>
  <si>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</si>
  <si>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</si>
  <si>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</si>
  <si>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</si>
  <si>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</si>
  <si>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</si>
  <si>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</si>
  <si>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</si>
  <si>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</si>
  <si>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</si>
  <si>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</si>
  <si>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</si>
  <si>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</si>
  <si>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</si>
  <si>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</si>
  <si>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</si>
  <si>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</si>
  <si>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</si>
  <si>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</si>
  <si>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</si>
  <si>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</si>
  <si>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</si>
  <si>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</si>
  <si>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</si>
  <si>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</si>
  <si>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</si>
  <si>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</si>
  <si>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</si>
  <si>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</si>
  <si>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</si>
  <si>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</si>
  <si>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</si>
  <si>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</si>
  <si>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</si>
  <si>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</si>
  <si>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</si>
  <si>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</si>
  <si>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</si>
  <si>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</si>
  <si>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</si>
  <si>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</si>
  <si>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</si>
  <si>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</si>
  <si>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</si>
  <si>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</si>
  <si>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</si>
  <si>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</si>
  <si>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</si>
  <si>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</si>
  <si>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</si>
  <si>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</si>
  <si>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</si>
  <si>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</si>
  <si>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</si>
  <si>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</si>
  <si>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</si>
  <si>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</si>
  <si>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</si>
  <si>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</si>
  <si>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</si>
  <si>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</si>
  <si>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</si>
  <si>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</si>
  <si>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</si>
  <si>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</si>
  <si>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</si>
  <si>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</si>
  <si>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</si>
  <si>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</si>
  <si>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</si>
  <si>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</si>
  <si>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</si>
  <si>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</si>
  <si>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</si>
  <si>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</si>
  <si>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</si>
  <si>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</si>
  <si>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</si>
  <si>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</si>
  <si>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</si>
  <si>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</si>
  <si>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</si>
  <si>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</si>
  <si>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</si>
  <si>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</si>
  <si>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</si>
  <si>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</si>
  <si>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</si>
  <si>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</si>
  <si>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</si>
  <si>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</si>
  <si>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</si>
  <si>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</si>
  <si>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</si>
  <si>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</si>
  <si>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</si>
  <si>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</si>
  <si>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</si>
  <si>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</si>
  <si>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</si>
  <si>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</si>
  <si>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</si>
  <si>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</si>
  <si>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</si>
  <si>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</si>
  <si>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</si>
  <si>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</si>
  <si>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</si>
  <si>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</si>
  <si>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</si>
  <si>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</si>
  <si>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</si>
  <si>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</si>
  <si>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</si>
  <si>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</si>
  <si>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</si>
  <si>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</si>
  <si>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</si>
  <si>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</si>
  <si>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</si>
  <si>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</si>
  <si>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</si>
  <si>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</si>
  <si>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</si>
  <si>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</si>
  <si>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</si>
  <si>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</si>
  <si>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</si>
  <si>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</si>
  <si>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</si>
  <si>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</si>
  <si>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</si>
  <si>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</si>
  <si>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</si>
  <si>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</si>
  <si>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</si>
  <si>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</si>
  <si>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</si>
  <si>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</si>
  <si>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</si>
  <si>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</si>
  <si>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</si>
  <si>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</si>
  <si>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</si>
  <si>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</si>
  <si>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</si>
  <si>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</si>
  <si>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</si>
  <si>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</si>
  <si>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</si>
  <si>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</si>
  <si>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</si>
  <si>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</si>
  <si>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</si>
  <si>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</si>
  <si>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</si>
  <si>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</si>
  <si>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</si>
  <si>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</si>
  <si>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</si>
  <si>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</si>
  <si>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</si>
  <si>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</si>
  <si>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</si>
  <si>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</si>
  <si>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</si>
  <si>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</si>
  <si>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</si>
  <si>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</si>
  <si>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</si>
  <si>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</si>
  <si>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</si>
  <si>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</si>
  <si>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</si>
  <si>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</si>
  <si>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</si>
  <si>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</si>
  <si>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</si>
  <si>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</si>
  <si>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</si>
  <si>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</si>
  <si>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</si>
  <si>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</si>
  <si>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</si>
  <si>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</si>
  <si>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</si>
  <si>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</si>
  <si>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</si>
  <si>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</si>
  <si>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</si>
  <si>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</si>
  <si>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</si>
  <si>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</si>
  <si>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</si>
  <si>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</si>
  <si>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</si>
  <si>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</si>
  <si>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</si>
  <si>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</si>
  <si>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</si>
  <si>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</si>
  <si>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</si>
  <si>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</si>
  <si>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</si>
  <si>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</si>
  <si>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</si>
  <si>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</si>
  <si>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</si>
  <si>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</si>
  <si>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</si>
  <si>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</si>
  <si>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</si>
  <si>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</si>
  <si>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</si>
  <si>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</si>
  <si>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</si>
  <si>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</si>
  <si>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</si>
  <si>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</si>
  <si>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</si>
  <si>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</si>
  <si>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</si>
  <si>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</si>
  <si>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</si>
  <si>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</si>
  <si>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</si>
  <si>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</si>
  <si>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</si>
  <si>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</si>
  <si>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</si>
  <si>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</si>
  <si>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</si>
  <si>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</si>
  <si>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</si>
  <si>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</si>
  <si>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</si>
  <si>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</si>
  <si>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</si>
  <si>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</si>
  <si>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</si>
  <si>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</si>
  <si>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</si>
  <si>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</si>
  <si>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</si>
  <si>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</si>
  <si>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</si>
  <si>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</si>
  <si>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</si>
  <si>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</si>
  <si>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</si>
  <si>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</si>
  <si>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</si>
  <si>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</si>
  <si>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</si>
  <si>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</si>
  <si>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</si>
  <si>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</si>
  <si>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</si>
  <si>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</si>
  <si>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</si>
  <si>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</si>
  <si>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</si>
  <si>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</si>
  <si>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</si>
  <si>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</si>
  <si>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</si>
  <si>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</si>
  <si>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</si>
  <si>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</si>
  <si>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</si>
  <si>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</si>
  <si>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</si>
  <si>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</si>
  <si>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</si>
  <si>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</si>
  <si>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</si>
  <si>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</si>
  <si>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</si>
  <si>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</si>
  <si>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</si>
  <si>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</si>
  <si>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</si>
  <si>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</si>
  <si>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</si>
  <si>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</si>
  <si>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</si>
  <si>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</si>
  <si>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</si>
  <si>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</si>
  <si>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</si>
  <si>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</si>
  <si>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</si>
  <si>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</si>
  <si>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</si>
  <si>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</si>
  <si>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</si>
  <si>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</si>
  <si>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</si>
  <si>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</si>
  <si>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</si>
  <si>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</si>
  <si>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</si>
  <si>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</si>
  <si>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</si>
  <si>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</si>
  <si>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</si>
  <si>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</si>
  <si>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</si>
  <si>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</si>
  <si>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</si>
  <si>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</si>
  <si>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</si>
  <si>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</si>
  <si>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</si>
  <si>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</si>
  <si>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</si>
  <si>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</si>
  <si>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</si>
  <si>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</si>
  <si>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</si>
  <si>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</si>
  <si>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</si>
  <si>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</si>
  <si>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</si>
  <si>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</si>
  <si>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</si>
  <si>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</si>
  <si>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</si>
  <si>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</si>
  <si>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</si>
  <si>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</si>
  <si>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</si>
  <si>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</si>
  <si>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</si>
  <si>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</si>
  <si>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</si>
  <si>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</si>
  <si>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</si>
  <si>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</si>
  <si>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</si>
  <si>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</si>
  <si>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</si>
  <si>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</si>
  <si>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</si>
  <si>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</si>
  <si>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</si>
  <si>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</si>
  <si>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</si>
  <si>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</si>
  <si>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</si>
  <si>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</si>
  <si>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</si>
  <si>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</si>
  <si>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</si>
  <si>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</si>
  <si>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</si>
  <si>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</si>
  <si>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</si>
  <si>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</si>
  <si>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</si>
  <si>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</si>
  <si>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</si>
  <si>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</si>
  <si>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</si>
  <si>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</si>
  <si>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</si>
  <si>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</si>
  <si>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</si>
  <si>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</si>
  <si>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</si>
  <si>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</si>
  <si>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</si>
  <si>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</si>
  <si>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</si>
  <si>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</si>
  <si>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</si>
  <si>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</si>
  <si>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</si>
  <si>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</si>
  <si>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</si>
  <si>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</si>
  <si>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</si>
  <si>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</si>
  <si>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</si>
  <si>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</si>
  <si>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</si>
  <si>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</si>
  <si>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</si>
  <si>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</si>
  <si>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</si>
  <si>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</si>
  <si>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</si>
  <si>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</si>
  <si>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</si>
  <si>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</si>
  <si>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</si>
  <si>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</si>
  <si>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</si>
  <si>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</si>
  <si>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</si>
  <si>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</si>
  <si>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</si>
  <si>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</si>
  <si>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</si>
  <si>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</si>
  <si>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</si>
  <si>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</si>
  <si>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</si>
  <si>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</si>
  <si>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</si>
  <si>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</si>
  <si>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</si>
  <si>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</si>
  <si>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</si>
  <si>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</si>
  <si>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</si>
  <si>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</si>
  <si>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</si>
  <si>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</si>
  <si>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</si>
  <si>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</si>
  <si>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</si>
  <si>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</si>
  <si>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</si>
  <si>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</si>
  <si>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</si>
  <si>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</si>
  <si>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</si>
  <si>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</si>
  <si>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</si>
  <si>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</si>
  <si>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</si>
  <si>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</si>
  <si>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</si>
  <si>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</si>
  <si>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</si>
  <si>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</si>
  <si>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</si>
  <si>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</si>
  <si>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</si>
  <si>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</si>
  <si>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</si>
  <si>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</si>
  <si>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</si>
  <si>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</si>
  <si>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</si>
  <si>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</si>
  <si>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</si>
  <si>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</si>
  <si>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</si>
  <si>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</si>
  <si>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</si>
  <si>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</si>
  <si>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</si>
  <si>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</si>
  <si>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</si>
  <si>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</si>
  <si>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</si>
  <si>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</si>
  <si>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</si>
  <si>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</si>
  <si>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</si>
  <si>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</si>
  <si>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</si>
  <si>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</si>
  <si>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</si>
  <si>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</si>
  <si>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</si>
  <si>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</si>
  <si>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</si>
  <si>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</si>
  <si>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</si>
  <si>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</si>
  <si>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</si>
  <si>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</si>
  <si>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</si>
  <si>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</si>
  <si>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</si>
  <si>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</si>
  <si>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</si>
  <si>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</si>
  <si>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</si>
  <si>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</si>
  <si>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</si>
  <si>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</si>
  <si>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</si>
  <si>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</si>
  <si>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</si>
  <si>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</si>
  <si>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</si>
  <si>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</si>
  <si>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</si>
  <si>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</si>
  <si>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</si>
  <si>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</si>
  <si>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</si>
  <si>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</si>
  <si>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</si>
  <si>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</si>
  <si>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</si>
  <si>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</si>
  <si>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</si>
  <si>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</si>
  <si>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</si>
  <si>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</si>
  <si>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</si>
  <si>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</si>
  <si>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</si>
  <si>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</si>
  <si>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</si>
  <si>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</si>
  <si>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</si>
  <si>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</si>
  <si>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</si>
  <si>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</si>
  <si>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</si>
  <si>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</si>
  <si>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</si>
  <si>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</si>
  <si>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</si>
  <si>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</si>
  <si>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</si>
  <si>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</si>
  <si>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</si>
  <si>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</si>
  <si>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</si>
  <si>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</si>
  <si>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</si>
  <si>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</si>
  <si>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</si>
  <si>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</si>
  <si>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</si>
  <si>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</si>
  <si>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</si>
  <si>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</si>
  <si>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</si>
  <si>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</si>
  <si>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</si>
  <si>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</si>
  <si>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</si>
  <si>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</si>
  <si>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</si>
  <si>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</si>
  <si>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</si>
  <si>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</si>
  <si>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</si>
  <si>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</si>
  <si>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</si>
  <si>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</si>
  <si>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</si>
  <si>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</si>
  <si>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</si>
  <si>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</si>
  <si>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</si>
  <si>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</si>
  <si>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</si>
  <si>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</si>
  <si>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</si>
  <si>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</si>
  <si>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</si>
  <si>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</si>
  <si>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</si>
  <si>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</si>
  <si>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</si>
  <si>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</si>
  <si>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</si>
  <si>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</si>
  <si>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</si>
  <si>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</si>
  <si>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</si>
  <si>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</si>
  <si>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</si>
  <si>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</si>
  <si>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</si>
  <si>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</si>
  <si>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</si>
  <si>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</si>
  <si>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</si>
  <si>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</si>
  <si>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</si>
  <si>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</si>
  <si>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</si>
  <si>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</si>
  <si>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</si>
  <si>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</si>
  <si>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</si>
  <si>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</si>
  <si>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</si>
  <si>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</si>
  <si>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</si>
  <si>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</si>
  <si>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</si>
  <si>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</si>
  <si>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</si>
  <si>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</si>
  <si>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</si>
  <si>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</si>
  <si>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</si>
  <si>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</si>
  <si>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</si>
  <si>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</si>
  <si>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</si>
  <si>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</si>
  <si>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</si>
  <si>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</si>
  <si>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</si>
  <si>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</si>
  <si>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</si>
  <si>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</si>
  <si>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</si>
  <si>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</si>
  <si>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</si>
  <si>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</si>
  <si>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</si>
  <si>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</si>
  <si>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</si>
  <si>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</si>
  <si>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</si>
  <si>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</si>
  <si>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</si>
  <si>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</si>
  <si>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</si>
  <si>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</si>
  <si>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</si>
  <si>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</si>
  <si>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</si>
  <si>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</si>
  <si>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</si>
  <si>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</si>
  <si>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</si>
  <si>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</si>
  <si>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</si>
  <si>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</si>
  <si>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</si>
  <si>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</si>
  <si>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</si>
  <si>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</si>
  <si>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</si>
  <si>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</si>
  <si>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</si>
  <si>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</si>
  <si>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</si>
  <si>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</si>
  <si>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</si>
  <si>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</si>
  <si>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</si>
  <si>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</si>
  <si>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</si>
  <si>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</si>
  <si>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</si>
  <si>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</si>
  <si>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</si>
  <si>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</si>
  <si>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</si>
  <si>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</si>
  <si>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</si>
  <si>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</si>
  <si>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</si>
  <si>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</si>
  <si>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</si>
  <si>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</si>
  <si>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</si>
  <si>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</si>
  <si>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</si>
  <si>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</si>
  <si>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</si>
  <si>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</si>
  <si>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</si>
  <si>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</si>
  <si>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</si>
  <si>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</si>
  <si>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</si>
  <si>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</si>
  <si>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</si>
  <si>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</si>
  <si>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</si>
  <si>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</si>
  <si>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</si>
  <si>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</si>
  <si>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</si>
  <si>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</si>
  <si>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</si>
  <si>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</si>
  <si>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</si>
  <si>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</si>
  <si>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</si>
  <si>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</si>
  <si>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</si>
  <si>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</si>
  <si>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</si>
  <si>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</si>
  <si>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</si>
  <si>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</si>
  <si>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</si>
  <si>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</si>
  <si>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</si>
  <si>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</si>
  <si>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</si>
  <si>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</si>
  <si>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</si>
  <si>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</si>
  <si>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</si>
  <si>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</si>
  <si>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</si>
  <si>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</si>
  <si>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</si>
  <si>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</si>
  <si>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</si>
  <si>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</si>
  <si>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</si>
  <si>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</si>
  <si>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</si>
  <si>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</si>
  <si>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</si>
  <si>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</si>
  <si>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</si>
  <si>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</si>
  <si>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</si>
  <si>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</si>
  <si>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</si>
  <si>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</si>
  <si>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</si>
  <si>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</si>
  <si>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</si>
  <si>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</si>
  <si>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</si>
  <si>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</si>
  <si>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</si>
  <si>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</si>
  <si>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</si>
  <si>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</si>
  <si>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</si>
  <si>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</si>
  <si>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</si>
  <si>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</si>
  <si>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</si>
  <si>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</si>
  <si>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</si>
  <si>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</si>
  <si>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</si>
  <si>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</si>
  <si>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</si>
  <si>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</si>
  <si>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</si>
  <si>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</si>
  <si>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</si>
  <si>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</si>
  <si>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</si>
  <si>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</si>
  <si>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</si>
  <si>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</si>
  <si>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</si>
  <si>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</si>
  <si>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</si>
  <si>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</si>
  <si>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</si>
  <si>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</si>
  <si>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</si>
  <si>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</si>
  <si>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</si>
  <si>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</si>
  <si>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</si>
  <si>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</si>
  <si>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</si>
  <si>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</si>
  <si>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</si>
  <si>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</si>
  <si>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</si>
  <si>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</si>
  <si>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</si>
  <si>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</si>
  <si>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</si>
  <si>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</si>
  <si>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</si>
  <si>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</si>
  <si>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</si>
  <si>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</si>
  <si>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</si>
  <si>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</si>
  <si>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</si>
  <si>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</si>
  <si>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</si>
  <si>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</si>
  <si>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</si>
  <si>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</si>
  <si>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</si>
  <si>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</si>
  <si>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</si>
  <si>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</si>
  <si>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</si>
  <si>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</si>
  <si>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</si>
  <si>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</si>
  <si>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</si>
  <si>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</si>
  <si>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</si>
  <si>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</si>
  <si>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</si>
  <si>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</si>
  <si>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</si>
  <si>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</si>
  <si>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</si>
  <si>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</si>
  <si>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</si>
  <si>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</si>
  <si>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</si>
  <si>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</si>
  <si>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</si>
  <si>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</si>
  <si>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</si>
  <si>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</si>
  <si>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</si>
  <si>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</si>
  <si>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</si>
  <si>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</si>
  <si>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</si>
  <si>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</si>
  <si>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</si>
  <si>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</si>
  <si>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</si>
  <si>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</si>
  <si>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</si>
  <si>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</si>
  <si>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</si>
  <si>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</si>
  <si>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</si>
  <si>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</si>
  <si>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</si>
  <si>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</si>
  <si>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</si>
  <si>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</si>
  <si>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</si>
  <si>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</si>
  <si>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</si>
  <si>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</si>
  <si>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</si>
  <si>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</si>
  <si>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</si>
  <si>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</si>
  <si>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</si>
  <si>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</si>
  <si>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</si>
  <si>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</si>
  <si>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</si>
  <si>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</si>
  <si>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</si>
  <si>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</si>
  <si>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</si>
  <si>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</si>
  <si>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</si>
  <si>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</si>
  <si>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</si>
  <si>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</si>
  <si>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</si>
  <si>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</si>
  <si>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</si>
  <si>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</si>
  <si>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</si>
  <si>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</si>
  <si>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</si>
  <si>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</si>
  <si>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</si>
  <si>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</si>
  <si>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</si>
  <si>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</si>
  <si>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</si>
  <si>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</si>
  <si>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</si>
  <si>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</si>
  <si>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</si>
  <si>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</si>
  <si>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</si>
  <si>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</si>
  <si>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</si>
  <si>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</si>
  <si>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</si>
  <si>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</si>
  <si>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</si>
  <si>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</si>
  <si>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</si>
  <si>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</si>
  <si>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</si>
  <si>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</si>
  <si>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</si>
  <si>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</si>
  <si>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</si>
  <si>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</si>
  <si>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</si>
  <si>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</si>
  <si>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</si>
  <si>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</si>
  <si>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</si>
  <si>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</si>
  <si>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</si>
  <si>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</si>
  <si>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</si>
  <si>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</si>
  <si>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</si>
  <si>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</si>
  <si>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</si>
  <si>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</si>
  <si>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</si>
  <si>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</si>
  <si>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</si>
  <si>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</si>
  <si>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</si>
  <si>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</si>
  <si>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</si>
  <si>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</si>
  <si>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</si>
  <si>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</si>
  <si>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</si>
  <si>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</si>
  <si>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</si>
  <si>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</si>
  <si>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</si>
  <si>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</si>
  <si>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</si>
  <si>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</si>
  <si>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</si>
  <si>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</si>
  <si>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</si>
  <si>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</si>
  <si>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</si>
  <si>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</si>
  <si>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</si>
  <si>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</si>
  <si>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</si>
  <si>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</si>
  <si>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</si>
  <si>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</si>
  <si>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</si>
  <si>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</si>
  <si>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</si>
  <si>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</si>
  <si>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</si>
  <si>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</si>
  <si>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</si>
  <si>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</si>
  <si>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</si>
  <si>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</si>
  <si>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</si>
  <si>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</si>
  <si>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</si>
  <si>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</si>
  <si>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</si>
  <si>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</si>
  <si>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</si>
  <si>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</si>
  <si>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</si>
  <si>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</si>
  <si>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</si>
  <si>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</si>
  <si>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</si>
  <si>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</si>
  <si>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</si>
  <si>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</si>
  <si>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</si>
  <si>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</si>
  <si>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</si>
  <si>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</si>
  <si>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</si>
  <si>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</si>
  <si>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</si>
  <si>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</si>
  <si>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</si>
  <si>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</si>
  <si>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</si>
  <si>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</si>
  <si>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</si>
  <si>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</si>
  <si>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</si>
  <si>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</si>
  <si>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</si>
  <si>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</si>
  <si>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</si>
  <si>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</si>
  <si>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</si>
  <si>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</si>
  <si>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</si>
  <si>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</si>
  <si>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</si>
  <si>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</si>
  <si>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</si>
  <si>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</si>
  <si>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</si>
  <si>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</si>
  <si>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</si>
  <si>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</si>
  <si>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</si>
  <si>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</si>
  <si>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</si>
  <si>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</si>
  <si>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</si>
  <si>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</si>
  <si>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</si>
  <si>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</si>
  <si>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</si>
  <si>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</si>
  <si>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</si>
  <si>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</si>
  <si>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</si>
  <si>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</si>
  <si>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</si>
  <si>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</si>
  <si>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</si>
  <si>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</si>
  <si>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</si>
  <si>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</si>
  <si>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</si>
  <si>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</si>
  <si>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</si>
  <si>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</si>
  <si>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</si>
  <si>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</si>
  <si>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</si>
  <si>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</si>
  <si>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</si>
  <si>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</si>
  <si>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</si>
  <si>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</si>
  <si>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</si>
  <si>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</si>
  <si>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</si>
  <si>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</si>
  <si>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</si>
  <si>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</si>
  <si>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</si>
  <si>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</si>
  <si>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</si>
  <si>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</si>
  <si>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</si>
  <si>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</si>
  <si>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</si>
  <si>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</si>
  <si>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</si>
  <si>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</si>
  <si>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</si>
  <si>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</si>
  <si>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</si>
  <si>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</si>
  <si>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</si>
  <si>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</si>
  <si>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</si>
  <si>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</si>
  <si>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</si>
  <si>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</si>
  <si>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</si>
  <si>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</si>
  <si>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</si>
  <si>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</si>
  <si>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</si>
  <si>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</si>
  <si>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</si>
  <si>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</si>
  <si>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</si>
  <si>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</si>
  <si>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</si>
  <si>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</si>
  <si>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</si>
  <si>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</si>
  <si>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</si>
  <si>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</si>
  <si>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</si>
  <si>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</si>
  <si>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</si>
  <si>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</si>
  <si>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</si>
  <si>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</si>
  <si>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</si>
  <si>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</si>
  <si>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</si>
  <si>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</si>
  <si>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</si>
  <si>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</si>
  <si>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</si>
  <si>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</si>
  <si>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</si>
  <si>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</si>
  <si>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</si>
  <si>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</si>
  <si>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</si>
  <si>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</si>
  <si>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</si>
  <si>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</si>
  <si>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</si>
  <si>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</si>
  <si>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</si>
  <si>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</si>
  <si>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</si>
  <si>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</si>
  <si>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</si>
  <si>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</si>
  <si>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</si>
  <si>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</si>
  <si>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</si>
  <si>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</si>
  <si>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</si>
  <si>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</si>
  <si>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</si>
  <si>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</si>
  <si>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</si>
  <si>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</si>
  <si>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</si>
  <si>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</si>
  <si>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</si>
  <si>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</si>
  <si>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</si>
  <si>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</si>
  <si>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</si>
  <si>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</si>
  <si>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</si>
  <si>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</si>
  <si>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</si>
  <si>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</si>
  <si>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</si>
  <si>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</si>
  <si>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</si>
  <si>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</si>
  <si>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</si>
  <si>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</si>
  <si>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</si>
  <si>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</si>
  <si>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</si>
  <si>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</si>
  <si>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</si>
  <si>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</si>
  <si>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</si>
  <si>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</si>
  <si>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</si>
  <si>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</si>
  <si>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</si>
  <si>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</si>
  <si>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</si>
  <si>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</si>
  <si>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</si>
  <si>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</si>
  <si>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</si>
  <si>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</si>
  <si>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</si>
  <si>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</si>
  <si>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</si>
  <si>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</si>
  <si>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</si>
  <si>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</si>
  <si>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</si>
  <si>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</si>
  <si>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</si>
  <si>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</si>
  <si>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</si>
  <si>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</si>
  <si>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</si>
  <si>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</si>
  <si>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</si>
  <si>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</si>
  <si>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</si>
  <si>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</si>
  <si>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</si>
  <si>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</si>
  <si>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</si>
  <si>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</si>
  <si>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</si>
  <si>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</si>
  <si>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</si>
  <si>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</si>
  <si>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</si>
  <si>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</si>
  <si>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</si>
  <si>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</si>
  <si>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</si>
  <si>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</si>
  <si>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</si>
  <si>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</si>
  <si>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</si>
  <si>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</si>
  <si>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</si>
  <si>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</si>
  <si>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</si>
  <si>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</si>
  <si>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</si>
  <si>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</si>
  <si>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</si>
  <si>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</si>
  <si>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</si>
  <si>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</si>
  <si>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</si>
  <si>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</si>
  <si>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</si>
  <si>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</si>
  <si>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</si>
  <si>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</si>
  <si>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</si>
  <si>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</si>
  <si>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</si>
  <si>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</si>
  <si>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</si>
  <si>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</si>
  <si>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</si>
  <si>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</si>
  <si>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</si>
  <si>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</si>
  <si>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</si>
  <si>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</si>
  <si>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</si>
  <si>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</si>
  <si>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</si>
  <si>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</si>
  <si>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</si>
  <si>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</si>
  <si>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</si>
  <si>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</si>
  <si>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</si>
  <si>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</si>
  <si>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</si>
  <si>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</si>
  <si>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</si>
  <si>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</si>
  <si>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</si>
  <si>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</si>
  <si>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</si>
  <si>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</si>
  <si>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</si>
  <si>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</si>
  <si>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</si>
  <si>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</si>
  <si>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</si>
  <si>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</si>
  <si>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</si>
  <si>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</si>
  <si>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</si>
  <si>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</si>
  <si>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</si>
  <si>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</si>
  <si>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</si>
  <si>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</si>
  <si>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</si>
  <si>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</si>
  <si>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</si>
  <si>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</si>
  <si>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</si>
  <si>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</si>
  <si>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</si>
  <si>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</si>
  <si>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</si>
  <si>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</si>
  <si>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</si>
  <si>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</si>
  <si>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</si>
  <si>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</si>
  <si>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</si>
  <si>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</si>
  <si>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</si>
  <si>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</si>
  <si>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</si>
  <si>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</si>
  <si>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</si>
  <si>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</si>
  <si>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</si>
  <si>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</si>
  <si>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</si>
  <si>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</si>
  <si>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</si>
  <si>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</si>
  <si>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</si>
  <si>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</si>
  <si>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</si>
  <si>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</si>
  <si>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</si>
  <si>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</si>
  <si>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</si>
  <si>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</si>
  <si>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</si>
  <si>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</si>
  <si>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</si>
  <si>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</si>
  <si>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</si>
  <si>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</si>
  <si>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</si>
  <si>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</si>
  <si>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</si>
  <si>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</si>
  <si>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</si>
  <si>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</si>
  <si>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</si>
  <si>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</si>
  <si>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</si>
  <si>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</si>
  <si>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</si>
  <si>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</si>
  <si>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</si>
  <si>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</si>
  <si>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</si>
  <si>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</si>
  <si>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</si>
  <si>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</si>
  <si>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</si>
  <si>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</si>
  <si>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</si>
  <si>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</si>
  <si>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</si>
  <si>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</si>
  <si>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</si>
  <si>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</si>
  <si>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</si>
  <si>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</si>
  <si>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</si>
  <si>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</si>
  <si>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</si>
  <si>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</si>
  <si>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</si>
  <si>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</si>
  <si>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</si>
  <si>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</si>
  <si>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</si>
  <si>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</si>
  <si>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</si>
  <si>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</si>
  <si>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</si>
  <si>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</si>
  <si>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</si>
  <si>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</si>
  <si>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</si>
  <si>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</si>
  <si>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</si>
  <si>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</si>
  <si>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</si>
  <si>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</si>
  <si>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</si>
  <si>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</si>
  <si>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</si>
  <si>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</si>
  <si>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</si>
  <si>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</si>
  <si>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</si>
  <si>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</si>
  <si>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</si>
  <si>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</si>
  <si>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</si>
  <si>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</si>
  <si>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</si>
  <si>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</si>
  <si>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</si>
  <si>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</si>
  <si>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</si>
  <si>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</si>
  <si>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</si>
  <si>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</si>
  <si>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</si>
  <si>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</si>
  <si>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</si>
  <si>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</si>
  <si>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</si>
  <si>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</si>
  <si>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</si>
  <si>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</si>
  <si>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</si>
  <si>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</si>
  <si>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</si>
  <si>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</si>
  <si>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</si>
  <si>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</si>
  <si>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</si>
  <si>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</si>
  <si>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</si>
  <si>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</si>
  <si>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</si>
  <si>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</si>
  <si>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</si>
  <si>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</si>
  <si>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</si>
  <si>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</si>
  <si>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</si>
  <si>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</si>
  <si>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</si>
  <si>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</si>
  <si>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</si>
  <si>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</si>
  <si>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</si>
  <si>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</si>
  <si>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</si>
  <si>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</si>
  <si>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</si>
  <si>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</si>
  <si>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</si>
  <si>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</si>
  <si>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</si>
  <si>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</si>
  <si>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</si>
  <si>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</si>
  <si>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</si>
  <si>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</si>
  <si>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</si>
  <si>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</si>
  <si>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</si>
  <si>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</si>
  <si>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</si>
  <si>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</si>
  <si>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</si>
  <si>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</si>
  <si>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</si>
  <si>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</si>
  <si>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</si>
  <si>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</si>
  <si>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</si>
  <si>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</si>
  <si>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</si>
  <si>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</si>
  <si>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</si>
  <si>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</si>
  <si>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</si>
  <si>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</si>
  <si>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</si>
  <si>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</si>
  <si>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</si>
  <si>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</si>
  <si>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</si>
  <si>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</si>
  <si>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</si>
  <si>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</si>
  <si>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</si>
  <si>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</si>
  <si>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</si>
  <si>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</si>
  <si>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</si>
  <si>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</si>
  <si>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</si>
  <si>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</si>
  <si>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</si>
  <si>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</si>
  <si>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</si>
  <si>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</si>
  <si>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</si>
  <si>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</si>
  <si>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</si>
  <si>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</si>
  <si>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</si>
  <si>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</si>
  <si>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</si>
  <si>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</si>
  <si>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</si>
  <si>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</si>
  <si>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</si>
  <si>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</si>
  <si>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</si>
  <si>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</si>
  <si>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</si>
  <si>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</si>
  <si>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</si>
  <si>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</si>
  <si>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</si>
  <si>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</si>
  <si>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</si>
  <si>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</si>
  <si>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</si>
  <si>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</si>
  <si>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</si>
  <si>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</si>
  <si>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</si>
  <si>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</si>
  <si>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</si>
  <si>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</si>
  <si>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</si>
  <si>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</si>
  <si>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</si>
  <si>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</si>
  <si>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</si>
  <si>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</si>
  <si>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</si>
  <si>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</si>
  <si>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</si>
  <si>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</si>
  <si>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</si>
  <si>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</si>
  <si>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</si>
  <si>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</si>
  <si>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</si>
  <si>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</si>
  <si>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</si>
  <si>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</si>
  <si>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</si>
  <si>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</si>
  <si>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</si>
  <si>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</si>
  <si>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</si>
  <si>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</si>
  <si>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</si>
  <si>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</si>
  <si>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</si>
  <si>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</si>
  <si>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</si>
  <si>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</si>
  <si>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</si>
  <si>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</si>
  <si>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</si>
  <si>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</si>
  <si>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</si>
  <si>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</si>
  <si>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</si>
  <si>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</si>
  <si>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</si>
  <si>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</si>
  <si>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</si>
  <si>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</si>
  <si>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</si>
  <si>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</si>
  <si>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</si>
  <si>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</si>
  <si>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</si>
  <si>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</si>
  <si>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</si>
  <si>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</si>
  <si>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</si>
  <si>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</si>
  <si>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</si>
  <si>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</si>
  <si>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</si>
  <si>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</si>
  <si>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</si>
  <si>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</si>
  <si>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</si>
  <si>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</si>
  <si>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</si>
  <si>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</si>
  <si>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</si>
  <si>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</si>
  <si>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</si>
  <si>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</si>
  <si>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</si>
  <si>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</si>
  <si>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</si>
  <si>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</si>
  <si>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</si>
  <si>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</si>
  <si>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</si>
  <si>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</si>
  <si>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</si>
  <si>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</si>
  <si>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</si>
  <si>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</si>
  <si>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</si>
  <si>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</si>
  <si>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</si>
  <si>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</si>
  <si>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</si>
  <si>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</si>
  <si>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</si>
  <si>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</si>
  <si>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</si>
  <si>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</si>
  <si>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</si>
  <si>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</si>
  <si>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</si>
  <si>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</si>
  <si>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</si>
  <si>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</si>
  <si>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</si>
  <si>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</si>
  <si>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</si>
  <si>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</si>
  <si>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</si>
  <si>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</si>
  <si>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</si>
  <si>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</si>
  <si>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</si>
  <si>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</si>
  <si>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</si>
  <si>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</si>
  <si>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</si>
  <si>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</si>
  <si>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</si>
  <si>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</si>
  <si>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</si>
  <si>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</si>
  <si>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</si>
  <si>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</si>
  <si>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</si>
  <si>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</si>
  <si>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</si>
  <si>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</si>
  <si>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</si>
  <si>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</si>
  <si>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</si>
  <si>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</si>
  <si>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</si>
  <si>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</si>
  <si>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</si>
  <si>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</si>
  <si>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</si>
  <si>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</si>
  <si>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</si>
  <si>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</si>
  <si>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</si>
  <si>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</si>
  <si>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</si>
  <si>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</si>
  <si>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</si>
  <si>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</si>
  <si>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</si>
  <si>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</si>
  <si>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</si>
  <si>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</si>
  <si>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</si>
  <si>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</si>
  <si>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</si>
  <si>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</si>
  <si>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</si>
  <si>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</si>
  <si>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</si>
  <si>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</si>
  <si>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</si>
  <si>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</si>
  <si>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</si>
  <si>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</si>
  <si>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</si>
  <si>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</si>
  <si>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</si>
  <si>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</si>
  <si>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</si>
  <si>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</si>
  <si>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</si>
  <si>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</si>
  <si>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</si>
  <si>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</si>
  <si>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</si>
  <si>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</si>
  <si>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</si>
  <si>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</si>
  <si>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</si>
  <si>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</si>
  <si>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</si>
  <si>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</si>
  <si>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</si>
  <si>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</si>
  <si>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</si>
  <si>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</si>
  <si>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</si>
  <si>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</si>
  <si>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</si>
  <si>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</si>
  <si>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</si>
  <si>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</si>
  <si>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</si>
  <si>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</si>
  <si>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</si>
  <si>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</si>
  <si>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</si>
  <si>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</si>
  <si>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</si>
  <si>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</si>
  <si>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</si>
  <si>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</si>
  <si>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</si>
  <si>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</si>
  <si>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</si>
  <si>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</si>
  <si>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</si>
  <si>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</si>
  <si>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</si>
  <si>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</si>
  <si>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</si>
  <si>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</si>
  <si>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</si>
  <si>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</si>
  <si>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</si>
  <si>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</si>
  <si>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</si>
  <si>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</si>
  <si>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</si>
  <si>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</si>
  <si>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</si>
  <si>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</si>
  <si>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</si>
  <si>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</si>
  <si>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</si>
  <si>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</si>
  <si>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</si>
  <si>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</si>
  <si>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</si>
  <si>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</si>
  <si>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</si>
  <si>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</si>
  <si>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</si>
  <si>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</si>
  <si>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</si>
  <si>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</si>
  <si>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</si>
  <si>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</si>
  <si>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</si>
  <si>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</si>
  <si>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</si>
  <si>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</si>
  <si>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</si>
  <si>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</si>
  <si>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</si>
  <si>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</si>
  <si>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</si>
  <si>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</si>
  <si>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</si>
  <si>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</si>
  <si>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</si>
  <si>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</si>
  <si>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</si>
  <si>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</si>
  <si>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</si>
  <si>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</si>
  <si>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</si>
  <si>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</si>
  <si>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</si>
  <si>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</si>
  <si>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</si>
  <si>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</si>
  <si>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</si>
  <si>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</si>
  <si>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</si>
  <si>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</si>
  <si>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</si>
  <si>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</si>
  <si>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</si>
  <si>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</si>
  <si>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</si>
  <si>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</si>
  <si>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</si>
  <si>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</si>
  <si>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</si>
  <si>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</si>
  <si>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</si>
  <si>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</si>
  <si>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</si>
  <si>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</si>
  <si>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</si>
  <si>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</si>
  <si>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</si>
  <si>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</si>
  <si>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</si>
  <si>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</si>
  <si>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</si>
  <si>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</si>
  <si>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</si>
  <si>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</si>
  <si>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</si>
  <si>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</si>
  <si>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</si>
  <si>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</si>
  <si>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</si>
  <si>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</si>
  <si>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</si>
  <si>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</si>
  <si>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</si>
  <si>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</si>
  <si>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</si>
  <si>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</si>
  <si>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</si>
  <si>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</si>
  <si>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</si>
  <si>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</si>
  <si>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</si>
  <si>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</si>
  <si>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</si>
  <si>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</si>
  <si>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</si>
  <si>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</si>
  <si>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</si>
  <si>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</si>
  <si>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</si>
  <si>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</si>
  <si>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</si>
  <si>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</si>
  <si>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</si>
  <si>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</si>
  <si>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</si>
  <si>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</si>
  <si>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</si>
  <si>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</si>
  <si>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</si>
  <si>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</si>
  <si>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</si>
  <si>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</si>
  <si>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</si>
  <si>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</si>
  <si>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</si>
  <si>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</si>
  <si>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</si>
  <si>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</si>
  <si>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</si>
  <si>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</si>
  <si>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</si>
  <si>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</si>
  <si>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</si>
  <si>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</si>
  <si>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</si>
  <si>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</si>
  <si>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</si>
  <si>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</si>
  <si>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</si>
  <si>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</si>
  <si>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</si>
  <si>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</si>
  <si>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</si>
  <si>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</si>
  <si>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</si>
  <si>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</si>
  <si>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</si>
  <si>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</si>
  <si>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</si>
  <si>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</si>
  <si>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</si>
  <si>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</si>
  <si>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</si>
  <si>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</si>
  <si>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</si>
  <si>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</si>
  <si>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</si>
  <si>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</si>
  <si>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</si>
  <si>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</si>
  <si>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</si>
  <si>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</si>
  <si>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</si>
  <si>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</si>
  <si>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</si>
  <si>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</si>
  <si>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</si>
  <si>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</si>
  <si>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</si>
  <si>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</si>
  <si>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</si>
  <si>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</si>
  <si>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</si>
  <si>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</si>
  <si>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</si>
  <si>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</si>
  <si>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</si>
  <si>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</si>
  <si>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</si>
  <si>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</si>
  <si>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</si>
  <si>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</si>
  <si>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</si>
  <si>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</si>
  <si>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</si>
  <si>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</si>
  <si>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</si>
  <si>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</si>
  <si>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</si>
  <si>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</si>
  <si>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</si>
  <si>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</si>
  <si>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</si>
  <si>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</si>
  <si>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</si>
  <si>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</si>
  <si>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</si>
  <si>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</si>
  <si>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</si>
  <si>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</si>
  <si>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</si>
  <si>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</si>
  <si>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</si>
  <si>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</si>
  <si>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</si>
  <si>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</si>
  <si>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</si>
  <si>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</si>
  <si>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</si>
  <si>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</si>
  <si>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</si>
  <si>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</si>
  <si>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</si>
  <si>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</si>
  <si>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</si>
  <si>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</si>
  <si>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</si>
  <si>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</si>
  <si>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</si>
  <si>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</si>
  <si>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</si>
  <si>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</si>
  <si>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</si>
  <si>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</si>
  <si>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</si>
  <si>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</si>
  <si>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</si>
  <si>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</si>
  <si>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</si>
  <si>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</si>
  <si>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</si>
  <si>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</si>
  <si>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</si>
  <si>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</si>
  <si>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</si>
  <si>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</si>
  <si>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</si>
  <si>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</si>
  <si>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</si>
  <si>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</si>
  <si>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</si>
  <si>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</si>
  <si>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</si>
  <si>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</si>
  <si>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</si>
  <si>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</si>
  <si>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</si>
  <si>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</si>
  <si>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</si>
  <si>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</si>
  <si>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</si>
  <si>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</si>
  <si>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</si>
  <si>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</si>
  <si>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</si>
  <si>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</si>
  <si>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</si>
  <si>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</si>
  <si>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</si>
  <si>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</si>
  <si>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</si>
  <si>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</si>
  <si>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</si>
  <si>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</si>
  <si>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</si>
  <si>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</si>
  <si>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</si>
  <si>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</si>
  <si>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</si>
  <si>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</si>
  <si>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</si>
  <si>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</si>
  <si>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</si>
  <si>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</si>
  <si>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</si>
  <si>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</si>
  <si>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</si>
  <si>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</si>
  <si>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</si>
  <si>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</si>
  <si>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</si>
  <si>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</si>
  <si>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</si>
  <si>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</si>
  <si>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</si>
  <si>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</si>
  <si>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</si>
  <si>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</si>
  <si>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</si>
  <si>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</si>
  <si>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</si>
  <si>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</si>
  <si>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</si>
  <si>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</si>
  <si>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</si>
  <si>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</si>
  <si>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</si>
  <si>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</si>
  <si>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</si>
  <si>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</si>
  <si>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</si>
  <si>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</si>
  <si>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</si>
  <si>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</si>
  <si>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</si>
  <si>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</si>
  <si>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</si>
  <si>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</si>
  <si>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</si>
  <si>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</si>
  <si>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</si>
  <si>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</si>
  <si>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</si>
  <si>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</si>
  <si>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</si>
  <si>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</si>
  <si>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</si>
  <si>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</si>
  <si>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</si>
  <si>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</si>
  <si>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</si>
  <si>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</si>
  <si>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</si>
  <si>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</si>
  <si>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</si>
  <si>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</si>
  <si>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</si>
  <si>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</si>
  <si>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</si>
  <si>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</si>
  <si>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</si>
  <si>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</si>
  <si>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</si>
  <si>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</si>
  <si>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</si>
  <si>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</si>
  <si>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</si>
  <si>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</si>
  <si>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</si>
  <si>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</si>
  <si>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</si>
  <si>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</si>
  <si>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</si>
  <si>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</si>
  <si>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</si>
  <si>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</si>
  <si>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</si>
  <si>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</si>
  <si>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</si>
  <si>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</si>
  <si>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</si>
  <si>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</si>
  <si>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</si>
  <si>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</si>
  <si>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</si>
  <si>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</si>
  <si>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</si>
  <si>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</si>
  <si>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</si>
  <si>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</si>
  <si>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</si>
  <si>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</si>
  <si>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</si>
  <si>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</si>
  <si>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</si>
  <si>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</si>
  <si>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</si>
  <si>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</si>
  <si>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</si>
  <si>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</si>
  <si>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</si>
  <si>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</si>
  <si>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</si>
  <si>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</si>
  <si>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</si>
  <si>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</si>
  <si>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</si>
  <si>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</si>
  <si>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</si>
  <si>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</si>
  <si>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</si>
  <si>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</si>
  <si>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</si>
  <si>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</si>
  <si>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</si>
  <si>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</si>
  <si>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</si>
  <si>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</si>
  <si>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</si>
  <si>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</si>
  <si>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</si>
  <si>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</si>
  <si>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</si>
  <si>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</si>
  <si>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</si>
  <si>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</si>
  <si>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</si>
  <si>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</si>
  <si>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</si>
  <si>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</si>
  <si>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</si>
  <si>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</si>
  <si>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</si>
  <si>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</si>
  <si>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</si>
  <si>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</si>
  <si>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</si>
  <si>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</si>
  <si>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</si>
  <si>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</si>
  <si>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</si>
  <si>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</si>
  <si>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</si>
  <si>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</si>
  <si>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</si>
  <si>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</si>
  <si>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</si>
  <si>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</si>
  <si>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</si>
  <si>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</si>
  <si>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</si>
  <si>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</si>
  <si>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</si>
  <si>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</si>
  <si>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</si>
  <si>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</si>
  <si>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</si>
  <si>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</si>
  <si>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</si>
  <si>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</si>
  <si>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</si>
  <si>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</si>
  <si>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</si>
  <si>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</si>
  <si>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</si>
  <si>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</si>
  <si>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</si>
  <si>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</si>
  <si>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</si>
  <si>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</si>
  <si>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</si>
  <si>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</si>
  <si>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</si>
  <si>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</si>
  <si>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</si>
  <si>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</si>
  <si>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</si>
  <si>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</si>
  <si>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</si>
  <si>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</si>
  <si>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</si>
  <si>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</si>
  <si>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</si>
  <si>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</si>
  <si>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</si>
  <si>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</si>
  <si>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</si>
  <si>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</si>
  <si>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</si>
  <si>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</si>
  <si>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</si>
  <si>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</si>
  <si>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</si>
  <si>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</si>
  <si>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</si>
  <si>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</si>
  <si>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</si>
  <si>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</si>
  <si>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</si>
  <si>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</si>
  <si>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</si>
  <si>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</si>
  <si>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</si>
  <si>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</si>
  <si>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</si>
  <si>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</si>
  <si>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</si>
  <si>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</si>
  <si>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</si>
  <si>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</si>
  <si>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</si>
  <si>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</si>
  <si>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</si>
  <si>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</si>
  <si>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</si>
  <si>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</si>
  <si>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</si>
  <si>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</si>
  <si>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</si>
  <si>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</si>
  <si>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</si>
  <si>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</si>
  <si>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</si>
  <si>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</si>
  <si>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</si>
  <si>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</si>
  <si>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</si>
  <si>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</si>
  <si>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</si>
  <si>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</si>
  <si>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</si>
  <si>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</si>
  <si>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</si>
  <si>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</si>
  <si>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</si>
  <si>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</si>
  <si>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</si>
  <si>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</si>
  <si>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</si>
  <si>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</si>
  <si>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</si>
  <si>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</si>
  <si>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</si>
  <si>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</si>
  <si>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</si>
  <si>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</si>
  <si>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</si>
  <si>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</si>
  <si>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</si>
  <si>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</si>
  <si>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</si>
  <si>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</si>
  <si>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</si>
  <si>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</si>
  <si>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</si>
  <si>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</si>
  <si>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</si>
  <si>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</si>
  <si>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</si>
  <si>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</si>
  <si>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</si>
  <si>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</si>
  <si>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</si>
  <si>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</si>
  <si>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</si>
  <si>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</si>
  <si>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</si>
  <si>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</si>
  <si>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</si>
  <si>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</si>
  <si>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</si>
  <si>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</si>
  <si>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</si>
  <si>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</si>
  <si>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</si>
  <si>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</si>
  <si>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</si>
  <si>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</si>
  <si>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</si>
  <si>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</si>
  <si>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</si>
  <si>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</si>
  <si>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</si>
  <si>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</si>
  <si>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</si>
  <si>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</si>
  <si>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</si>
  <si>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</si>
  <si>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</si>
  <si>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</si>
  <si>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</si>
  <si>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</si>
  <si>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</si>
  <si>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</si>
  <si>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</si>
  <si>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</si>
  <si>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</si>
  <si>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</si>
  <si>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</si>
  <si>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</si>
  <si>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</si>
  <si>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</si>
  <si>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</si>
  <si>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</si>
  <si>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</si>
  <si>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</si>
  <si>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</si>
  <si>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</si>
  <si>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</si>
  <si>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</si>
  <si>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</si>
  <si>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</si>
  <si>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</si>
  <si>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</si>
  <si>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</si>
  <si>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</si>
  <si>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</si>
  <si>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</si>
  <si>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</si>
  <si>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</si>
  <si>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</si>
  <si>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</si>
  <si>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</si>
  <si>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</si>
  <si>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</si>
  <si>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</si>
  <si>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</si>
  <si>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</si>
  <si>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</si>
  <si>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</si>
  <si>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</si>
  <si>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</si>
  <si>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</si>
  <si>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</si>
  <si>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</si>
  <si>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</si>
  <si>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</si>
  <si>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</si>
  <si>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</si>
  <si>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</si>
  <si>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</si>
  <si>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</si>
  <si>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</si>
  <si>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</si>
  <si>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</si>
  <si>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</si>
  <si>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</si>
  <si>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</si>
  <si>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</si>
  <si>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</si>
  <si>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</si>
  <si>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</si>
  <si>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</si>
  <si>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</si>
  <si>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</si>
  <si>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</si>
  <si>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</si>
  <si>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</si>
  <si>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</si>
  <si>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</si>
  <si>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</si>
  <si>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</si>
  <si>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</si>
  <si>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</si>
  <si>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</si>
  <si>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</si>
  <si>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</si>
  <si>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</si>
  <si>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</si>
  <si>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</si>
  <si>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</si>
  <si>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</si>
  <si>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</si>
  <si>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</si>
  <si>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</si>
  <si>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</si>
  <si>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</si>
  <si>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</si>
  <si>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</si>
  <si>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</si>
  <si>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</si>
  <si>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</si>
  <si>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</si>
  <si>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</si>
  <si>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</si>
  <si>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</si>
  <si>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</si>
  <si>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</si>
  <si>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</si>
  <si>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</si>
  <si>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</si>
  <si>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</si>
  <si>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</si>
  <si>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</si>
  <si>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</si>
  <si>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</si>
  <si>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</si>
  <si>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</si>
  <si>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</si>
  <si>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</si>
  <si>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</si>
  <si>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</si>
  <si>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</si>
  <si>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</si>
  <si>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</si>
  <si>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</si>
  <si>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</si>
  <si>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</si>
  <si>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</si>
  <si>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</si>
  <si>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</si>
  <si>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</si>
  <si>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</si>
  <si>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</si>
  <si>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</si>
  <si>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</si>
  <si>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</si>
  <si>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</si>
  <si>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</si>
  <si>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</si>
  <si>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</si>
  <si>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</si>
  <si>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</si>
  <si>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</si>
  <si>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</si>
  <si>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</si>
  <si>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</si>
  <si>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</si>
  <si>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</si>
  <si>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</si>
  <si>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</si>
  <si>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</si>
  <si>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</si>
  <si>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</si>
  <si>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</si>
  <si>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</si>
  <si>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</si>
  <si>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</si>
  <si>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</si>
  <si>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</si>
  <si>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</si>
  <si>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</si>
  <si>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</si>
  <si>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</si>
  <si>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</si>
  <si>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</si>
  <si>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</si>
  <si>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</si>
  <si>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</si>
  <si>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</si>
  <si>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</si>
  <si>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</si>
  <si>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</si>
  <si>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</si>
  <si>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</si>
  <si>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</si>
  <si>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</si>
  <si>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</si>
  <si>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</si>
  <si>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</si>
  <si>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</si>
  <si>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</si>
  <si>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</si>
  <si>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</si>
  <si>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</si>
  <si>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</si>
  <si>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</si>
  <si>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</si>
  <si>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</si>
  <si>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</si>
  <si>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</si>
  <si>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</si>
  <si>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</si>
  <si>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</si>
  <si>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</si>
  <si>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</si>
  <si>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</si>
  <si>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</si>
  <si>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</si>
  <si>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</si>
  <si>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</si>
  <si>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</si>
  <si>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</si>
  <si>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</si>
  <si>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</si>
  <si>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</si>
  <si>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</si>
  <si>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</si>
  <si>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</si>
  <si>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</si>
  <si>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</si>
  <si>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</si>
  <si>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</si>
  <si>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</si>
  <si>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</si>
  <si>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</si>
  <si>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</si>
  <si>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</si>
  <si>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</si>
  <si>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</si>
  <si>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</si>
  <si>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</si>
  <si>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</si>
  <si>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</si>
  <si>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</si>
  <si>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</si>
  <si>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</si>
  <si>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</si>
  <si>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</si>
  <si>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</si>
  <si>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</si>
  <si>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</si>
  <si>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</si>
  <si>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</si>
  <si>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</si>
  <si>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</si>
  <si>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</si>
  <si>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</si>
  <si>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</si>
  <si>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</si>
  <si>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</si>
  <si>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</si>
  <si>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</si>
  <si>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</si>
  <si>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</si>
  <si>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</si>
  <si>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</si>
  <si>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</si>
  <si>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</si>
  <si>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</si>
  <si>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</si>
  <si>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</si>
  <si>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</si>
  <si>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</si>
  <si>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</si>
  <si>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</si>
  <si>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</si>
  <si>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</si>
  <si>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</si>
  <si>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</si>
  <si>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</si>
  <si>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</si>
  <si>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</si>
  <si>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</si>
  <si>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</si>
  <si>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</si>
  <si>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</si>
  <si>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</si>
  <si>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</si>
  <si>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</si>
  <si>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</si>
  <si>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</si>
  <si>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</si>
  <si>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</si>
  <si>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</si>
  <si>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</si>
  <si>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</si>
  <si>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</si>
  <si>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</si>
  <si>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</si>
  <si>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</si>
  <si>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</si>
  <si>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</si>
  <si>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</si>
  <si>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</si>
  <si>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</si>
  <si>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</si>
  <si>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</si>
  <si>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</si>
  <si>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</si>
  <si>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</si>
  <si>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</si>
  <si>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</si>
  <si>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</si>
  <si>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</si>
  <si>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</si>
  <si>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</si>
  <si>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</si>
  <si>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</si>
  <si>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</si>
  <si>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</si>
  <si>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</si>
  <si>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</si>
  <si>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</si>
  <si>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</si>
  <si>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</si>
  <si>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</si>
  <si>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</si>
  <si>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</si>
  <si>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</si>
  <si>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</si>
  <si>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</si>
  <si>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</si>
  <si>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</si>
  <si>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</si>
  <si>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</si>
  <si>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</si>
  <si>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</si>
  <si>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</si>
  <si>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</si>
  <si>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</si>
  <si>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</si>
  <si>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</si>
  <si>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</si>
  <si>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</si>
  <si>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</si>
  <si>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</si>
  <si>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</si>
  <si>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</si>
  <si>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</si>
  <si>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</si>
  <si>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</si>
  <si>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</si>
  <si>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</si>
  <si>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</si>
  <si>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</si>
  <si>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</si>
  <si>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</si>
  <si>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</si>
  <si>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</si>
  <si>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</si>
  <si>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</si>
  <si>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</si>
  <si>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</si>
  <si>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</si>
  <si>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</si>
  <si>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</si>
  <si>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</si>
  <si>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</si>
  <si>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</si>
  <si>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</si>
  <si>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</si>
  <si>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</si>
  <si>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</si>
  <si>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</si>
  <si>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</si>
  <si>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</si>
  <si>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</si>
  <si>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</si>
  <si>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</si>
  <si>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</si>
  <si>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</si>
  <si>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</si>
  <si>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</si>
  <si>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</si>
  <si>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</si>
  <si>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</si>
  <si>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</si>
  <si>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</si>
  <si>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</si>
  <si>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</si>
  <si>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</si>
  <si>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</si>
  <si>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</si>
  <si>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</si>
  <si>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</si>
  <si>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</si>
  <si>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</si>
  <si>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</si>
  <si>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</si>
  <si>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</si>
  <si>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</si>
  <si>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</si>
  <si>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</si>
  <si>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</si>
  <si>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</si>
  <si>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</si>
  <si>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</si>
  <si>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</si>
  <si>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</si>
  <si>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</si>
  <si>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</si>
  <si>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</si>
  <si>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</si>
  <si>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</si>
  <si>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</si>
  <si>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</si>
  <si>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</si>
  <si>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</si>
  <si>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</si>
  <si>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</si>
  <si>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</si>
  <si>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</si>
  <si>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</si>
  <si>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</si>
  <si>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</si>
  <si>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</si>
  <si>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</si>
  <si>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</si>
  <si>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</si>
  <si>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</si>
  <si>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</si>
  <si>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</si>
  <si>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</si>
  <si>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</si>
  <si>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</si>
  <si>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</si>
  <si>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</si>
  <si>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</si>
  <si>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</si>
  <si>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</si>
  <si>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</si>
  <si>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</si>
  <si>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</si>
  <si>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</si>
  <si>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</si>
  <si>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</si>
  <si>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</si>
  <si>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</si>
  <si>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</si>
  <si>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</si>
  <si>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</si>
  <si>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</si>
  <si>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</si>
  <si>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</si>
  <si>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</si>
  <si>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</si>
  <si>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</si>
  <si>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</si>
  <si>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</si>
  <si>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</si>
  <si>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</si>
  <si>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</si>
  <si>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</si>
  <si>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</si>
  <si>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</si>
  <si>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</si>
  <si>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</si>
  <si>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</si>
  <si>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</si>
  <si>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</si>
  <si>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</si>
  <si>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</si>
  <si>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</si>
  <si>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</si>
  <si>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</si>
  <si>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</si>
  <si>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</si>
  <si>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</si>
  <si>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</si>
  <si>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</si>
  <si>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</si>
  <si>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</si>
  <si>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</si>
  <si>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</si>
  <si>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</si>
  <si>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</si>
  <si>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</si>
  <si>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</si>
  <si>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</si>
  <si>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</si>
  <si>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</si>
  <si>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</si>
  <si>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</si>
  <si>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</si>
  <si>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</si>
  <si>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</si>
  <si>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</si>
  <si>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</si>
  <si>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</si>
  <si>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</si>
  <si>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</si>
  <si>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</si>
  <si>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</si>
  <si>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</si>
  <si>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</si>
  <si>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</si>
  <si>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</si>
  <si>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</si>
  <si>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</si>
  <si>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</si>
  <si>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</si>
  <si>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</si>
  <si>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</si>
  <si>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</si>
  <si>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</si>
  <si>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</si>
  <si>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</si>
  <si>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</si>
  <si>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</si>
  <si>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</si>
  <si>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</si>
  <si>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</si>
  <si>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</si>
  <si>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</si>
  <si>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</si>
  <si>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</si>
  <si>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</si>
  <si>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</si>
  <si>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</si>
  <si>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</si>
  <si>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</si>
  <si>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</si>
  <si>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</si>
  <si>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</si>
  <si>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</si>
  <si>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</si>
  <si>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</si>
  <si>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</si>
  <si>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</si>
  <si>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</si>
  <si>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</si>
  <si>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</si>
  <si>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</si>
  <si>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</si>
  <si>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</si>
  <si>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</si>
  <si>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</si>
  <si>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</si>
  <si>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</si>
  <si>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</si>
  <si>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</si>
  <si>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</si>
  <si>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</si>
  <si>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</si>
  <si>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</si>
  <si>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</si>
  <si>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</si>
  <si>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</si>
  <si>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</si>
  <si>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</si>
  <si>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</si>
  <si>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</si>
  <si>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</si>
  <si>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</si>
  <si>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</si>
  <si>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</si>
  <si>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</si>
  <si>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</si>
  <si>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</si>
  <si>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</si>
  <si>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</si>
  <si>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</si>
  <si>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</si>
  <si>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</si>
  <si>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</si>
  <si>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</si>
  <si>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</si>
  <si>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</si>
  <si>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</si>
  <si>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</si>
  <si>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</si>
  <si>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</si>
  <si>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</si>
  <si>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</si>
  <si>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</si>
  <si>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</si>
  <si>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</si>
  <si>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</si>
  <si>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</si>
  <si>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</si>
  <si>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</si>
  <si>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</si>
  <si>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</si>
  <si>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</si>
  <si>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</si>
  <si>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</si>
  <si>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</si>
  <si>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</si>
  <si>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</si>
  <si>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</si>
  <si>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</si>
  <si>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</si>
  <si>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</si>
  <si>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</si>
  <si>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</si>
  <si>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</si>
  <si>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</si>
  <si>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</si>
  <si>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</si>
  <si>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</si>
  <si>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</si>
  <si>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</si>
  <si>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</si>
  <si>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</si>
  <si>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</si>
  <si>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</si>
  <si>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</si>
  <si>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</si>
  <si>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</si>
  <si>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</si>
  <si>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</si>
  <si>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</si>
  <si>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</si>
  <si>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</si>
  <si>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</si>
  <si>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</si>
  <si>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</si>
  <si>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</si>
  <si>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</si>
  <si>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</si>
  <si>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</si>
  <si>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</si>
  <si>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</si>
  <si>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</si>
  <si>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</si>
  <si>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</si>
  <si>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</si>
  <si>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</si>
  <si>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</si>
  <si>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</si>
  <si>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</si>
  <si>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</si>
  <si>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</si>
  <si>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</si>
  <si>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</si>
  <si>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</si>
  <si>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</si>
  <si>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</si>
  <si>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</si>
  <si>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</si>
  <si>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</si>
  <si>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</si>
  <si>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</si>
  <si>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</si>
  <si>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</si>
  <si>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</si>
  <si>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</si>
  <si>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</si>
  <si>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</si>
  <si>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</si>
  <si>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</si>
  <si>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</si>
  <si>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</si>
  <si>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</si>
  <si>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</si>
  <si>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</si>
  <si>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</si>
  <si>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</si>
  <si>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</si>
  <si>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</si>
  <si>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</si>
  <si>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</si>
  <si>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</si>
  <si>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</si>
  <si>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</si>
  <si>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</si>
  <si>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</si>
  <si>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</si>
  <si>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</si>
  <si>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</si>
  <si>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</si>
  <si>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</si>
  <si>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</si>
  <si>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</si>
  <si>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</si>
  <si>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</si>
  <si>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</si>
  <si>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</si>
  <si>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</si>
  <si>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</si>
  <si>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</si>
  <si>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</si>
  <si>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</si>
  <si>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</si>
  <si>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</si>
  <si>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</si>
  <si>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</si>
  <si>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</si>
  <si>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</si>
  <si>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</si>
  <si>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</si>
  <si>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</si>
  <si>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</si>
  <si>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</si>
  <si>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</si>
  <si>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</si>
  <si>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</si>
  <si>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</si>
  <si>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</si>
  <si>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</si>
  <si>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</si>
  <si>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</si>
  <si>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</si>
  <si>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</si>
  <si>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</si>
  <si>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</si>
  <si>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</si>
  <si>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</si>
  <si>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</si>
  <si>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</si>
  <si>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</si>
  <si>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</si>
  <si>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</si>
  <si>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</si>
  <si>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</si>
  <si>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</si>
  <si>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</si>
  <si>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</si>
  <si>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</si>
  <si>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</si>
  <si>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</si>
  <si>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</si>
  <si>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</si>
  <si>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</si>
  <si>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</si>
  <si>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</si>
  <si>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</si>
  <si>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</si>
  <si>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</si>
  <si>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</si>
  <si>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</si>
  <si>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</si>
  <si>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</si>
  <si>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</si>
  <si>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</si>
  <si>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</si>
  <si>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</si>
  <si>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</si>
  <si>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</si>
  <si>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</si>
  <si>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</si>
  <si>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</si>
  <si>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</si>
  <si>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</si>
  <si>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</si>
  <si>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</si>
  <si>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</si>
  <si>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</si>
  <si>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</si>
  <si>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</si>
  <si>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</si>
  <si>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</si>
  <si>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</si>
  <si>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</si>
  <si>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</si>
  <si>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</si>
  <si>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</si>
  <si>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</si>
  <si>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</si>
  <si>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</si>
  <si>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</si>
  <si>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</si>
  <si>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</si>
  <si>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</si>
  <si>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</si>
  <si>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</si>
  <si>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</si>
  <si>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</si>
  <si>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</si>
  <si>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</si>
  <si>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</si>
  <si>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</si>
  <si>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</si>
  <si>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</si>
  <si>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</si>
  <si>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</si>
  <si>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</si>
  <si>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</si>
  <si>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</si>
  <si>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</si>
  <si>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</si>
  <si>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</si>
  <si>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</si>
  <si>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</si>
  <si>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</si>
  <si>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</si>
  <si>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</si>
  <si>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</si>
  <si>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</si>
  <si>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</si>
  <si>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</si>
  <si>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</si>
  <si>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</si>
  <si>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</si>
  <si>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</si>
  <si>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</si>
  <si>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</si>
  <si>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</si>
  <si>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</si>
  <si>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</si>
  <si>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</si>
  <si>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</si>
  <si>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</si>
  <si>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</si>
  <si>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</si>
  <si>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</si>
  <si>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</si>
  <si>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</si>
  <si>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</si>
  <si>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</si>
  <si>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</si>
  <si>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</si>
  <si>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</si>
  <si>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</si>
  <si>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</si>
  <si>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</si>
  <si>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</si>
  <si>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</si>
  <si>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</si>
  <si>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</si>
  <si>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</si>
  <si>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</si>
  <si>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</si>
  <si>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</si>
  <si>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</si>
  <si>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</si>
  <si>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</si>
  <si>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</si>
  <si>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</si>
  <si>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</si>
  <si>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</si>
  <si>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</si>
  <si>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</si>
  <si>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</si>
  <si>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</si>
  <si>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</si>
  <si>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</si>
  <si>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</si>
  <si>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</si>
  <si>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</si>
  <si>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</si>
  <si>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</si>
  <si>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</si>
  <si>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</si>
  <si>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</si>
  <si>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</si>
  <si>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</si>
  <si>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</si>
  <si>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</si>
  <si>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</si>
  <si>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</si>
  <si>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</si>
  <si>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</si>
  <si>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</si>
  <si>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</si>
  <si>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</si>
  <si>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</si>
  <si>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</si>
  <si>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</si>
  <si>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</si>
  <si>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</si>
  <si>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</si>
  <si>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</si>
  <si>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</si>
  <si>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</si>
  <si>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</si>
  <si>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</si>
  <si>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</si>
  <si>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</si>
  <si>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</si>
  <si>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</si>
  <si>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</si>
  <si>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</si>
  <si>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</si>
  <si>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</si>
  <si>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</si>
  <si>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</si>
  <si>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</si>
  <si>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</si>
  <si>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</si>
  <si>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</si>
  <si>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</si>
  <si>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</si>
  <si>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</si>
  <si>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</si>
  <si>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</si>
  <si>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</si>
  <si>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</si>
  <si>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</si>
  <si>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</si>
  <si>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</si>
  <si>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</si>
  <si>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</si>
  <si>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</si>
  <si>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</si>
  <si>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</si>
  <si>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</si>
  <si>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</si>
  <si>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</si>
  <si>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</si>
  <si>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</si>
  <si>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</si>
  <si>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</si>
  <si>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</si>
  <si>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</si>
  <si>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</si>
  <si>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</si>
  <si>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</si>
  <si>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</si>
  <si>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</si>
  <si>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</si>
  <si>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</si>
  <si>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</si>
  <si>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</si>
  <si>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</si>
  <si>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</si>
  <si>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</si>
  <si>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</si>
  <si>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</si>
  <si>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</si>
  <si>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</si>
  <si>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</si>
  <si>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</si>
  <si>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</si>
  <si>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</si>
  <si>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</si>
  <si>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</si>
  <si>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</si>
  <si>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</si>
  <si>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</si>
  <si>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</si>
  <si>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</si>
  <si>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</si>
  <si>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</si>
  <si>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</si>
  <si>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</si>
  <si>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</si>
  <si>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</si>
  <si>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</si>
  <si>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</si>
  <si>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</si>
  <si>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</si>
  <si>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</si>
  <si>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</si>
  <si>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</si>
  <si>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</si>
  <si>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</si>
  <si>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</si>
  <si>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</si>
  <si>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</si>
  <si>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</si>
  <si>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</si>
  <si>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</si>
  <si>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</si>
  <si>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</si>
  <si>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</si>
  <si>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</si>
  <si>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</si>
  <si>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</si>
  <si>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</si>
  <si>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</si>
  <si>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</si>
  <si>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</si>
  <si>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</si>
  <si>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</si>
  <si>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</si>
  <si>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</si>
  <si>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</si>
  <si>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</si>
  <si>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</si>
  <si>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</si>
  <si>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</si>
  <si>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</si>
  <si>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</si>
  <si>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</si>
  <si>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</si>
  <si>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</si>
  <si>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</si>
  <si>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</si>
  <si>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</si>
  <si>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</si>
  <si>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</si>
  <si>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</si>
  <si>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</si>
  <si>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</si>
  <si>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</si>
  <si>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</si>
  <si>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</si>
  <si>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</si>
  <si>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</si>
  <si>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</si>
  <si>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</si>
  <si>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</si>
  <si>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</si>
  <si>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</si>
  <si>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</si>
  <si>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</si>
  <si>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</si>
  <si>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</si>
  <si>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</si>
  <si>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</si>
  <si>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</si>
  <si>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</si>
  <si>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</si>
  <si>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</si>
  <si>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</si>
  <si>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</si>
  <si>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</si>
  <si>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</si>
  <si>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</si>
  <si>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</si>
  <si>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</si>
  <si>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</si>
  <si>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</si>
  <si>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</si>
  <si>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</si>
  <si>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</si>
  <si>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</si>
  <si>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</si>
  <si>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</si>
  <si>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</si>
  <si>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</si>
  <si>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</si>
  <si>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</si>
  <si>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</si>
  <si>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</si>
  <si>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</si>
  <si>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</si>
  <si>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</si>
  <si>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</si>
  <si>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</si>
  <si>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</si>
  <si>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</si>
  <si>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</si>
  <si>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</si>
  <si>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</si>
  <si>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</si>
  <si>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</si>
  <si>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</si>
  <si>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</si>
  <si>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</si>
  <si>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</si>
  <si>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</si>
  <si>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</si>
  <si>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</si>
  <si>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</si>
  <si>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</si>
  <si>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</si>
  <si>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</si>
  <si>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</si>
  <si>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</si>
  <si>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</si>
  <si>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</si>
  <si>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</si>
  <si>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</si>
  <si>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</si>
  <si>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</si>
  <si>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</si>
  <si>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</si>
  <si>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</si>
  <si>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</si>
  <si>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</si>
  <si>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</si>
  <si>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</si>
  <si>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</si>
  <si>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</si>
  <si>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</si>
  <si>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</si>
  <si>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</si>
  <si>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</si>
  <si>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</si>
  <si>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</si>
  <si>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</si>
  <si>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</si>
  <si>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</si>
  <si>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</si>
  <si>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</si>
  <si>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</si>
  <si>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</si>
  <si>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</si>
  <si>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</si>
  <si>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</si>
  <si>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</si>
  <si>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</si>
  <si>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</si>
  <si>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</si>
  <si>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</si>
  <si>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</si>
  <si>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</si>
  <si>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</si>
  <si>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</si>
  <si>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</si>
  <si>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</si>
  <si>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</si>
  <si>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</si>
  <si>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</si>
  <si>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</si>
  <si>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</si>
  <si>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</si>
  <si>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</si>
  <si>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</si>
  <si>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</si>
  <si>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</si>
  <si>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</si>
  <si>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</si>
  <si>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</si>
  <si>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</si>
  <si>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</si>
  <si>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</si>
  <si>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</si>
  <si>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</si>
  <si>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</si>
  <si>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</si>
  <si>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</si>
  <si>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</si>
  <si>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</si>
  <si>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</si>
  <si>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</si>
  <si>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</si>
  <si>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</si>
  <si>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</si>
  <si>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</si>
  <si>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</si>
  <si>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</si>
  <si>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</si>
  <si>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</si>
  <si>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</si>
  <si>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</si>
  <si>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</si>
  <si>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</si>
  <si>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</si>
  <si>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</si>
  <si>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</si>
  <si>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</si>
  <si>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</si>
  <si>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</si>
  <si>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</si>
  <si>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</si>
  <si>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</si>
  <si>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</si>
  <si>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</si>
  <si>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</si>
  <si>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</si>
  <si>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</si>
  <si>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</si>
  <si>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</si>
  <si>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</si>
  <si>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</si>
  <si>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</si>
  <si>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</si>
  <si>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</si>
  <si>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</si>
  <si>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</si>
  <si>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</si>
  <si>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</si>
  <si>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</si>
  <si>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</si>
  <si>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</si>
  <si>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</si>
  <si>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</si>
  <si>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</si>
  <si>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</si>
  <si>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</si>
  <si>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</si>
  <si>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</si>
  <si>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</si>
  <si>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</si>
  <si>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</si>
  <si>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</si>
  <si>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</si>
  <si>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</si>
  <si>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</si>
  <si>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</si>
  <si>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</si>
  <si>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</si>
  <si>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</si>
  <si>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</si>
  <si>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</si>
  <si>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</si>
  <si>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</si>
  <si>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</si>
  <si>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</si>
  <si>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</si>
  <si>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</si>
  <si>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</si>
  <si>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</si>
  <si>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</si>
  <si>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</si>
  <si>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</si>
  <si>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</si>
  <si>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</si>
  <si>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</si>
  <si>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</si>
  <si>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</si>
  <si>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</si>
  <si>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</si>
  <si>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</si>
  <si>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</si>
  <si>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</si>
  <si>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</si>
  <si>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</si>
  <si>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</si>
  <si>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</si>
  <si>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</si>
  <si>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</si>
  <si>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</si>
  <si>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</si>
  <si>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</si>
  <si>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</si>
  <si>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</si>
  <si>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</si>
  <si>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</si>
  <si>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</si>
  <si>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</si>
  <si>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</si>
  <si>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</si>
  <si>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</si>
  <si>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</si>
  <si>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</si>
  <si>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</si>
  <si>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</si>
  <si>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</si>
  <si>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</si>
  <si>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</si>
  <si>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</si>
  <si>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</si>
  <si>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</si>
  <si>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</si>
  <si>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</si>
  <si>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</si>
  <si>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</si>
  <si>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</si>
  <si>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</si>
  <si>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</si>
  <si>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</si>
  <si>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</si>
  <si>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</si>
  <si>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</si>
  <si>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</si>
  <si>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</si>
  <si>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</si>
  <si>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</si>
  <si>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</si>
  <si>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</si>
  <si>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</si>
  <si>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</si>
  <si>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</si>
  <si>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</si>
  <si>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</si>
  <si>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</si>
  <si>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</si>
  <si>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</si>
  <si>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</si>
  <si>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</si>
  <si>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</si>
  <si>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</si>
  <si>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</si>
  <si>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</si>
  <si>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</si>
  <si>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</si>
  <si>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</si>
  <si>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</si>
  <si>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</si>
  <si>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</si>
  <si>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</si>
  <si>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</si>
  <si>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</si>
  <si>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</si>
  <si>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</si>
  <si>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</si>
  <si>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</si>
  <si>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</si>
  <si>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</si>
  <si>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</si>
  <si>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</si>
  <si>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</si>
  <si>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</si>
  <si>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</si>
  <si>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</si>
  <si>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</si>
  <si>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</si>
  <si>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</si>
  <si>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</si>
  <si>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</si>
  <si>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</si>
  <si>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</si>
  <si>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</si>
  <si>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</si>
  <si>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</si>
  <si>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</si>
  <si>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</si>
  <si>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</si>
  <si>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</si>
  <si>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</si>
  <si>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</si>
  <si>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</si>
  <si>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</si>
  <si>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</si>
  <si>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</si>
  <si>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</si>
  <si>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</si>
  <si>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</si>
  <si>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</si>
  <si>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</si>
  <si>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</si>
  <si>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</si>
  <si>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</si>
  <si>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</si>
  <si>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</si>
  <si>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</si>
  <si>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</si>
  <si>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</si>
  <si>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</si>
  <si>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</si>
  <si>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</si>
  <si>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</si>
  <si>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</si>
  <si>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</si>
  <si>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</si>
  <si>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</si>
  <si>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</si>
  <si>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</si>
  <si>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</si>
  <si>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</si>
  <si>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</si>
  <si>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</si>
  <si>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</si>
  <si>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</si>
  <si>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</si>
  <si>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</si>
  <si>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</si>
  <si>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</si>
  <si>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</si>
  <si>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</si>
  <si>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</si>
  <si>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</si>
  <si>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</si>
  <si>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</si>
  <si>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</si>
  <si>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</si>
  <si>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</si>
  <si>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</si>
  <si>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</si>
  <si>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</si>
  <si>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</si>
  <si>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</si>
  <si>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</si>
  <si>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</si>
  <si>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</si>
  <si>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</si>
  <si>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</si>
  <si>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</si>
  <si>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</si>
  <si>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</si>
  <si>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</si>
  <si>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</si>
  <si>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</si>
  <si>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</si>
  <si>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</si>
  <si>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</si>
  <si>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</si>
  <si>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</si>
  <si>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</si>
  <si>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</si>
  <si>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</si>
  <si>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</si>
  <si>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</si>
  <si>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</si>
  <si>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</si>
  <si>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</si>
  <si>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</si>
  <si>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</si>
  <si>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</si>
  <si>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</si>
  <si>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</si>
  <si>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</si>
  <si>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</si>
  <si>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</si>
  <si>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</si>
  <si>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</si>
  <si>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</si>
  <si>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</si>
  <si>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</si>
  <si>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</si>
  <si>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</si>
  <si>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</si>
  <si>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</si>
  <si>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</si>
  <si>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</si>
  <si>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</si>
  <si>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</si>
  <si>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</si>
  <si>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</si>
  <si>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</si>
  <si>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</si>
  <si>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</si>
  <si>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</si>
  <si>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</si>
  <si>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</si>
  <si>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</si>
  <si>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</si>
  <si>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</si>
  <si>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</si>
  <si>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</si>
  <si>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</si>
  <si>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</si>
  <si>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</si>
  <si>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</si>
  <si>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</si>
  <si>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</si>
  <si>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</si>
  <si>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</si>
  <si>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</si>
  <si>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</si>
  <si>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</si>
  <si>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</si>
  <si>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</si>
  <si>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</si>
  <si>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</si>
  <si>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</si>
  <si>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</si>
  <si>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</si>
  <si>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</si>
  <si>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</si>
  <si>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</si>
  <si>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</si>
  <si>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</si>
  <si>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</si>
  <si>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</si>
  <si>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</si>
  <si>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</si>
  <si>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</si>
  <si>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</si>
  <si>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</si>
  <si>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</si>
  <si>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</si>
  <si>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</si>
  <si>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</si>
  <si>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</si>
  <si>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</si>
  <si>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</si>
  <si>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</si>
  <si>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</si>
  <si>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</si>
  <si>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</si>
  <si>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</si>
  <si>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</si>
  <si>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</si>
  <si>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</si>
  <si>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</si>
  <si>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</si>
  <si>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</si>
  <si>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</si>
  <si>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</si>
  <si>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</si>
  <si>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</si>
  <si>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</si>
  <si>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</si>
  <si>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</si>
  <si>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</si>
  <si>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</si>
  <si>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</si>
  <si>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</si>
  <si>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</si>
  <si>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</si>
  <si>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</si>
  <si>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</si>
  <si>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</si>
  <si>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</si>
  <si>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</si>
  <si>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</si>
  <si>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</si>
  <si>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</si>
  <si>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</si>
  <si>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</si>
  <si>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</si>
  <si>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</si>
  <si>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</si>
  <si>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</si>
  <si>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</si>
  <si>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</si>
  <si>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</si>
  <si>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</si>
  <si>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</si>
  <si>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</si>
  <si>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</si>
  <si>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</si>
  <si>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</si>
  <si>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</si>
  <si>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</si>
  <si>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</si>
  <si>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</si>
  <si>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</si>
  <si>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</si>
  <si>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</si>
  <si>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</si>
  <si>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</si>
  <si>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</si>
  <si>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</si>
  <si>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</si>
  <si>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</si>
  <si>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</si>
  <si>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</si>
  <si>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</si>
  <si>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</si>
  <si>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</si>
  <si>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</si>
  <si>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</si>
  <si>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</si>
  <si>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</si>
  <si>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</si>
  <si>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</si>
  <si>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</si>
  <si>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</si>
  <si>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</si>
  <si>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</si>
  <si>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</si>
  <si>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</si>
  <si>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</si>
  <si>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</si>
  <si>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</si>
  <si>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</si>
  <si>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</si>
  <si>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</si>
  <si>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</si>
  <si>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</si>
  <si>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</si>
  <si>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</si>
  <si>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</si>
  <si>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</si>
  <si>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</si>
  <si>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</si>
  <si>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</si>
  <si>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</si>
  <si>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</si>
  <si>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</si>
  <si>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</si>
  <si>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</si>
  <si>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</si>
  <si>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</si>
  <si>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</si>
  <si>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</si>
  <si>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</si>
  <si>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</si>
  <si>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</si>
  <si>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</si>
  <si>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</si>
  <si>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</si>
  <si>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</si>
  <si>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</si>
  <si>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</si>
  <si>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</si>
  <si>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</si>
  <si>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</si>
  <si>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</si>
  <si>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</si>
  <si>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</si>
  <si>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</si>
  <si>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</si>
  <si>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</si>
  <si>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</si>
  <si>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</si>
  <si>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</si>
  <si>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</si>
  <si>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</si>
  <si>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</si>
  <si>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</si>
  <si>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</si>
  <si>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</si>
  <si>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</si>
  <si>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</si>
  <si>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</si>
  <si>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</si>
  <si>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</si>
  <si>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</si>
  <si>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</si>
  <si>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</si>
  <si>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</si>
  <si>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</si>
  <si>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</si>
  <si>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</si>
  <si>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</si>
  <si>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</si>
  <si>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</si>
  <si>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</si>
  <si>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</si>
  <si>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</si>
  <si>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</si>
  <si>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</si>
  <si>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</si>
  <si>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</si>
  <si>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</si>
  <si>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</si>
  <si>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</si>
  <si>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</si>
  <si>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</si>
  <si>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</si>
  <si>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</si>
  <si>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</si>
  <si>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</si>
  <si>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</si>
  <si>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</si>
  <si>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</si>
  <si>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</si>
  <si>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</si>
  <si>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</si>
  <si>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</si>
  <si>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</si>
  <si>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</si>
  <si>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</si>
  <si>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</si>
  <si>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</si>
  <si>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</si>
  <si>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</si>
  <si>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</si>
  <si>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</si>
  <si>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</si>
  <si>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</si>
  <si>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</si>
  <si>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</si>
  <si>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</si>
  <si>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</si>
  <si>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</si>
  <si>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</si>
  <si>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</si>
  <si>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</si>
  <si>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</si>
  <si>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</si>
  <si>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</si>
  <si>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</si>
  <si>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</si>
  <si>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</si>
  <si>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</si>
  <si>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</si>
  <si>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</si>
  <si>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</si>
  <si>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</si>
  <si>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</si>
  <si>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</si>
  <si>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</si>
  <si>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</si>
  <si>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</si>
  <si>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</si>
  <si>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</si>
  <si>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</si>
  <si>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</si>
  <si>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</si>
  <si>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</si>
  <si>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</si>
  <si>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</si>
  <si>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</si>
  <si>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</si>
  <si>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</si>
  <si>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</si>
  <si>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</si>
  <si>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</si>
  <si>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</si>
  <si>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</si>
  <si>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</si>
  <si>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</si>
  <si>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</si>
  <si>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</si>
  <si>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</si>
  <si>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</si>
  <si>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</si>
  <si>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</si>
  <si>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</si>
  <si>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</si>
  <si>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</si>
  <si>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</si>
  <si>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</si>
  <si>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</si>
  <si>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</si>
  <si>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</si>
  <si>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</si>
  <si>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</si>
  <si>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</si>
  <si>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</si>
  <si>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</si>
  <si>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</si>
  <si>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</si>
  <si>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</si>
  <si>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</si>
  <si>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</si>
  <si>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</si>
  <si>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</si>
  <si>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</si>
  <si>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</si>
  <si>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</si>
  <si>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</si>
  <si>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</si>
  <si>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</si>
  <si>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</si>
  <si>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</si>
  <si>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</si>
  <si>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</si>
  <si>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</si>
  <si>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</si>
  <si>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</si>
  <si>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</si>
  <si>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</si>
  <si>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</si>
  <si>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</si>
  <si>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</si>
  <si>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</si>
  <si>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</si>
  <si>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</si>
  <si>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</si>
  <si>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</si>
  <si>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</si>
  <si>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</si>
  <si>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</si>
  <si>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</si>
  <si>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</si>
  <si>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</si>
  <si>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</si>
  <si>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</si>
  <si>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</si>
  <si>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</si>
  <si>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</si>
  <si>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</si>
  <si>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</si>
  <si>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</si>
  <si>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</si>
  <si>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</si>
  <si>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</si>
  <si>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</si>
  <si>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</si>
  <si>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</si>
  <si>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</si>
  <si>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</si>
  <si>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</si>
  <si>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</si>
  <si>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</si>
  <si>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</si>
  <si>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</si>
  <si>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</si>
  <si>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</si>
  <si>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</si>
  <si>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</si>
  <si>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</si>
  <si>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</si>
  <si>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</si>
  <si>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</si>
  <si>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</si>
  <si>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</si>
  <si>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</si>
  <si>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</si>
  <si>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</si>
  <si>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</si>
  <si>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</si>
  <si>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</si>
  <si>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</si>
  <si>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</si>
  <si>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</si>
  <si>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</si>
  <si>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</si>
  <si>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</si>
  <si>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</si>
  <si>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</si>
  <si>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</si>
  <si>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</si>
  <si>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</si>
  <si>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</si>
  <si>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</si>
  <si>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</si>
  <si>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</si>
  <si>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</si>
  <si>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</si>
  <si>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</si>
  <si>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</si>
  <si>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</si>
  <si>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</si>
  <si>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</si>
  <si>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</si>
  <si>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</si>
  <si>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</si>
  <si>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</si>
  <si>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</si>
  <si>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</si>
  <si>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</si>
  <si>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</si>
  <si>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</si>
  <si>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</si>
  <si>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</si>
  <si>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</si>
  <si>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</si>
  <si>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</si>
  <si>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</si>
  <si>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</si>
  <si>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</si>
  <si>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</si>
  <si>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</si>
  <si>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</si>
  <si>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</si>
  <si>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</si>
  <si>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</si>
  <si>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</si>
  <si>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</si>
  <si>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</si>
  <si>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</si>
  <si>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</si>
  <si>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</si>
  <si>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</si>
  <si>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</si>
  <si>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</si>
  <si>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</si>
  <si>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</si>
  <si>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</si>
  <si>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</si>
  <si>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</si>
  <si>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</si>
  <si>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</si>
  <si>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</si>
  <si>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</si>
  <si>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</si>
  <si>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</si>
  <si>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</si>
  <si>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</si>
  <si>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</si>
  <si>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</si>
  <si>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</si>
  <si>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</si>
  <si>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</si>
  <si>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</si>
  <si>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</si>
  <si>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</si>
  <si>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</si>
  <si>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</si>
  <si>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</si>
  <si>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</si>
  <si>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</si>
  <si>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</si>
  <si>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</si>
  <si>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</si>
  <si>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</si>
  <si>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</si>
  <si>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</si>
  <si>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</si>
  <si>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</si>
  <si>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</si>
  <si>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</si>
  <si>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</si>
  <si>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</si>
  <si>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</si>
  <si>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</si>
  <si>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</si>
  <si>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</si>
  <si>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</si>
  <si>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</si>
  <si>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</si>
  <si>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</si>
  <si>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</si>
  <si>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</si>
  <si>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</si>
  <si>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</si>
  <si>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</si>
  <si>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</si>
  <si>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</si>
  <si>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</si>
  <si>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</si>
  <si>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</si>
  <si>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</si>
  <si>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</si>
  <si>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</si>
  <si>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</si>
  <si>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</si>
  <si>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</si>
  <si>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</si>
  <si>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</si>
  <si>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</si>
  <si>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</si>
  <si>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</si>
  <si>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</si>
  <si>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</si>
  <si>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</si>
  <si>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</si>
  <si>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</si>
  <si>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</si>
  <si>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</si>
  <si>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</si>
  <si>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</si>
  <si>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</si>
  <si>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</si>
  <si>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</si>
  <si>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</si>
  <si>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</si>
  <si>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</si>
  <si>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</si>
  <si>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</si>
  <si>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</si>
  <si>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</si>
  <si>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</si>
  <si>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</si>
  <si>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</si>
  <si>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</si>
  <si>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</si>
  <si>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</si>
  <si>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</si>
  <si>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</si>
  <si>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</si>
  <si>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</si>
  <si>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</si>
  <si>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</si>
  <si>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</si>
  <si>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</si>
  <si>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</si>
  <si>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</si>
  <si>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</si>
  <si>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</si>
  <si>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</si>
  <si>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</si>
  <si>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</si>
  <si>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</si>
  <si>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</si>
  <si>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</si>
  <si>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</si>
  <si>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</si>
  <si>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</si>
  <si>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</si>
  <si>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</si>
  <si>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</si>
  <si>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</si>
  <si>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</si>
  <si>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</si>
  <si>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</si>
  <si>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</si>
  <si>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</si>
  <si>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</si>
  <si>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</si>
  <si>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</si>
  <si>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</si>
  <si>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</si>
  <si>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</si>
  <si>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</si>
  <si>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</si>
  <si>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</si>
  <si>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</si>
  <si>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</si>
  <si>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</si>
  <si>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</si>
  <si>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</si>
  <si>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</si>
  <si>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</si>
  <si>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</si>
  <si>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</si>
  <si>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</si>
  <si>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</si>
  <si>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</si>
  <si>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</si>
  <si>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</si>
  <si>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</si>
  <si>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</si>
  <si>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</si>
  <si>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</si>
  <si>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</si>
  <si>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</si>
  <si>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</si>
  <si>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</si>
  <si>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</si>
  <si>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</si>
  <si>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</si>
  <si>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</si>
  <si>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</si>
  <si>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</si>
  <si>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</si>
  <si>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</si>
  <si>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</si>
  <si>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</si>
  <si>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</si>
  <si>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</si>
  <si>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</si>
  <si>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</si>
  <si>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</si>
  <si>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</si>
  <si>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</si>
  <si>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</si>
  <si>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</si>
  <si>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</si>
  <si>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</si>
  <si>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</si>
  <si>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</si>
  <si>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</si>
  <si>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</si>
  <si>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</si>
  <si>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</si>
  <si>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</si>
  <si>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</si>
  <si>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</si>
  <si>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</si>
  <si>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</si>
  <si>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</si>
  <si>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</si>
  <si>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</si>
  <si>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</si>
  <si>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</si>
  <si>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</si>
  <si>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</si>
  <si>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</si>
  <si>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</si>
  <si>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</si>
  <si>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</si>
  <si>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</si>
  <si>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</si>
  <si>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</si>
  <si>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</si>
  <si>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</si>
  <si>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</si>
  <si>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</si>
  <si>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</si>
  <si>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</si>
  <si>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</si>
  <si>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</si>
  <si>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</si>
  <si>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</si>
  <si>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</si>
  <si>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</si>
  <si>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</si>
  <si>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</si>
  <si>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</si>
  <si>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</si>
  <si>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</si>
  <si>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</si>
  <si>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</si>
  <si>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</si>
  <si>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</si>
  <si>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</si>
  <si>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</si>
  <si>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</si>
  <si>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</si>
  <si>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</si>
  <si>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</si>
  <si>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</si>
  <si>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</si>
  <si>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</si>
  <si>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</si>
  <si>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</si>
  <si>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</si>
  <si>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</si>
  <si>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</si>
  <si>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</si>
  <si>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</si>
  <si>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</si>
  <si>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</si>
  <si>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</si>
  <si>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</si>
  <si>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</si>
  <si>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</si>
  <si>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</si>
  <si>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</si>
  <si>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</si>
  <si>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</si>
  <si>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</si>
  <si>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</si>
  <si>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</si>
  <si>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</si>
  <si>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</si>
  <si>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</si>
  <si>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</si>
  <si>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</si>
  <si>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</si>
  <si>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</si>
  <si>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</si>
  <si>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</si>
  <si>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</si>
  <si>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</si>
  <si>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</si>
  <si>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</si>
  <si>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</si>
  <si>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</si>
  <si>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</si>
  <si>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</si>
  <si>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</si>
  <si>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</si>
  <si>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</si>
  <si>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</si>
  <si>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</si>
  <si>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</si>
  <si>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</si>
  <si>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</si>
  <si>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</si>
  <si>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</si>
  <si>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</si>
  <si>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</si>
  <si>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</si>
  <si>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</si>
  <si>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</si>
  <si>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</si>
  <si>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</si>
  <si>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</si>
  <si>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</si>
  <si>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</si>
  <si>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</si>
  <si>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</si>
  <si>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</si>
  <si>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</si>
  <si>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</si>
  <si>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</si>
  <si>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</si>
  <si>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</si>
  <si>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</si>
  <si>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</si>
  <si>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</si>
  <si>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</si>
  <si>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</si>
  <si>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</si>
  <si>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</si>
  <si>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</si>
  <si>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</si>
  <si>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</si>
  <si>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</si>
  <si>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</si>
  <si>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</si>
  <si>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</si>
  <si>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</si>
  <si>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</si>
  <si>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</si>
  <si>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</si>
  <si>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</si>
  <si>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</si>
  <si>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</si>
  <si>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</si>
  <si>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</si>
  <si>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</si>
  <si>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</si>
  <si>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</si>
  <si>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</si>
  <si>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</si>
  <si>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</si>
  <si>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</si>
  <si>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</si>
  <si>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</si>
  <si>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</si>
  <si>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</si>
  <si>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</si>
  <si>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</si>
  <si>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</si>
  <si>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</si>
  <si>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</si>
  <si>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</si>
  <si>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</si>
  <si>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</si>
  <si>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</si>
  <si>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</si>
  <si>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</si>
  <si>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</si>
  <si>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</si>
  <si>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</si>
  <si>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</si>
  <si>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</si>
  <si>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</si>
  <si>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</si>
  <si>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</si>
  <si>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</si>
  <si>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</si>
  <si>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</si>
  <si>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</si>
  <si>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</si>
  <si>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</si>
  <si>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</si>
  <si>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</si>
  <si>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</si>
  <si>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</si>
  <si>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</si>
  <si>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</si>
  <si>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</si>
  <si>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</si>
  <si>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</si>
  <si>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</si>
  <si>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</si>
  <si>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</si>
  <si>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</si>
  <si>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</si>
  <si>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</si>
  <si>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</si>
  <si>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</si>
  <si>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</si>
  <si>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</si>
  <si>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</si>
  <si>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</si>
  <si>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</si>
  <si>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</si>
  <si>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</si>
  <si>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</si>
  <si>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</si>
  <si>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</si>
  <si>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</si>
  <si>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</si>
  <si>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</si>
  <si>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</si>
  <si>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</si>
  <si>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</si>
  <si>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</si>
  <si>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</si>
  <si>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</si>
  <si>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</si>
  <si>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</si>
  <si>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</si>
  <si>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</si>
  <si>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</si>
  <si>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</si>
  <si>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</si>
  <si>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</si>
  <si>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</si>
  <si>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</si>
  <si>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</si>
  <si>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</si>
  <si>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</si>
  <si>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</si>
  <si>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</si>
  <si>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</si>
  <si>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</si>
  <si>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</si>
  <si>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</si>
  <si>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</si>
  <si>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</si>
  <si>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</si>
  <si>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</si>
  <si>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</si>
  <si>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</si>
  <si>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</si>
  <si>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</si>
  <si>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</si>
  <si>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</si>
  <si>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</si>
  <si>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</si>
  <si>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</si>
  <si>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</si>
  <si>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</si>
  <si>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</si>
  <si>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</si>
  <si>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</si>
  <si>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</si>
  <si>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</si>
  <si>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</si>
  <si>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</si>
  <si>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</si>
  <si>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</si>
  <si>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</si>
  <si>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</si>
  <si>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</si>
  <si>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</si>
  <si>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</si>
  <si>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</si>
  <si>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</si>
  <si>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</si>
  <si>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</si>
  <si>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</si>
  <si>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</si>
  <si>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</si>
  <si>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</si>
  <si>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</si>
  <si>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</si>
  <si>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</si>
  <si>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</si>
  <si>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</si>
  <si>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</si>
  <si>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</si>
  <si>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</si>
  <si>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</si>
  <si>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</si>
  <si>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</si>
  <si>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</si>
  <si>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</si>
  <si>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</si>
  <si>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</si>
  <si>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</si>
  <si>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</si>
  <si>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</si>
  <si>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</si>
  <si>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</si>
  <si>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</si>
  <si>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</si>
  <si>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</si>
  <si>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</si>
  <si>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</si>
  <si>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</si>
  <si>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</si>
  <si>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</si>
  <si>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</si>
  <si>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</si>
  <si>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</si>
  <si>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</si>
  <si>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</si>
  <si>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</si>
  <si>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</si>
  <si>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</si>
  <si>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</si>
  <si>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</si>
  <si>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</si>
  <si>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</si>
  <si>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</si>
  <si>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</si>
  <si>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</si>
  <si>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</si>
  <si>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</si>
  <si>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</si>
  <si>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</si>
  <si>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</si>
  <si>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</si>
  <si>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</si>
  <si>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</si>
  <si>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</si>
  <si>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</si>
  <si>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</si>
  <si>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</si>
  <si>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</si>
  <si>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</si>
  <si>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</si>
  <si>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</si>
  <si>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</si>
  <si>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</si>
  <si>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</si>
  <si>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</si>
  <si>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</si>
  <si>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</si>
  <si>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</si>
  <si>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</si>
  <si>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</si>
  <si>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</si>
  <si>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</si>
  <si>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</si>
  <si>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</si>
  <si>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</si>
  <si>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</si>
  <si>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</si>
  <si>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</si>
  <si>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</si>
  <si>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</si>
  <si>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</si>
  <si>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</si>
  <si>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</si>
  <si>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</si>
  <si>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</si>
  <si>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</si>
  <si>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</si>
  <si>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</si>
  <si>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</si>
  <si>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</si>
  <si>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</si>
  <si>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</si>
  <si>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</si>
  <si>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</si>
  <si>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</si>
  <si>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</si>
  <si>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</si>
  <si>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</si>
  <si>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</si>
  <si>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</si>
  <si>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</si>
  <si>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</si>
  <si>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</si>
  <si>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</si>
  <si>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</si>
  <si>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</si>
  <si>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</si>
  <si>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</si>
  <si>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</si>
  <si>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</si>
  <si>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</si>
  <si>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</si>
  <si>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</si>
  <si>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</si>
  <si>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</si>
  <si>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</si>
  <si>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</si>
  <si>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</si>
  <si>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</si>
  <si>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</si>
  <si>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</si>
  <si>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</si>
  <si>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</si>
  <si>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</si>
  <si>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</si>
  <si>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</si>
  <si>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</si>
  <si>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</si>
  <si>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</si>
  <si>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</si>
  <si>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</si>
  <si>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</si>
  <si>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</si>
  <si>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</si>
  <si>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</si>
  <si>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</si>
  <si>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</si>
  <si>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</si>
  <si>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</si>
  <si>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</si>
  <si>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</si>
  <si>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</si>
  <si>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</si>
  <si>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</si>
  <si>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</si>
  <si>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</si>
  <si>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</si>
  <si>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</si>
  <si>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</si>
  <si>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</si>
  <si>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</si>
  <si>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</si>
  <si>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</si>
  <si>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</si>
  <si>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</si>
  <si>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</si>
  <si>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</si>
  <si>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</si>
  <si>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</si>
  <si>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</si>
  <si>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</si>
  <si>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</si>
  <si>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</si>
  <si>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</si>
  <si>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</si>
  <si>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</si>
  <si>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</si>
  <si>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</si>
  <si>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</si>
  <si>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</si>
  <si>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</si>
  <si>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</si>
  <si>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</si>
  <si>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</si>
  <si>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</si>
  <si>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</si>
  <si>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</si>
  <si>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</si>
  <si>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</si>
  <si>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</si>
  <si>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</si>
  <si>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</si>
  <si>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</si>
  <si>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</si>
  <si>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</si>
  <si>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</si>
  <si>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</si>
  <si>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</si>
  <si>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</si>
  <si>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</si>
  <si>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</si>
  <si>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</si>
  <si>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</si>
  <si>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</si>
  <si>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</si>
  <si>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</si>
  <si>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</si>
  <si>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</si>
  <si>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</si>
  <si>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</si>
  <si>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</si>
  <si>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</si>
  <si>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</si>
  <si>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</si>
  <si>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</si>
  <si>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</si>
  <si>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</si>
  <si>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</si>
  <si>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</si>
  <si>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</si>
  <si>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</si>
  <si>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</si>
  <si>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</si>
  <si>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</si>
  <si>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</si>
  <si>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</si>
  <si>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</si>
  <si>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</si>
  <si>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</si>
  <si>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</si>
  <si>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</si>
  <si>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</si>
  <si>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</si>
  <si>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</si>
  <si>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</si>
  <si>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</si>
  <si>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</si>
  <si>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</si>
  <si>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</si>
  <si>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</si>
  <si>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</si>
  <si>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</si>
  <si>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</si>
  <si>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</si>
  <si>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</si>
  <si>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</si>
  <si>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</si>
  <si>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</si>
  <si>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</si>
  <si>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</si>
  <si>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</si>
  <si>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</si>
  <si>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</si>
  <si>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</si>
  <si>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</si>
  <si>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</si>
  <si>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</si>
  <si>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</si>
  <si>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</si>
  <si>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</si>
  <si>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</si>
  <si>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</si>
  <si>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</si>
  <si>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</si>
  <si>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</si>
  <si>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</si>
  <si>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</si>
  <si>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</si>
  <si>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</si>
  <si>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</si>
  <si>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</si>
  <si>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</si>
  <si>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</si>
  <si>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</si>
  <si>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</si>
  <si>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</si>
  <si>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</si>
  <si>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</si>
  <si>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</si>
  <si>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</si>
  <si>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</si>
  <si>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</si>
  <si>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</si>
  <si>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</si>
  <si>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</si>
  <si>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</si>
  <si>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</si>
  <si>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</si>
  <si>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</si>
  <si>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</si>
  <si>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</si>
  <si>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</si>
  <si>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</si>
  <si>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</si>
  <si>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</si>
  <si>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</si>
  <si>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</si>
  <si>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</si>
  <si>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</si>
  <si>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</si>
  <si>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</si>
  <si>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</si>
  <si>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</si>
  <si>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</si>
  <si>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</si>
  <si>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</si>
  <si>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</si>
  <si>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</si>
  <si>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</si>
  <si>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</si>
  <si>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</si>
  <si>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</si>
  <si>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</si>
  <si>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</si>
  <si>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</si>
  <si>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</si>
  <si>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</si>
  <si>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</si>
  <si>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</si>
  <si>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</si>
  <si>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</si>
  <si>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</si>
  <si>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</si>
  <si>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</si>
  <si>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</si>
  <si>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</si>
  <si>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</si>
  <si>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</si>
  <si>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</si>
  <si>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</si>
  <si>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</si>
  <si>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</si>
  <si>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</si>
  <si>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</si>
  <si>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</si>
  <si>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</si>
  <si>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</si>
  <si>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</si>
  <si>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</si>
  <si>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</si>
  <si>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</si>
  <si>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</si>
  <si>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</si>
  <si>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</si>
  <si>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</si>
  <si>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</si>
  <si>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</si>
  <si>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</si>
  <si>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</si>
  <si>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</si>
  <si>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</si>
  <si>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</si>
  <si>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</si>
  <si>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</si>
  <si>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</si>
  <si>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</si>
  <si>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</si>
  <si>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</si>
  <si>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</si>
  <si>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</si>
  <si>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</si>
  <si>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</si>
  <si>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</si>
  <si>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</si>
  <si>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</si>
  <si>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</si>
  <si>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</si>
  <si>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</si>
  <si>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</si>
  <si>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</si>
  <si>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</si>
  <si>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</si>
  <si>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</si>
  <si>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</si>
  <si>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</si>
  <si>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</si>
  <si>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</si>
  <si>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</si>
  <si>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</si>
  <si>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</si>
  <si>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</si>
  <si>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</si>
  <si>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</si>
  <si>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</si>
  <si>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</si>
  <si>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</si>
  <si>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</si>
  <si>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</si>
  <si>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</si>
  <si>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</si>
  <si>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</si>
  <si>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</si>
  <si>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</si>
  <si>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</si>
  <si>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</si>
  <si>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</si>
  <si>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</si>
  <si>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</si>
  <si>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</si>
  <si>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</si>
  <si>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</si>
  <si>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</si>
  <si>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</si>
  <si>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</si>
  <si>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</si>
  <si>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</si>
  <si>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</si>
  <si>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</si>
  <si>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</si>
  <si>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</si>
  <si>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</si>
  <si>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</si>
  <si>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</si>
  <si>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</si>
  <si>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</si>
  <si>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</si>
  <si>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</si>
  <si>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</si>
  <si>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</si>
  <si>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</si>
  <si>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</si>
  <si>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</si>
  <si>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</si>
  <si>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</si>
  <si>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</si>
  <si>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</si>
  <si>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</si>
  <si>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</si>
  <si>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</si>
  <si>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</si>
  <si>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</si>
  <si>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</si>
  <si>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</si>
  <si>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</si>
  <si>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</si>
  <si>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</si>
  <si>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</si>
  <si>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</si>
  <si>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</si>
  <si>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</si>
  <si>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</si>
  <si>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</si>
  <si>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</si>
  <si>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</si>
  <si>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</si>
  <si>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</si>
  <si>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</si>
  <si>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</si>
  <si>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</si>
  <si>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</si>
  <si>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</si>
  <si>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</si>
  <si>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</si>
  <si>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</si>
  <si>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</si>
  <si>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</si>
  <si>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</si>
  <si>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</si>
  <si>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</si>
  <si>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</si>
  <si>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</si>
  <si>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</si>
  <si>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</si>
  <si>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</si>
  <si>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</si>
  <si>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</si>
  <si>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</si>
  <si>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</si>
  <si>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</si>
  <si>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</si>
  <si>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</si>
  <si>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</si>
  <si>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</si>
  <si>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</si>
  <si>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</si>
  <si>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</si>
  <si>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</si>
  <si>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</si>
  <si>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</si>
  <si>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</si>
  <si>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</si>
  <si>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</si>
  <si>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</si>
  <si>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</si>
  <si>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</si>
  <si>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</si>
  <si>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</si>
  <si>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</si>
  <si>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</si>
  <si>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</si>
  <si>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</si>
  <si>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</si>
  <si>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</si>
  <si>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</si>
  <si>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</si>
  <si>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</si>
  <si>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</si>
  <si>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</si>
  <si>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</si>
  <si>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</si>
  <si>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</si>
  <si>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</si>
  <si>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</si>
  <si>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</si>
  <si>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</si>
  <si>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</si>
  <si>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</si>
  <si>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</si>
  <si>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</si>
  <si>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</si>
  <si>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</si>
  <si>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</si>
  <si>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</si>
  <si>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</si>
  <si>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</si>
  <si>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</si>
  <si>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</si>
  <si>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</si>
  <si>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</si>
  <si>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</si>
  <si>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</si>
  <si>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</si>
  <si>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</si>
  <si>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</si>
  <si>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</si>
  <si>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</si>
  <si>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</si>
  <si>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</si>
  <si>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</si>
  <si>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</si>
  <si>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</si>
  <si>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</si>
  <si>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</si>
  <si>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</si>
  <si>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</si>
  <si>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</si>
  <si>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</si>
  <si>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</si>
  <si>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</si>
  <si>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</si>
  <si>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</si>
  <si>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</si>
  <si>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</si>
  <si>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</si>
  <si>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</si>
  <si>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</si>
  <si>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</si>
  <si>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</si>
  <si>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</si>
  <si>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</si>
  <si>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</si>
  <si>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</si>
  <si>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</si>
  <si>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</si>
  <si>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</si>
  <si>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</si>
  <si>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</si>
  <si>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</si>
  <si>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</si>
  <si>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</si>
  <si>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</si>
  <si>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</si>
  <si>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</si>
  <si>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</si>
  <si>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</si>
  <si>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</si>
  <si>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</si>
  <si>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</si>
  <si>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</si>
  <si>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</si>
  <si>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</si>
  <si>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</si>
  <si>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</si>
  <si>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</si>
  <si>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</si>
  <si>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</si>
  <si>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</si>
  <si>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</si>
  <si>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</si>
  <si>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</si>
  <si>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</si>
  <si>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</si>
  <si>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</si>
  <si>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</si>
  <si>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</si>
  <si>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</si>
  <si>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</si>
  <si>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</si>
  <si>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</si>
  <si>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</si>
  <si>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</si>
  <si>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</si>
  <si>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</si>
  <si>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</si>
  <si>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</si>
  <si>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</si>
  <si>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</si>
  <si>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</si>
  <si>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</si>
  <si>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</si>
  <si>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</si>
  <si>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</si>
  <si>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</si>
  <si>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</si>
  <si>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</si>
  <si>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</si>
  <si>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</si>
  <si>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</si>
  <si>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</si>
  <si>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</si>
  <si>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</si>
  <si>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</si>
  <si>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</si>
  <si>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</si>
  <si>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</si>
  <si>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</si>
  <si>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</si>
  <si>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</si>
  <si>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</si>
  <si>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</si>
  <si>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</si>
  <si>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</si>
  <si>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</si>
  <si>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</si>
  <si>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</si>
  <si>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</si>
  <si>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</si>
  <si>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</si>
  <si>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</si>
  <si>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</si>
  <si>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</si>
  <si>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</si>
  <si>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</si>
  <si>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</si>
  <si>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</si>
  <si>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</si>
  <si>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</si>
  <si>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</si>
  <si>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</si>
  <si>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</si>
  <si>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</si>
  <si>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</si>
  <si>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</si>
  <si>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</si>
  <si>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</si>
  <si>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</si>
  <si>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</si>
  <si>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</si>
  <si>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</si>
  <si>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</si>
  <si>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</si>
  <si>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</si>
  <si>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</si>
  <si>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</si>
  <si>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</si>
  <si>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</si>
  <si>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</si>
  <si>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</si>
  <si>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</si>
  <si>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</si>
  <si>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</si>
  <si>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</si>
  <si>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</si>
  <si>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</si>
  <si>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</si>
  <si>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</si>
  <si>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</si>
  <si>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</si>
  <si>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</si>
  <si>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</si>
  <si>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</si>
  <si>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</si>
  <si>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</si>
  <si>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</si>
  <si>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</si>
  <si>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</si>
  <si>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</si>
  <si>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</si>
  <si>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</si>
  <si>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</si>
  <si>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</si>
  <si>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</si>
  <si>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</si>
  <si>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</si>
  <si>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</si>
  <si>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</si>
  <si>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</si>
  <si>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</si>
  <si>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</si>
  <si>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</si>
  <si>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</si>
  <si>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</si>
  <si>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</si>
  <si>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</si>
  <si>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</si>
  <si>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</si>
  <si>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</si>
  <si>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</si>
  <si>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</si>
  <si>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</si>
  <si>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</si>
  <si>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</si>
  <si>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</si>
  <si>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</si>
  <si>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</si>
  <si>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</si>
  <si>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</si>
  <si>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</si>
  <si>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</si>
  <si>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</si>
  <si>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</si>
  <si>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</si>
  <si>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</si>
  <si>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</si>
  <si>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</si>
  <si>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</si>
  <si>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</si>
  <si>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</si>
  <si>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</si>
  <si>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</si>
  <si>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</si>
  <si>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</si>
  <si>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</si>
  <si>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</si>
  <si>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</si>
  <si>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</si>
  <si>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</si>
  <si>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</si>
  <si>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</si>
  <si>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</si>
  <si>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</si>
  <si>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</si>
  <si>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</si>
  <si>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</si>
  <si>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</si>
  <si>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</si>
  <si>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</si>
  <si>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</si>
  <si>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</si>
  <si>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</si>
  <si>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</si>
  <si>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</si>
  <si>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</si>
  <si>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</si>
  <si>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</si>
  <si>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</si>
  <si>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</si>
  <si>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</si>
  <si>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</si>
  <si>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</si>
  <si>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</si>
  <si>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</si>
  <si>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</si>
  <si>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</si>
  <si>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</si>
  <si>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</si>
  <si>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</si>
  <si>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</si>
  <si>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</si>
  <si>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</si>
  <si>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</si>
  <si>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</si>
  <si>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</si>
  <si>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</si>
  <si>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</si>
  <si>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</si>
  <si>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</si>
  <si>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</si>
  <si>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</si>
  <si>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</si>
  <si>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</si>
  <si>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</si>
  <si>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</si>
  <si>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</si>
  <si>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</si>
  <si>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</si>
  <si>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</si>
  <si>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</si>
  <si>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</si>
  <si>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</si>
  <si>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</si>
  <si>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</si>
  <si>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</si>
  <si>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</si>
  <si>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</si>
  <si>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</si>
  <si>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</si>
  <si>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</si>
  <si>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</si>
  <si>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</si>
  <si>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</si>
  <si>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</si>
  <si>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</si>
  <si>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</si>
  <si>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</si>
  <si>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</si>
  <si>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</si>
  <si>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</si>
  <si>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</si>
  <si>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</si>
  <si>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</si>
  <si>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</si>
  <si>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</si>
  <si>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</si>
  <si>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</si>
  <si>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</si>
  <si>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</si>
  <si>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</si>
  <si>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</si>
  <si>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</si>
  <si>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</si>
  <si>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</si>
  <si>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</si>
  <si>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</si>
  <si>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</si>
  <si>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</si>
  <si>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</si>
  <si>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</si>
  <si>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</si>
  <si>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</si>
  <si>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</si>
  <si>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</si>
  <si>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</si>
  <si>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</si>
  <si>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</si>
  <si>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</si>
  <si>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</si>
  <si>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</si>
  <si>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</si>
  <si>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</si>
  <si>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</si>
  <si>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</si>
  <si>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</si>
  <si>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</si>
  <si>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</si>
  <si>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</si>
  <si>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</si>
  <si>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</si>
  <si>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</si>
  <si>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</si>
  <si>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</si>
  <si>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</si>
  <si>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</si>
  <si>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</si>
  <si>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</si>
  <si>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</si>
  <si>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</si>
  <si>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</si>
  <si>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</si>
  <si>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</si>
  <si>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</si>
  <si>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</si>
  <si>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</si>
  <si>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</si>
  <si>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</si>
  <si>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</si>
  <si>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</si>
  <si>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</si>
  <si>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</si>
  <si>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</si>
  <si>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</si>
  <si>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</si>
  <si>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</si>
  <si>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</si>
  <si>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</si>
  <si>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</si>
  <si>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</si>
  <si>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</si>
  <si>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</si>
  <si>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</si>
  <si>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</si>
  <si>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</si>
  <si>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</si>
  <si>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</si>
  <si>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</si>
  <si>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</si>
  <si>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</si>
  <si>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</si>
  <si>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</si>
  <si>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</si>
  <si>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</si>
  <si>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</si>
  <si>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</si>
  <si>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</si>
  <si>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</si>
  <si>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</si>
  <si>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</si>
  <si>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</si>
  <si>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</si>
  <si>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</si>
  <si>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</si>
  <si>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</si>
  <si>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</si>
  <si>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</si>
  <si>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</si>
  <si>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</si>
  <si>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</si>
  <si>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</si>
  <si>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</si>
  <si>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</si>
  <si>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</si>
  <si>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</si>
  <si>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</si>
  <si>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</si>
  <si>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</si>
  <si>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</si>
  <si>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</si>
  <si>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</si>
  <si>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</si>
  <si>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</si>
  <si>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</si>
  <si>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</si>
  <si>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</si>
  <si>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</si>
  <si>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</si>
  <si>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</si>
  <si>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</si>
  <si>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</si>
  <si>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</si>
  <si>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</si>
  <si>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</si>
  <si>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</si>
  <si>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</si>
  <si>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</si>
  <si>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</si>
  <si>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</si>
  <si>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</si>
  <si>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</si>
  <si>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</si>
  <si>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</si>
  <si>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</si>
  <si>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</si>
  <si>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</si>
  <si>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</si>
  <si>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</si>
  <si>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</si>
  <si>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</si>
  <si>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</si>
  <si>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</si>
  <si>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</si>
  <si>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</si>
  <si>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</si>
  <si>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</si>
  <si>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</si>
  <si>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</si>
  <si>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</si>
  <si>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</si>
  <si>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</si>
  <si>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</si>
  <si>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</si>
  <si>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</si>
  <si>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</si>
  <si>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</si>
  <si>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</si>
  <si>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</si>
  <si>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</si>
  <si>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</si>
  <si>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</si>
  <si>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</si>
  <si>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</si>
  <si>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</si>
  <si>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</si>
  <si>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</si>
  <si>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</si>
  <si>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</si>
  <si>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</si>
  <si>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</si>
  <si>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</si>
  <si>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</si>
  <si>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</si>
  <si>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</si>
  <si>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</si>
  <si>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</si>
  <si>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</si>
  <si>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</si>
  <si>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</si>
  <si>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</si>
  <si>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</si>
  <si>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</si>
  <si>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</si>
  <si>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</si>
  <si>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</si>
  <si>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</si>
  <si>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</si>
  <si>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</si>
  <si>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</si>
  <si>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</si>
  <si>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</si>
  <si>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</si>
  <si>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</si>
  <si>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</si>
  <si>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</si>
  <si>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</si>
  <si>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</si>
  <si>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</si>
  <si>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</si>
  <si>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</si>
  <si>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</si>
  <si>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</si>
  <si>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</si>
  <si>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</si>
  <si>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</si>
  <si>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</si>
  <si>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</si>
  <si>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</si>
  <si>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</si>
  <si>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</si>
  <si>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</si>
  <si>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</si>
  <si>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</si>
  <si>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</si>
  <si>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</si>
  <si>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</si>
  <si>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</si>
  <si>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</si>
  <si>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</si>
  <si>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</si>
  <si>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</si>
  <si>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</si>
  <si>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</si>
  <si>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</si>
  <si>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</si>
  <si>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</si>
  <si>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</si>
  <si>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</si>
  <si>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</si>
  <si>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</si>
  <si>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</si>
  <si>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</si>
  <si>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</si>
  <si>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</si>
  <si>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</si>
  <si>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</si>
  <si>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</si>
  <si>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</si>
  <si>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</si>
  <si>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</si>
  <si>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</si>
  <si>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</si>
  <si>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</si>
  <si>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</si>
  <si>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</si>
  <si>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</si>
  <si>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</si>
  <si>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</si>
  <si>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</si>
  <si>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</si>
  <si>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</si>
  <si>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</si>
  <si>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</si>
  <si>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</si>
  <si>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</si>
  <si>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</si>
  <si>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</si>
  <si>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</si>
  <si>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</si>
  <si>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</si>
  <si>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</si>
  <si>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</si>
  <si>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</si>
  <si>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</si>
  <si>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</si>
  <si>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</si>
  <si>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</si>
  <si>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</si>
  <si>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</si>
  <si>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</si>
  <si>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</si>
  <si>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</si>
  <si>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</si>
  <si>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</si>
  <si>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</si>
  <si>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</si>
  <si>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</si>
  <si>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</si>
  <si>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</si>
  <si>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</si>
  <si>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</si>
  <si>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</si>
  <si>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</si>
  <si>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</si>
  <si>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</si>
  <si>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</si>
  <si>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</si>
  <si>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</si>
  <si>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</si>
  <si>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</si>
  <si>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</si>
  <si>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</si>
  <si>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</si>
  <si>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</si>
  <si>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</si>
  <si>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</si>
  <si>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</si>
  <si>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</si>
  <si>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</si>
  <si>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</si>
  <si>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</si>
  <si>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</si>
  <si>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</si>
  <si>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</si>
  <si>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</si>
  <si>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</si>
  <si>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</si>
  <si>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</si>
  <si>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</si>
  <si>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</si>
  <si>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</si>
  <si>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</si>
  <si>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</si>
  <si>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</si>
  <si>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</si>
  <si>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</si>
  <si>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</si>
  <si>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</si>
  <si>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</si>
  <si>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</si>
  <si>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</si>
  <si>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</si>
  <si>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</si>
  <si>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</si>
  <si>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</si>
  <si>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</si>
  <si>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</si>
  <si>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</si>
  <si>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</si>
  <si>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</si>
  <si>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</si>
  <si>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</si>
  <si>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</si>
  <si>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</si>
  <si>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</si>
  <si>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</si>
  <si>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</si>
  <si>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</si>
  <si>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</si>
  <si>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</si>
  <si>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</si>
  <si>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</si>
  <si>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</si>
  <si>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</si>
  <si>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</si>
  <si>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</si>
  <si>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</si>
  <si>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</si>
  <si>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</si>
  <si>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</si>
  <si>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</si>
  <si>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</si>
  <si>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</si>
  <si>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</si>
  <si>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</si>
  <si>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</si>
  <si>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</si>
  <si>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</si>
  <si>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</si>
  <si>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</si>
  <si>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</si>
  <si>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</si>
  <si>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</si>
  <si>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</si>
  <si>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</si>
  <si>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</si>
  <si>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</si>
  <si>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</si>
  <si>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</si>
  <si>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</si>
  <si>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</si>
  <si>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</si>
  <si>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</si>
  <si>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</si>
  <si>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</si>
  <si>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</si>
  <si>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</si>
  <si>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</si>
  <si>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</si>
  <si>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</si>
  <si>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</si>
  <si>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</si>
  <si>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</si>
  <si>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</si>
  <si>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</si>
  <si>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</si>
  <si>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</si>
  <si>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</si>
  <si>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</si>
  <si>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</si>
  <si>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</si>
  <si>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</si>
  <si>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</si>
  <si>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</si>
  <si>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</si>
  <si>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</si>
  <si>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</si>
  <si>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</si>
  <si>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</si>
  <si>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</si>
  <si>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</si>
  <si>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</si>
  <si>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</si>
  <si>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</si>
  <si>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</si>
  <si>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</si>
  <si>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</si>
  <si>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</si>
  <si>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</si>
  <si>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</si>
  <si>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</si>
  <si>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</si>
  <si>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</si>
  <si>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</si>
  <si>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</si>
  <si>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</si>
  <si>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</si>
  <si>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</si>
  <si>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</si>
  <si>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</si>
  <si>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</si>
  <si>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</si>
  <si>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</si>
  <si>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</si>
  <si>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</si>
  <si>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</si>
  <si>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</si>
  <si>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</si>
  <si>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</si>
  <si>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</si>
  <si>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</si>
  <si>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</si>
  <si>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</si>
  <si>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</si>
  <si>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</si>
  <si>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</si>
  <si>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</si>
  <si>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</si>
  <si>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</si>
  <si>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</si>
  <si>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</si>
  <si>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</si>
  <si>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</si>
  <si>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</si>
  <si>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</si>
  <si>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</si>
  <si>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</si>
  <si>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</si>
  <si>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</si>
  <si>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</si>
  <si>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</si>
  <si>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</si>
  <si>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</si>
  <si>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</si>
  <si>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</si>
  <si>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</si>
  <si>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</si>
  <si>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</si>
  <si>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</si>
  <si>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</si>
  <si>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</si>
  <si>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</si>
  <si>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</si>
  <si>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</si>
  <si>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</si>
  <si>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</si>
  <si>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</si>
  <si>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</si>
  <si>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</si>
  <si>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</si>
  <si>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</si>
  <si>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</si>
  <si>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</si>
  <si>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</si>
  <si>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</si>
  <si>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</si>
  <si>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</si>
  <si>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</si>
  <si>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</si>
  <si>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</si>
  <si>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</si>
  <si>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</si>
  <si>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</si>
  <si>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</si>
  <si>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</si>
  <si>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</si>
  <si>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</si>
  <si>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</si>
  <si>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</si>
  <si>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</si>
  <si>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</si>
  <si>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</si>
  <si>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</si>
  <si>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</si>
  <si>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</si>
  <si>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</si>
  <si>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</si>
  <si>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</si>
  <si>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</si>
  <si>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</si>
  <si>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</si>
  <si>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</si>
  <si>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</si>
  <si>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</si>
  <si>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</si>
  <si>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</si>
  <si>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</si>
  <si>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</si>
  <si>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</si>
  <si>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</si>
  <si>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</si>
  <si>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</si>
  <si>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</si>
  <si>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</si>
  <si>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</si>
  <si>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</si>
  <si>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</si>
  <si>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</si>
  <si>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</si>
  <si>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</si>
  <si>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</si>
  <si>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</si>
  <si>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</si>
  <si>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</si>
  <si>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</si>
  <si>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</si>
  <si>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</si>
  <si>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</si>
  <si>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</si>
  <si>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</si>
  <si>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</si>
  <si>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</si>
  <si>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</si>
  <si>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</si>
  <si>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</si>
  <si>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</si>
  <si>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</si>
  <si>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</si>
  <si>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</si>
  <si>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</si>
  <si>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</si>
  <si>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</si>
  <si>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</si>
  <si>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</si>
  <si>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</si>
  <si>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</si>
  <si>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</si>
  <si>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</si>
  <si>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</si>
  <si>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</si>
  <si>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</si>
  <si>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</si>
  <si>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</si>
  <si>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</si>
  <si>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</si>
  <si>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</si>
  <si>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</si>
  <si>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</si>
  <si>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</si>
  <si>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</si>
  <si>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</si>
  <si>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</si>
  <si>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</si>
  <si>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</si>
  <si>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</si>
  <si>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</si>
  <si>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</si>
  <si>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</si>
  <si>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</si>
  <si>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</si>
  <si>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</si>
  <si>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</si>
  <si>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</si>
  <si>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</si>
  <si>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</si>
  <si>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</si>
  <si>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</si>
  <si>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</si>
  <si>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</si>
  <si>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</si>
  <si>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</si>
  <si>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</si>
  <si>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</si>
  <si>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</si>
  <si>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</si>
  <si>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</si>
  <si>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</si>
  <si>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</si>
  <si>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</si>
  <si>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</si>
  <si>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</si>
  <si>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</si>
  <si>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</si>
  <si>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</si>
  <si>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</si>
  <si>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</si>
  <si>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</si>
  <si>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</si>
  <si>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</si>
  <si>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</si>
  <si>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</si>
  <si>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</si>
  <si>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</si>
  <si>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</si>
  <si>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</si>
  <si>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</si>
  <si>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</si>
  <si>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</si>
  <si>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</si>
  <si>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</si>
  <si>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</si>
  <si>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</si>
  <si>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</si>
  <si>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</si>
  <si>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</si>
  <si>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</si>
  <si>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</si>
  <si>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</si>
  <si>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</si>
  <si>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</si>
  <si>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</si>
  <si>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</si>
  <si>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</si>
  <si>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</si>
  <si>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</si>
  <si>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</si>
  <si>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</si>
  <si>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</si>
  <si>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</si>
  <si>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</si>
  <si>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</si>
  <si>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</si>
  <si>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</si>
  <si>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</si>
  <si>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</si>
  <si>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</si>
  <si>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</si>
  <si>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</si>
  <si>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</si>
  <si>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</si>
  <si>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</si>
  <si>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</si>
  <si>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</si>
  <si>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</si>
  <si>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</si>
  <si>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</si>
  <si>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</si>
  <si>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</si>
  <si>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</si>
  <si>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</si>
  <si>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</si>
  <si>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</si>
  <si>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</si>
  <si>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</si>
  <si>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</si>
  <si>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</si>
  <si>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</si>
  <si>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</si>
  <si>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</si>
  <si>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</si>
  <si>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</si>
  <si>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</si>
  <si>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</si>
  <si>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</si>
  <si>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</si>
  <si>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</si>
  <si>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</si>
  <si>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</si>
  <si>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</si>
  <si>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</si>
  <si>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</si>
  <si>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</si>
  <si>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</si>
  <si>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</si>
  <si>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</si>
  <si>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</si>
  <si>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</si>
  <si>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</si>
  <si>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</si>
  <si>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</si>
  <si>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</si>
  <si>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</si>
  <si>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</si>
  <si>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</si>
  <si>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</si>
  <si>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</si>
  <si>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</si>
  <si>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</si>
  <si>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</si>
  <si>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</si>
  <si>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</si>
  <si>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</si>
  <si>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</si>
  <si>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</si>
  <si>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</si>
  <si>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</si>
  <si>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</si>
  <si>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</si>
  <si>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</si>
  <si>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</si>
  <si>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</si>
  <si>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</si>
  <si>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</si>
  <si>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</si>
  <si>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</si>
  <si>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</si>
  <si>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</si>
  <si>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</si>
  <si>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</si>
  <si>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</si>
  <si>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</si>
  <si>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</si>
  <si>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</si>
  <si>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</si>
  <si>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</si>
  <si>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</si>
  <si>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</si>
  <si>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</si>
  <si>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</si>
  <si>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</si>
  <si>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</si>
  <si>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</si>
  <si>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</si>
  <si>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</si>
  <si>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</si>
  <si>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</si>
  <si>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</si>
  <si>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</si>
  <si>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</si>
  <si>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</si>
  <si>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</si>
  <si>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</si>
  <si>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</si>
  <si>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</si>
  <si>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</si>
  <si>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</si>
  <si>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</si>
  <si>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</si>
  <si>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</si>
  <si>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</si>
  <si>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</si>
  <si>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</si>
  <si>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</si>
  <si>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</si>
  <si>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</si>
  <si>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</si>
  <si>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</si>
  <si>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</si>
  <si>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</si>
  <si>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</si>
  <si>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</si>
  <si>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</si>
  <si>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</si>
  <si>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</si>
  <si>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</si>
  <si>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</si>
  <si>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</si>
  <si>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</si>
  <si>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</si>
  <si>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</si>
  <si>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</si>
  <si>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</si>
  <si>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</si>
  <si>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</si>
  <si>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</si>
  <si>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</si>
  <si>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</si>
  <si>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</si>
  <si>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</si>
  <si>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</si>
  <si>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</si>
  <si>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</si>
  <si>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</si>
  <si>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</si>
  <si>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</si>
  <si>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</si>
  <si>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</si>
  <si>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</si>
  <si>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</si>
  <si>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</si>
  <si>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</si>
  <si>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</si>
  <si>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</si>
  <si>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</si>
  <si>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</si>
  <si>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</si>
  <si>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</si>
  <si>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</si>
  <si>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</si>
  <si>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</si>
  <si>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</si>
  <si>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</si>
  <si>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</si>
  <si>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</si>
  <si>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</si>
  <si>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</si>
  <si>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</si>
  <si>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</si>
  <si>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</si>
  <si>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</si>
  <si>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</si>
  <si>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</si>
  <si>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</si>
  <si>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</si>
  <si>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</si>
  <si>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</si>
  <si>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</si>
  <si>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</si>
  <si>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</si>
  <si>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</si>
  <si>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</si>
  <si>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</si>
  <si>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</si>
  <si>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</si>
  <si>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</si>
  <si>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</si>
  <si>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</si>
  <si>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</si>
  <si>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</si>
  <si>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</si>
  <si>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</si>
  <si>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</si>
  <si>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</si>
  <si>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</si>
  <si>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</si>
  <si>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</si>
  <si>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</si>
  <si>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</si>
  <si>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</si>
  <si>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</si>
  <si>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</si>
  <si>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</si>
  <si>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</si>
  <si>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</si>
  <si>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</si>
  <si>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</si>
  <si>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</si>
  <si>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</si>
  <si>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</si>
  <si>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</si>
  <si>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</si>
  <si>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</si>
  <si>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</si>
  <si>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</si>
  <si>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</si>
  <si>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</si>
  <si>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</si>
  <si>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</si>
  <si>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</si>
  <si>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</si>
  <si>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</si>
  <si>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</si>
  <si>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</si>
  <si>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</si>
  <si>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</si>
  <si>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</si>
  <si>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</si>
  <si>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</si>
  <si>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</si>
  <si>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</si>
  <si>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</si>
  <si>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</si>
  <si>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</si>
  <si>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</si>
  <si>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</si>
  <si>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</si>
  <si>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</si>
  <si>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</si>
  <si>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</si>
  <si>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</si>
  <si>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</si>
  <si>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</si>
  <si>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</si>
  <si>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</si>
  <si>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</si>
  <si>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</si>
  <si>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</si>
  <si>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</si>
  <si>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</si>
  <si>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</si>
  <si>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</si>
  <si>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</si>
  <si>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</si>
  <si>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</si>
  <si>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</si>
  <si>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</si>
  <si>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</si>
  <si>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</si>
  <si>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</si>
  <si>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</si>
  <si>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</si>
  <si>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</si>
  <si>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</si>
  <si>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</si>
  <si>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</si>
  <si>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</si>
  <si>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</si>
  <si>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</si>
  <si>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</si>
  <si>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</si>
  <si>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</si>
  <si>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</si>
  <si>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</si>
  <si>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</si>
  <si>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</si>
  <si>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</si>
  <si>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</si>
  <si>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</si>
  <si>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</si>
  <si>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</si>
  <si>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</si>
  <si>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</si>
  <si>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</si>
  <si>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</si>
  <si>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</si>
  <si>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</si>
  <si>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</si>
  <si>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</si>
  <si>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</si>
  <si>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</si>
  <si>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</si>
  <si>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</si>
  <si>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</si>
  <si>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</si>
  <si>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</si>
  <si>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</si>
  <si>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</si>
  <si>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</si>
  <si>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</si>
  <si>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</si>
  <si>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</si>
  <si>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</si>
  <si>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</si>
  <si>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</si>
  <si>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</si>
  <si>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</si>
  <si>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</si>
  <si>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</si>
  <si>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</si>
  <si>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</si>
  <si>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</si>
  <si>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</si>
  <si>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</si>
  <si>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</si>
  <si>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</si>
  <si>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</si>
  <si>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</si>
  <si>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</si>
  <si>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</si>
  <si>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</si>
  <si>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</si>
  <si>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</si>
  <si>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</si>
  <si>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</si>
  <si>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</si>
  <si>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</si>
  <si>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</si>
  <si>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</si>
  <si>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</si>
  <si>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</si>
  <si>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</si>
  <si>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</si>
  <si>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</si>
  <si>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</si>
  <si>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</si>
  <si>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</si>
  <si>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</si>
  <si>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</si>
  <si>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</si>
  <si>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</si>
  <si>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</si>
  <si>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</si>
  <si>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</si>
  <si>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</si>
  <si>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</si>
  <si>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</si>
  <si>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</si>
  <si>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</si>
  <si>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</si>
  <si>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</si>
  <si>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</si>
  <si>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</si>
  <si>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</si>
  <si>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</si>
  <si>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</si>
  <si>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</si>
  <si>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</si>
  <si>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</si>
  <si>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</si>
  <si>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</si>
  <si>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</si>
  <si>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</si>
  <si>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</si>
  <si>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</si>
  <si>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</si>
  <si>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</si>
  <si>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</si>
  <si>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</si>
  <si>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</si>
  <si>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</si>
  <si>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</si>
  <si>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</si>
  <si>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</si>
  <si>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</si>
  <si>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</si>
  <si>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</si>
  <si>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</si>
  <si>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</si>
  <si>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</si>
  <si>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</si>
  <si>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</si>
  <si>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</si>
  <si>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</si>
  <si>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</si>
  <si>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</si>
  <si>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</si>
  <si>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</si>
  <si>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</si>
  <si>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</si>
  <si>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</si>
  <si>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</si>
  <si>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</si>
  <si>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</si>
  <si>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</si>
  <si>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</si>
  <si>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</si>
  <si>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</si>
  <si>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</si>
  <si>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</si>
  <si>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</si>
  <si>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</si>
  <si>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</si>
  <si>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</si>
  <si>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</si>
  <si>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</si>
  <si>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</si>
  <si>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</si>
  <si>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</si>
  <si>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</si>
  <si>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</si>
  <si>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</si>
  <si>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</si>
  <si>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</si>
  <si>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</si>
  <si>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</si>
  <si>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</si>
  <si>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</si>
  <si>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</si>
  <si>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</si>
  <si>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</si>
  <si>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</si>
  <si>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</si>
  <si>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</si>
  <si>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</si>
  <si>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</si>
  <si>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</si>
  <si>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</si>
  <si>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</si>
  <si>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</si>
  <si>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</si>
  <si>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</si>
  <si>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</si>
  <si>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</si>
  <si>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</si>
  <si>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</si>
  <si>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</si>
  <si>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</si>
  <si>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</si>
  <si>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</si>
  <si>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</si>
  <si>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</si>
  <si>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</si>
  <si>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</si>
  <si>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</si>
  <si>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</si>
  <si>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</si>
  <si>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</si>
  <si>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</si>
  <si>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</si>
  <si>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</si>
  <si>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</si>
  <si>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</si>
  <si>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</si>
  <si>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</si>
  <si>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</si>
  <si>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</si>
  <si>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</si>
  <si>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</si>
  <si>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</si>
  <si>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</si>
  <si>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</si>
  <si>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</si>
  <si>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</si>
  <si>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</si>
  <si>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</si>
  <si>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</si>
  <si>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</si>
  <si>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</si>
  <si>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</si>
  <si>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</si>
  <si>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</si>
  <si>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</si>
  <si>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</si>
  <si>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</si>
  <si>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</si>
  <si>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</si>
  <si>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</si>
  <si>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</si>
  <si>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</si>
  <si>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</si>
  <si>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</si>
  <si>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</si>
  <si>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</si>
  <si>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</si>
  <si>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</si>
  <si>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</si>
  <si>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</si>
  <si>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</si>
  <si>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</si>
  <si>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</si>
  <si>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</si>
  <si>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</si>
  <si>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</si>
  <si>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</si>
  <si>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</si>
  <si>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</si>
  <si>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</si>
  <si>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</si>
  <si>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</si>
  <si>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</si>
  <si>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</si>
  <si>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</si>
  <si>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</si>
  <si>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</si>
  <si>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</si>
  <si>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</si>
  <si>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</si>
  <si>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</si>
  <si>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</si>
  <si>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</si>
  <si>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</si>
  <si>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</si>
  <si>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</si>
  <si>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</si>
  <si>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</si>
  <si>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</si>
  <si>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</si>
  <si>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</si>
  <si>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</si>
  <si>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</si>
  <si>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</si>
  <si>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</si>
  <si>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</si>
  <si>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</si>
  <si>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</si>
  <si>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</si>
  <si>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</si>
  <si>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</si>
  <si>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</si>
  <si>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</si>
  <si>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</si>
  <si>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</si>
  <si>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</si>
  <si>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</si>
  <si>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</si>
  <si>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</si>
  <si>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</si>
  <si>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</si>
  <si>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</si>
  <si>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</si>
  <si>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</si>
  <si>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</si>
  <si>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</si>
  <si>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</si>
  <si>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</si>
  <si>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</si>
  <si>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</si>
  <si>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</si>
  <si>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</si>
  <si>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</si>
  <si>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</si>
  <si>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</si>
  <si>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</si>
  <si>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</si>
  <si>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</si>
  <si>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</si>
  <si>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</si>
  <si>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</si>
  <si>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</si>
  <si>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</si>
  <si>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</si>
  <si>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</si>
  <si>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</si>
  <si>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</si>
  <si>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</si>
  <si>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</si>
  <si>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</si>
  <si>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</si>
  <si>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</si>
  <si>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</si>
  <si>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</si>
  <si>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</si>
  <si>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</si>
  <si>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</si>
  <si>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</si>
  <si>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</si>
  <si>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</si>
  <si>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</si>
  <si>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</si>
  <si>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</si>
  <si>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</si>
  <si>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</si>
  <si>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</si>
  <si>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</si>
  <si>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</si>
  <si>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</si>
  <si>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</si>
  <si>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</si>
  <si>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</si>
  <si>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</si>
  <si>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</si>
  <si>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</si>
  <si>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</si>
  <si>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</si>
  <si>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</si>
  <si>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</si>
  <si>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</si>
  <si>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</si>
  <si>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</si>
  <si>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</si>
  <si>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</si>
  <si>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</si>
  <si>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</si>
  <si>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</si>
  <si>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</si>
  <si>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</si>
  <si>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</si>
  <si>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</si>
  <si>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</si>
  <si>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</si>
  <si>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</si>
  <si>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</si>
  <si>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</si>
  <si>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</si>
  <si>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</si>
  <si>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</si>
  <si>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</si>
  <si>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</si>
  <si>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</si>
  <si>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</si>
  <si>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</si>
  <si>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</si>
  <si>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</si>
  <si>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</si>
  <si>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</si>
  <si>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</si>
  <si>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</si>
  <si>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</si>
  <si>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</si>
  <si>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</si>
  <si>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</si>
  <si>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</si>
  <si>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</si>
  <si>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</si>
  <si>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</si>
  <si>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</si>
  <si>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</si>
  <si>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</si>
  <si>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</si>
  <si>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</si>
  <si>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</si>
  <si>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</si>
  <si>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</si>
  <si>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</si>
  <si>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</si>
  <si>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</si>
  <si>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</si>
  <si>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</si>
  <si>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</si>
  <si>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</si>
  <si>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</si>
  <si>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</si>
  <si>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</si>
  <si>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</si>
  <si>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</si>
  <si>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</si>
  <si>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</si>
  <si>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</si>
  <si>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</si>
  <si>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</si>
  <si>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</si>
  <si>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</si>
  <si>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</si>
  <si>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</si>
  <si>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</si>
  <si>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</si>
  <si>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</si>
  <si>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</si>
  <si>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</si>
  <si>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</si>
  <si>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</si>
  <si>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</si>
  <si>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</si>
  <si>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</si>
  <si>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</si>
  <si>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</si>
  <si>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</si>
  <si>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</si>
  <si>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</si>
  <si>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</si>
  <si>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</si>
  <si>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</si>
  <si>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</si>
  <si>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</si>
  <si>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</si>
  <si>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</si>
  <si>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</si>
  <si>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</si>
  <si>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</si>
  <si>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</si>
  <si>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</si>
  <si>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</si>
  <si>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</si>
  <si>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</si>
  <si>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</si>
  <si>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</si>
  <si>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</si>
  <si>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</si>
  <si>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</si>
  <si>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</si>
  <si>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</si>
  <si>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</si>
  <si>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</si>
  <si>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</si>
  <si>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</si>
  <si>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</si>
  <si>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</si>
  <si>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</si>
  <si>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</si>
  <si>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</si>
  <si>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</si>
  <si>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</si>
  <si>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</si>
  <si>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</si>
  <si>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</si>
  <si>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</si>
  <si>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</si>
  <si>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</si>
  <si>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</si>
  <si>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</si>
  <si>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</si>
  <si>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</si>
  <si>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</si>
  <si>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</si>
  <si>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</si>
  <si>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</si>
  <si>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</si>
  <si>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</si>
  <si>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</si>
  <si>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</si>
  <si>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</si>
  <si>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</si>
  <si>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</si>
  <si>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</si>
  <si>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</si>
  <si>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</si>
  <si>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</si>
  <si>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</si>
  <si>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</si>
  <si>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</si>
  <si>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</si>
  <si>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</si>
  <si>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</si>
  <si>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</si>
  <si>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</si>
  <si>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</si>
  <si>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</si>
  <si>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</si>
  <si>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</si>
  <si>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</si>
  <si>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</si>
  <si>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</si>
  <si>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</si>
  <si>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</si>
  <si>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</si>
  <si>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</si>
  <si>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</si>
  <si>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</si>
  <si>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</si>
  <si>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</si>
  <si>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</si>
  <si>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</si>
  <si>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</si>
  <si>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</si>
  <si>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</si>
  <si>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</si>
  <si>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</si>
  <si>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</si>
  <si>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</si>
  <si>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</si>
  <si>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</si>
  <si>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</si>
  <si>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</si>
  <si>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</si>
  <si>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</si>
  <si>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</si>
  <si>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</si>
  <si>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</si>
  <si>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</si>
  <si>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</si>
  <si>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</si>
  <si>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</si>
  <si>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</si>
  <si>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</si>
  <si>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</si>
  <si>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</si>
  <si>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</si>
  <si>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</si>
  <si>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</si>
  <si>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</si>
  <si>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</si>
  <si>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</si>
  <si>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</si>
  <si>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</si>
  <si>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</si>
  <si>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</si>
  <si>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</si>
  <si>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</si>
  <si>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</si>
  <si>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</si>
  <si>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</si>
  <si>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</si>
  <si>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</si>
  <si>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</si>
  <si>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</si>
  <si>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</si>
  <si>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</si>
  <si>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</si>
  <si>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</si>
  <si>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</si>
  <si>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</si>
  <si>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</si>
  <si>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</si>
  <si>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</si>
  <si>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</si>
  <si>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</si>
  <si>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</si>
  <si>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</si>
  <si>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</si>
  <si>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</si>
  <si>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</si>
  <si>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</si>
  <si>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</si>
  <si>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</si>
  <si>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</si>
  <si>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</si>
  <si>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</si>
  <si>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</si>
  <si>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</si>
  <si>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</si>
  <si>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</si>
  <si>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</si>
  <si>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</si>
  <si>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</si>
  <si>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</si>
  <si>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</si>
  <si>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</si>
  <si>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</si>
  <si>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</si>
  <si>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</si>
  <si>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</si>
  <si>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</si>
  <si>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</si>
  <si>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</si>
  <si>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</si>
  <si>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</si>
  <si>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</si>
  <si>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</si>
  <si>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</si>
  <si>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</si>
  <si>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</si>
  <si>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</si>
  <si>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</si>
  <si>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</si>
  <si>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</si>
  <si>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</si>
  <si>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</si>
  <si>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</si>
  <si>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</si>
  <si>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</si>
  <si>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</si>
  <si>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</si>
  <si>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</si>
  <si>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</si>
  <si>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</si>
  <si>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</si>
  <si>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</si>
  <si>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</si>
  <si>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</si>
  <si>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</si>
  <si>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</si>
  <si>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</si>
  <si>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</si>
  <si>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</si>
  <si>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</si>
  <si>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</si>
  <si>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</si>
  <si>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</si>
  <si>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</si>
  <si>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</si>
  <si>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</si>
  <si>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</si>
  <si>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</si>
  <si>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</si>
  <si>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</si>
  <si>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</si>
  <si>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</si>
  <si>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</si>
  <si>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</si>
  <si>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</si>
  <si>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</si>
  <si>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</si>
  <si>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</si>
  <si>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</si>
  <si>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</si>
  <si>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</si>
  <si>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</si>
  <si>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</si>
  <si>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</si>
  <si>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</si>
  <si>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</si>
  <si>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</si>
  <si>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</si>
  <si>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</si>
  <si>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</si>
  <si>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</si>
  <si>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</si>
  <si>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</si>
  <si>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</si>
  <si>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</si>
  <si>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</si>
  <si>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</si>
  <si>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</si>
  <si>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</si>
  <si>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</si>
  <si>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</si>
  <si>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</si>
  <si>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</si>
  <si>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</si>
  <si>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</si>
  <si>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</si>
  <si>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</si>
  <si>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</si>
  <si>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</si>
  <si>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</si>
  <si>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</si>
  <si>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</si>
  <si>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</si>
  <si>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</si>
  <si>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</si>
  <si>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</si>
  <si>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</si>
  <si>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</si>
  <si>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</si>
  <si>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</si>
  <si>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</si>
  <si>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</si>
  <si>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</si>
  <si>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</si>
  <si>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</si>
  <si>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</si>
  <si>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</si>
  <si>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</si>
  <si>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</si>
  <si>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</si>
  <si>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</si>
  <si>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</si>
  <si>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</si>
  <si>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</si>
  <si>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</si>
  <si>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</si>
  <si>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</si>
  <si>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</si>
  <si>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</si>
  <si>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</si>
  <si>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</si>
  <si>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</si>
  <si>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</si>
  <si>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</si>
  <si>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</si>
  <si>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</si>
  <si>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</si>
  <si>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</si>
  <si>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</si>
  <si>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</si>
  <si>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</si>
  <si>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</si>
  <si>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</si>
  <si>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</si>
  <si>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</si>
  <si>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</si>
  <si>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</si>
  <si>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</si>
  <si>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</si>
  <si>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</si>
  <si>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</si>
  <si>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</si>
  <si>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</si>
  <si>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</si>
  <si>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</si>
  <si>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</si>
  <si>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</si>
  <si>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</si>
  <si>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</si>
  <si>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</si>
  <si>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</si>
  <si>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</si>
  <si>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</si>
  <si>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</si>
  <si>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</si>
  <si>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</si>
  <si>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</si>
  <si>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</si>
  <si>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</si>
  <si>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</si>
  <si>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</si>
  <si>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</si>
  <si>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</si>
  <si>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</si>
  <si>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</si>
  <si>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</si>
  <si>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</si>
  <si>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</si>
  <si>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</si>
  <si>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</si>
  <si>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</si>
  <si>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</si>
  <si>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</si>
  <si>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</si>
  <si>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</si>
  <si>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</si>
  <si>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</si>
  <si>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</si>
  <si>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</si>
  <si>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</si>
  <si>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</si>
  <si>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</si>
  <si>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</si>
  <si>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</si>
  <si>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</si>
  <si>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</si>
  <si>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</si>
  <si>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</si>
  <si>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</si>
  <si>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</si>
  <si>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</si>
  <si>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</si>
  <si>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</si>
  <si>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</si>
  <si>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</si>
  <si>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</si>
  <si>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</si>
  <si>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</si>
  <si>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</si>
  <si>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</si>
  <si>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</si>
  <si>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</si>
  <si>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</si>
  <si>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</si>
  <si>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</si>
  <si>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</si>
  <si>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</si>
  <si>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</si>
  <si>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</si>
  <si>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</si>
  <si>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</si>
  <si>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</si>
  <si>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</si>
  <si>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</si>
  <si>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</si>
  <si>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</si>
  <si>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</si>
  <si>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</si>
  <si>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</si>
  <si>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</si>
  <si>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</si>
  <si>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</si>
  <si>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</si>
  <si>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</si>
  <si>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</si>
  <si>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</si>
  <si>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</si>
  <si>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</si>
  <si>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</si>
  <si>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</si>
  <si>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</si>
  <si>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</si>
  <si>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</si>
  <si>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</si>
  <si>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</si>
  <si>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</si>
  <si>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</si>
  <si>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</si>
  <si>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</si>
  <si>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</si>
  <si>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</si>
  <si>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</si>
  <si>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</si>
  <si>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</si>
  <si>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</si>
  <si>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</si>
  <si>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</si>
  <si>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</si>
  <si>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</si>
  <si>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</si>
  <si>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</si>
  <si>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</si>
  <si>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</si>
  <si>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</si>
  <si>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</si>
  <si>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</si>
  <si>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</si>
  <si>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</si>
  <si>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</si>
  <si>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</si>
  <si>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</si>
  <si>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</si>
  <si>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</si>
  <si>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</si>
  <si>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</si>
  <si>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</si>
  <si>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</si>
  <si>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</si>
  <si>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</si>
  <si>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</si>
  <si>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</si>
  <si>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</si>
  <si>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</si>
  <si>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</si>
  <si>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</si>
  <si>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</si>
  <si>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</si>
  <si>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</si>
  <si>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</si>
  <si>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</si>
  <si>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</si>
  <si>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</si>
  <si>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</si>
  <si>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</si>
  <si>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</si>
  <si>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</si>
  <si>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</si>
  <si>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</si>
  <si>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</si>
  <si>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</si>
  <si>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</si>
  <si>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</si>
  <si>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</si>
  <si>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</si>
  <si>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</si>
  <si>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</si>
  <si>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</si>
  <si>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</si>
  <si>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</si>
  <si>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</si>
  <si>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</si>
  <si>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</si>
  <si>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</si>
  <si>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</si>
  <si>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</si>
  <si>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</si>
  <si>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</si>
  <si>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</si>
  <si>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</si>
  <si>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</si>
  <si>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</si>
  <si>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</si>
  <si>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</si>
  <si>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</si>
  <si>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</si>
  <si>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</si>
  <si>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</si>
  <si>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</si>
  <si>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</si>
  <si>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</si>
  <si>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</si>
  <si>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</si>
  <si>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</si>
  <si>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</si>
  <si>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</si>
  <si>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</si>
  <si>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</si>
  <si>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</si>
  <si>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</si>
  <si>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</si>
  <si>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</si>
  <si>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</si>
  <si>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</si>
  <si>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</si>
  <si>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</si>
  <si>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</si>
  <si>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</si>
  <si>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</si>
  <si>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</si>
  <si>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</si>
  <si>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</si>
  <si>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</si>
  <si>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</si>
  <si>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</si>
  <si>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</si>
  <si>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</si>
  <si>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</si>
  <si>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</si>
  <si>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</si>
  <si>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</si>
  <si>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</si>
  <si>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</si>
  <si>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</si>
  <si>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</si>
  <si>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</si>
  <si>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</si>
  <si>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</si>
  <si>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</si>
  <si>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</si>
  <si>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</si>
  <si>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</si>
  <si>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</si>
  <si>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</si>
  <si>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</si>
  <si>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</si>
  <si>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</si>
  <si>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</si>
  <si>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</si>
  <si>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</si>
  <si>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</si>
  <si>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</si>
  <si>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</si>
  <si>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</si>
  <si>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</si>
  <si>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</si>
  <si>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</si>
  <si>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</si>
  <si>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</si>
  <si>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</si>
  <si>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</si>
  <si>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</si>
  <si>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</si>
  <si>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</si>
  <si>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</si>
  <si>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</si>
  <si>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</si>
  <si>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</si>
  <si>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</si>
  <si>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</si>
  <si>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</si>
  <si>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</si>
  <si>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</si>
  <si>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</si>
  <si>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</si>
  <si>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</si>
  <si>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</si>
  <si>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</si>
  <si>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</si>
  <si>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</si>
  <si>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</si>
  <si>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</si>
  <si>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</si>
  <si>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</si>
  <si>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</si>
  <si>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</si>
  <si>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</si>
  <si>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</si>
  <si>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</si>
  <si>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</si>
  <si>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</si>
  <si>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</si>
  <si>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</si>
  <si>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</si>
  <si>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</si>
  <si>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</si>
  <si>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</si>
  <si>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</si>
  <si>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</si>
  <si>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</si>
  <si>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</si>
  <si>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</si>
  <si>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</si>
  <si>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</si>
  <si>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</si>
  <si>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</si>
  <si>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</si>
  <si>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</si>
  <si>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</si>
  <si>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</si>
  <si>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</si>
  <si>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</si>
  <si>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</si>
  <si>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</si>
  <si>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</si>
  <si>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</si>
  <si>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</si>
  <si>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</si>
  <si>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</si>
  <si>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</si>
  <si>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</si>
  <si>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</si>
  <si>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</si>
  <si>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</si>
  <si>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</si>
  <si>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</si>
  <si>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</si>
  <si>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</si>
  <si>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</si>
  <si>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</si>
  <si>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</si>
  <si>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</si>
  <si>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</si>
  <si>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</si>
  <si>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</si>
  <si>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</si>
  <si>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</si>
  <si>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</si>
  <si>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</si>
  <si>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</si>
  <si>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</si>
  <si>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</si>
  <si>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</si>
  <si>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</si>
  <si>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</si>
  <si>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</si>
  <si>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</si>
  <si>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</si>
  <si>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</si>
  <si>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</si>
  <si>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</si>
  <si>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</si>
  <si>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</si>
  <si>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</si>
  <si>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</si>
  <si>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</si>
  <si>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</si>
  <si>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</si>
  <si>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</si>
  <si>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</si>
  <si>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</si>
  <si>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</si>
  <si>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</si>
  <si>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</si>
  <si>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</si>
  <si>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</si>
  <si>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</si>
  <si>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</si>
  <si>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</si>
  <si>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</si>
  <si>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</si>
  <si>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</si>
  <si>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</si>
  <si>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</si>
  <si>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</si>
  <si>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</si>
  <si>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</si>
  <si>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</si>
  <si>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</si>
  <si>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</si>
  <si>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</si>
  <si>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</si>
  <si>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</si>
  <si>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</si>
  <si>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</si>
  <si>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</si>
  <si>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</si>
  <si>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</si>
  <si>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</si>
  <si>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</si>
  <si>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</si>
  <si>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</si>
  <si>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</si>
  <si>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</si>
  <si>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</si>
  <si>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</si>
  <si>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</si>
  <si>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</si>
  <si>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</si>
  <si>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</si>
  <si>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</si>
  <si>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</si>
  <si>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</si>
  <si>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</si>
  <si>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</si>
  <si>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</si>
  <si>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</si>
  <si>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</si>
  <si>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</si>
  <si>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</si>
  <si>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</si>
  <si>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</si>
  <si>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</si>
  <si>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</si>
  <si>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</si>
  <si>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</si>
  <si>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</si>
  <si>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</si>
  <si>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</si>
  <si>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</si>
  <si>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</si>
  <si>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</si>
  <si>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</si>
  <si>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</si>
  <si>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</si>
  <si>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</si>
  <si>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</si>
  <si>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</si>
  <si>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</si>
  <si>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</si>
  <si>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</si>
  <si>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</si>
  <si>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</si>
  <si>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</si>
  <si>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</si>
  <si>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</si>
  <si>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</si>
  <si>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</si>
  <si>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</si>
  <si>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</si>
  <si>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</si>
  <si>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</si>
  <si>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</si>
  <si>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</si>
  <si>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</si>
  <si>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</si>
  <si>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</si>
  <si>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</si>
  <si>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</si>
  <si>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</si>
  <si>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</si>
  <si>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</si>
  <si>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</si>
  <si>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</si>
  <si>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</si>
  <si>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</si>
  <si>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</si>
  <si>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</si>
  <si>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</si>
  <si>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</si>
  <si>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</si>
  <si>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</si>
  <si>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</si>
  <si>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</si>
  <si>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</si>
  <si>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</si>
  <si>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</si>
  <si>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</si>
  <si>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</si>
  <si>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</si>
  <si>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</si>
  <si>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</si>
  <si>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</si>
  <si>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</si>
  <si>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</si>
  <si>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</si>
  <si>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</si>
  <si>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</si>
  <si>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</si>
  <si>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</si>
  <si>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</si>
  <si>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</si>
  <si>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</si>
  <si>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</si>
  <si>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</si>
  <si>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</si>
  <si>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</si>
  <si>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</si>
  <si>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</si>
  <si>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</si>
  <si>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</si>
  <si>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</si>
  <si>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</si>
  <si>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</si>
  <si>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</si>
  <si>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</si>
  <si>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</si>
  <si>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</si>
  <si>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</si>
  <si>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</si>
  <si>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</si>
  <si>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</si>
  <si>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</si>
  <si>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</si>
  <si>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</si>
  <si>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</si>
  <si>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</si>
  <si>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</si>
  <si>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</si>
  <si>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</si>
  <si>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</si>
  <si>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</si>
  <si>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</si>
  <si>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</si>
  <si>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</si>
  <si>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</si>
  <si>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</si>
  <si>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</si>
  <si>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</si>
  <si>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</si>
  <si>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</si>
  <si>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</si>
  <si>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</si>
  <si>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</si>
  <si>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</si>
  <si>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</si>
  <si>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</si>
  <si>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</si>
  <si>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</si>
  <si>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</si>
  <si>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</si>
  <si>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</si>
  <si>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</si>
  <si>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</si>
  <si>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</si>
  <si>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</si>
  <si>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</si>
  <si>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</si>
  <si>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</si>
  <si>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</si>
  <si>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</si>
  <si>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</si>
  <si>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</si>
  <si>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</si>
  <si>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</si>
  <si>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</si>
  <si>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</si>
  <si>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</si>
  <si>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</si>
  <si>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</si>
  <si>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</si>
  <si>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</si>
  <si>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</si>
  <si>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</si>
  <si>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</si>
  <si>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</si>
  <si>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</si>
  <si>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</si>
  <si>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</si>
  <si>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</si>
  <si>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</si>
  <si>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</si>
  <si>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</si>
  <si>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</si>
  <si>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</si>
  <si>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</si>
  <si>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</si>
  <si>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</si>
  <si>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</si>
  <si>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</si>
  <si>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</si>
  <si>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</si>
  <si>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</si>
  <si>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</si>
  <si>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</si>
  <si>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</si>
  <si>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</si>
  <si>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</si>
  <si>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</si>
  <si>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</si>
  <si>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</si>
  <si>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</si>
  <si>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</si>
  <si>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</si>
  <si>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</si>
  <si>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</si>
  <si>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</si>
  <si>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</si>
  <si>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</si>
  <si>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</si>
  <si>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</si>
  <si>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</si>
  <si>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</si>
  <si>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</si>
  <si>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</si>
  <si>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</si>
  <si>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</si>
  <si>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</si>
  <si>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</si>
  <si>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</si>
  <si>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</si>
  <si>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</si>
  <si>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</si>
  <si>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</si>
  <si>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</si>
  <si>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</si>
  <si>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</si>
  <si>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</si>
  <si>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</si>
  <si>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</si>
  <si>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</si>
  <si>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</si>
  <si>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</si>
  <si>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</si>
  <si>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</si>
  <si>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</si>
  <si>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</si>
  <si>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</si>
  <si>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</si>
  <si>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</si>
  <si>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</si>
  <si>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</si>
  <si>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</si>
  <si>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</si>
  <si>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</si>
  <si>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</si>
  <si>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</si>
  <si>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</si>
  <si>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</si>
  <si>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</si>
  <si>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</si>
  <si>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</si>
  <si>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</si>
  <si>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</si>
  <si>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</si>
  <si>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</si>
  <si>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</si>
  <si>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</si>
  <si>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</si>
  <si>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</si>
  <si>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</si>
  <si>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</si>
  <si>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</si>
  <si>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</si>
  <si>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</si>
  <si>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</si>
  <si>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</si>
  <si>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</si>
  <si>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</si>
  <si>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</si>
  <si>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</si>
  <si>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</si>
  <si>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</si>
  <si>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</si>
  <si>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</si>
  <si>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</si>
  <si>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</si>
  <si>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</si>
  <si>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</si>
  <si>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</si>
  <si>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</si>
  <si>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</si>
  <si>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</si>
  <si>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</si>
  <si>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</si>
  <si>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</si>
  <si>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</si>
  <si>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</si>
  <si>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</si>
  <si>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</si>
  <si>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</si>
  <si>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</si>
  <si>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</si>
  <si>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</si>
  <si>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</si>
  <si>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</si>
  <si>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</si>
  <si>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</si>
  <si>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</si>
  <si>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</si>
  <si>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</si>
  <si>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</si>
  <si>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</si>
  <si>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</si>
  <si>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</si>
  <si>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</si>
  <si>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</si>
  <si>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</si>
  <si>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</si>
  <si>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</si>
  <si>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</si>
  <si>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</si>
  <si>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</si>
  <si>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</si>
  <si>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</si>
  <si>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</si>
  <si>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</si>
  <si>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</si>
  <si>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</si>
  <si>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</si>
  <si>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</si>
  <si>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</si>
  <si>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</si>
  <si>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</si>
  <si>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</si>
  <si>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</si>
  <si>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</si>
  <si>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</si>
  <si>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</si>
  <si>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</si>
  <si>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</si>
  <si>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</si>
  <si>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</si>
  <si>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</si>
  <si>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</si>
  <si>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</si>
  <si>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</si>
  <si>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</si>
  <si>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</si>
  <si>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</si>
  <si>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</si>
  <si>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</si>
  <si>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</si>
  <si>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</si>
  <si>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</si>
  <si>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</si>
  <si>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</si>
  <si>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</si>
  <si>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</si>
  <si>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</si>
  <si>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</si>
  <si>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</si>
  <si>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</si>
  <si>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</si>
  <si>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</si>
  <si>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</si>
  <si>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</si>
  <si>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</si>
  <si>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</si>
  <si>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</si>
  <si>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</si>
  <si>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</si>
  <si>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</si>
  <si>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</si>
  <si>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</si>
  <si>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</si>
  <si>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</si>
  <si>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</si>
  <si>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</si>
  <si>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</si>
  <si>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</si>
  <si>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</si>
  <si>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</si>
  <si>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</si>
  <si>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</si>
  <si>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</si>
  <si>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</si>
  <si>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</si>
  <si>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</si>
  <si>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</si>
  <si>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</si>
  <si>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</si>
  <si>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</si>
  <si>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</si>
  <si>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</si>
  <si>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</si>
  <si>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</si>
  <si>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</si>
  <si>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</si>
  <si>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</si>
  <si>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</si>
  <si>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</si>
  <si>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</si>
  <si>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</si>
  <si>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</si>
  <si>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</si>
  <si>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</si>
  <si>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</si>
  <si>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</si>
  <si>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</si>
  <si>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</si>
  <si>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</si>
  <si>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</si>
  <si>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</si>
  <si>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</si>
  <si>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</si>
  <si>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</si>
  <si>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</si>
  <si>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</si>
  <si>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</si>
  <si>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</si>
  <si>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</si>
  <si>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</si>
  <si>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</si>
  <si>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</si>
  <si>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</si>
  <si>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</si>
  <si>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</si>
  <si>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</si>
  <si>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</si>
  <si>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</si>
  <si>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</si>
  <si>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</si>
  <si>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</si>
  <si>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</si>
  <si>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</si>
  <si>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</si>
  <si>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</si>
  <si>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</si>
  <si>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</si>
  <si>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</si>
  <si>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</si>
  <si>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</si>
  <si>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</si>
  <si>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</si>
  <si>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</si>
  <si>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</si>
  <si>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</si>
  <si>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</si>
  <si>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</si>
  <si>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</si>
  <si>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</si>
  <si>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</si>
  <si>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</si>
  <si>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</si>
  <si>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</si>
  <si>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</si>
  <si>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</si>
  <si>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</si>
  <si>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</si>
  <si>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</si>
  <si>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</si>
  <si>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</si>
  <si>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</si>
  <si>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</si>
  <si>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</si>
  <si>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</si>
  <si>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</si>
  <si>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</si>
  <si>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</si>
  <si>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</si>
  <si>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</si>
  <si>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</si>
  <si>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</si>
  <si>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</si>
  <si>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</si>
  <si>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</si>
  <si>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</si>
  <si>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</si>
  <si>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</si>
  <si>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</si>
  <si>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</si>
  <si>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</si>
  <si>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</si>
  <si>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</si>
  <si>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</si>
  <si>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</si>
  <si>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</si>
  <si>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</si>
  <si>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</si>
  <si>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</si>
  <si>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</si>
  <si>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</si>
  <si>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</si>
  <si>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</si>
  <si>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</si>
  <si>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</si>
  <si>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</si>
  <si>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</si>
  <si>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</si>
  <si>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</si>
  <si>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</si>
  <si>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</si>
  <si>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</si>
  <si>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</si>
  <si>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</si>
  <si>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</si>
  <si>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</si>
  <si>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</si>
  <si>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</si>
  <si>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</si>
  <si>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</si>
  <si>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</si>
  <si>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</si>
  <si>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</si>
  <si>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</si>
  <si>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</si>
  <si>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</si>
  <si>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</si>
  <si>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</si>
  <si>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</si>
  <si>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</si>
  <si>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</si>
  <si>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</si>
  <si>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</si>
  <si>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</si>
  <si>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</si>
  <si>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</si>
  <si>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</si>
  <si>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</si>
  <si>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</si>
  <si>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</si>
  <si>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</si>
  <si>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</si>
  <si>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</si>
  <si>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</si>
  <si>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</si>
  <si>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</si>
  <si>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</si>
  <si>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</si>
  <si>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</si>
  <si>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</si>
  <si>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</si>
  <si>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</si>
  <si>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</si>
  <si>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</si>
  <si>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</si>
  <si>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</si>
  <si>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</si>
  <si>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</si>
  <si>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</si>
  <si>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</si>
  <si>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</si>
  <si>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</si>
  <si>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</si>
  <si>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</si>
  <si>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</si>
  <si>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</si>
  <si>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</si>
  <si>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</si>
  <si>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</si>
  <si>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</si>
  <si>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</si>
  <si>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</si>
  <si>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</si>
  <si>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</si>
  <si>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</si>
  <si>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</si>
  <si>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</si>
  <si>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</si>
  <si>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</si>
  <si>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</si>
  <si>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</si>
  <si>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</si>
  <si>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</si>
  <si>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</si>
  <si>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</si>
  <si>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</si>
  <si>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</si>
  <si>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</si>
  <si>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</si>
  <si>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</si>
  <si>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</si>
  <si>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</si>
  <si>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</si>
  <si>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</si>
  <si>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</si>
  <si>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</si>
  <si>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</si>
  <si>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</si>
  <si>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</si>
  <si>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</si>
  <si>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</si>
  <si>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</si>
  <si>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</si>
  <si>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</si>
  <si>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</si>
  <si>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</si>
  <si>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</si>
  <si>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</si>
  <si>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</si>
  <si>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</si>
  <si>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</si>
  <si>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</si>
  <si>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</si>
  <si>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</si>
  <si>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</si>
  <si>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</si>
  <si>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</si>
  <si>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</si>
  <si>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</si>
  <si>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</si>
  <si>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</si>
  <si>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</si>
  <si>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</si>
  <si>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</si>
  <si>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</si>
  <si>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</si>
  <si>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</si>
  <si>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</si>
  <si>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</si>
  <si>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</si>
  <si>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</si>
  <si>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</si>
  <si>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</si>
  <si>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</si>
  <si>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</si>
  <si>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</si>
  <si>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</si>
  <si>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</si>
  <si>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</si>
  <si>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</si>
  <si>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</si>
  <si>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</si>
  <si>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</si>
  <si>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</si>
  <si>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</si>
  <si>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</si>
  <si>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</si>
  <si>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</si>
  <si>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</si>
  <si>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</si>
  <si>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</si>
  <si>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</si>
  <si>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</si>
  <si>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</si>
  <si>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</si>
  <si>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</si>
  <si>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</si>
  <si>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</si>
  <si>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</si>
  <si>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</si>
  <si>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</si>
  <si>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</si>
  <si>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</si>
  <si>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</si>
  <si>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</si>
  <si>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</si>
  <si>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</si>
  <si>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</si>
  <si>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</si>
  <si>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</si>
  <si>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</si>
  <si>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</si>
  <si>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</si>
  <si>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</si>
  <si>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</si>
  <si>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</si>
  <si>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</si>
  <si>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</si>
  <si>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</si>
  <si>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</si>
  <si>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</si>
  <si>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</si>
  <si>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</si>
  <si>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</si>
  <si>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</si>
  <si>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</si>
  <si>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</si>
  <si>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</si>
  <si>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</si>
  <si>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</si>
  <si>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</si>
  <si>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</si>
  <si>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</si>
  <si>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</si>
  <si>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</si>
  <si>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</si>
  <si>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</si>
  <si>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</si>
  <si>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</si>
  <si>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</si>
  <si>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</si>
  <si>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</si>
  <si>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</si>
  <si>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</si>
  <si>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</si>
  <si>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</si>
  <si>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</si>
  <si>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</si>
  <si>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</si>
  <si>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</si>
  <si>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</si>
  <si>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</si>
  <si>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</si>
  <si>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</si>
  <si>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</si>
  <si>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</si>
  <si>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</si>
  <si>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</si>
  <si>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</si>
  <si>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</si>
  <si>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</si>
  <si>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</si>
  <si>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</si>
  <si>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</si>
  <si>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</si>
  <si>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</si>
  <si>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</si>
  <si>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</si>
  <si>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</si>
  <si>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</si>
  <si>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</si>
  <si>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</si>
  <si>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</si>
  <si>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</si>
  <si>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</si>
  <si>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</si>
  <si>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</si>
  <si>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</si>
  <si>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</si>
  <si>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</si>
  <si>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</si>
  <si>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</si>
  <si>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</si>
  <si>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</si>
  <si>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</si>
  <si>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</si>
  <si>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</si>
  <si>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</si>
  <si>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</si>
  <si>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</si>
  <si>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</si>
  <si>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</si>
  <si>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</si>
  <si>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</si>
  <si>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</si>
  <si>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</si>
  <si>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</si>
  <si>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</si>
  <si>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</si>
  <si>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</si>
  <si>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</si>
  <si>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</si>
  <si>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</si>
  <si>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</si>
  <si>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</si>
  <si>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</si>
  <si>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</si>
  <si>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</si>
  <si>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</si>
  <si>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</si>
  <si>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</si>
  <si>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</si>
  <si>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</si>
  <si>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</si>
  <si>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</si>
  <si>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</si>
  <si>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</si>
  <si>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</si>
  <si>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</si>
  <si>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</si>
  <si>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</si>
  <si>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</si>
  <si>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</si>
  <si>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</si>
  <si>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</si>
  <si>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</si>
  <si>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</si>
  <si>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</si>
  <si>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</si>
  <si>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</si>
  <si>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</si>
  <si>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</si>
  <si>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</si>
  <si>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</si>
  <si>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</si>
  <si>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</si>
  <si>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</si>
  <si>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</si>
  <si>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</si>
  <si>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</si>
  <si>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</si>
  <si>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</si>
  <si>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</si>
  <si>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</si>
  <si>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</si>
  <si>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</si>
  <si>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</si>
  <si>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</si>
  <si>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</si>
  <si>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</si>
  <si>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</si>
  <si>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</si>
  <si>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</si>
  <si>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</si>
  <si>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</si>
  <si>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</si>
  <si>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</si>
  <si>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</si>
  <si>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</si>
  <si>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</si>
  <si>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</si>
  <si>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</si>
  <si>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</si>
  <si>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</si>
  <si>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</si>
  <si>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</si>
  <si>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</si>
  <si>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</si>
  <si>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</si>
  <si>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</si>
  <si>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</si>
  <si>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</si>
  <si>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</si>
  <si>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</si>
  <si>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</si>
  <si>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</si>
  <si>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</si>
  <si>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</si>
  <si>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</si>
  <si>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</si>
  <si>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</si>
  <si>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</si>
  <si>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</si>
  <si>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</si>
  <si>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</si>
  <si>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</si>
  <si>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</si>
  <si>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</si>
  <si>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</si>
  <si>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</si>
  <si>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</si>
  <si>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</si>
  <si>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</si>
  <si>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</si>
  <si>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</si>
  <si>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</si>
  <si>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</si>
  <si>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</si>
  <si>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</si>
  <si>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</si>
  <si>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</si>
  <si>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</si>
  <si>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</si>
  <si>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</si>
  <si>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</si>
  <si>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</si>
  <si>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</si>
  <si>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</si>
  <si>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</si>
  <si>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</si>
  <si>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</si>
  <si>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</si>
  <si>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</si>
  <si>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</si>
  <si>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</si>
  <si>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</si>
  <si>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</si>
  <si>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</si>
  <si>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</si>
  <si>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</si>
  <si>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</si>
  <si>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</si>
  <si>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</si>
  <si>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</si>
  <si>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</si>
  <si>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</si>
  <si>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</si>
  <si>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</si>
  <si>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</si>
  <si>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</si>
  <si>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</si>
  <si>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</si>
  <si>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</si>
  <si>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</si>
  <si>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</si>
  <si>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</si>
  <si>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</si>
  <si>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</si>
  <si>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</si>
  <si>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</si>
  <si>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</si>
  <si>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</si>
  <si>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</si>
  <si>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</si>
  <si>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</si>
  <si>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</si>
  <si>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</si>
  <si>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</si>
  <si>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</si>
  <si>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</si>
  <si>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</si>
  <si>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</si>
  <si>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</si>
  <si>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</si>
  <si>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</si>
  <si>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</si>
  <si>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</si>
  <si>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</si>
  <si>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</si>
  <si>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</si>
  <si>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</si>
  <si>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</si>
  <si>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</si>
  <si>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</si>
  <si>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</si>
  <si>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</si>
  <si>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</si>
  <si>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</si>
  <si>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</si>
  <si>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</si>
  <si>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</si>
  <si>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</si>
  <si>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</si>
  <si>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</si>
  <si>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</si>
  <si>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</si>
  <si>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</si>
  <si>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</si>
  <si>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</si>
  <si>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</si>
  <si>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</si>
  <si>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</si>
  <si>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</si>
  <si>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</si>
  <si>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</si>
  <si>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</si>
  <si>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</si>
  <si>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</si>
  <si>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</si>
  <si>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</si>
  <si>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</si>
  <si>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</si>
  <si>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</si>
  <si>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</si>
  <si>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</si>
  <si>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</si>
  <si>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</si>
  <si>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</si>
  <si>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</si>
  <si>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</si>
  <si>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</si>
  <si>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</si>
  <si>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</si>
  <si>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</si>
  <si>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</si>
  <si>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</si>
  <si>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</si>
  <si>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</si>
  <si>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</si>
  <si>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</si>
  <si>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</si>
  <si>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</si>
  <si>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</si>
  <si>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</si>
  <si>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</si>
  <si>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</si>
  <si>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</si>
  <si>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</si>
  <si>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</si>
  <si>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</si>
  <si>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</si>
  <si>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</si>
  <si>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</si>
  <si>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</si>
  <si>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</si>
  <si>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</si>
  <si>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</si>
  <si>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</si>
  <si>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</si>
  <si>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</si>
  <si>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</si>
  <si>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</si>
  <si>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</si>
  <si>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</si>
  <si>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</si>
  <si>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</si>
  <si>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</si>
  <si>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</si>
  <si>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</si>
  <si>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</si>
  <si>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</si>
  <si>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</si>
  <si>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</si>
  <si>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</si>
  <si>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</si>
  <si>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</si>
  <si>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</si>
  <si>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</si>
  <si>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</si>
  <si>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</si>
  <si>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</si>
  <si>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</si>
  <si>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</si>
  <si>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</si>
  <si>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</si>
  <si>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</si>
  <si>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</si>
  <si>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</si>
  <si>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</si>
  <si>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</si>
  <si>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</si>
  <si>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</si>
  <si>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</si>
  <si>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</si>
  <si>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</si>
  <si>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</si>
  <si>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</si>
  <si>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</si>
  <si>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</si>
  <si>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</si>
  <si>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</si>
  <si>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</si>
  <si>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</si>
  <si>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</si>
  <si>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</si>
  <si>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</si>
  <si>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</si>
  <si>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</si>
  <si>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</si>
  <si>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</si>
  <si>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</si>
  <si>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</si>
  <si>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</si>
  <si>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</si>
  <si>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</si>
  <si>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</si>
  <si>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</si>
  <si>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</si>
  <si>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</si>
  <si>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</si>
  <si>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</si>
  <si>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</si>
  <si>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</si>
  <si>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</si>
  <si>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</si>
  <si>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</si>
  <si>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</si>
  <si>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</si>
  <si>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</si>
  <si>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</si>
  <si>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</si>
  <si>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</si>
  <si>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</si>
  <si>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</si>
  <si>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</si>
  <si>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</si>
  <si>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</si>
  <si>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</si>
  <si>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</si>
  <si>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</si>
  <si>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</si>
  <si>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</si>
  <si>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</si>
  <si>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</si>
  <si>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</si>
  <si>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</si>
  <si>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</si>
  <si>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</si>
  <si>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</si>
  <si>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</si>
  <si>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</si>
  <si>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</si>
  <si>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</si>
  <si>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</si>
  <si>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</si>
  <si>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</si>
  <si>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</si>
  <si>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</si>
  <si>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</si>
  <si>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</si>
  <si>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</si>
  <si>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</si>
  <si>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</si>
  <si>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</si>
  <si>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</si>
  <si>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</si>
  <si>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</si>
  <si>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</si>
  <si>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</si>
  <si>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</si>
  <si>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</si>
  <si>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</si>
  <si>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</si>
  <si>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</si>
  <si>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</si>
  <si>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</si>
  <si>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</si>
  <si>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</si>
  <si>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</si>
  <si>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</si>
  <si>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</si>
  <si>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</si>
  <si>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</si>
  <si>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</si>
  <si>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</si>
  <si>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</si>
  <si>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</si>
  <si>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</si>
  <si>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</si>
  <si>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</si>
  <si>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</si>
  <si>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</si>
  <si>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</si>
  <si>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</si>
  <si>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</si>
  <si>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</si>
  <si>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</si>
  <si>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</si>
  <si>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</si>
  <si>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</si>
  <si>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</si>
  <si>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</si>
  <si>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</si>
  <si>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</si>
  <si>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</si>
  <si>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</si>
  <si>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</si>
  <si>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</si>
  <si>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</si>
  <si>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</si>
  <si>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</si>
  <si>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</si>
  <si>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</si>
  <si>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</si>
  <si>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</si>
  <si>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</si>
  <si>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</si>
  <si>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</si>
  <si>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</si>
  <si>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</si>
  <si>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</si>
  <si>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</si>
  <si>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</si>
  <si>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</si>
  <si>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</si>
  <si>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</si>
  <si>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</si>
  <si>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</si>
  <si>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</si>
  <si>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</si>
  <si>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</si>
  <si>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</si>
  <si>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</si>
  <si>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</si>
  <si>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</si>
  <si>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</si>
  <si>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</si>
  <si>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</si>
  <si>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</si>
  <si>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</si>
  <si>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</si>
  <si>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</si>
  <si>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</si>
  <si>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</si>
  <si>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</si>
  <si>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</si>
  <si>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</si>
  <si>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</si>
  <si>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</si>
  <si>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</si>
  <si>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</si>
  <si>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</si>
  <si>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</si>
  <si>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</si>
  <si>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</si>
  <si>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</si>
  <si>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</si>
  <si>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</si>
  <si>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</si>
  <si>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</si>
  <si>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</si>
  <si>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</si>
  <si>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</si>
  <si>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</si>
  <si>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</si>
  <si>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</si>
  <si>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</si>
  <si>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</si>
  <si>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</si>
  <si>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</si>
  <si>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</si>
  <si>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</si>
  <si>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</si>
  <si>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</si>
  <si>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</si>
  <si>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</si>
  <si>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</si>
  <si>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</si>
  <si>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</si>
  <si>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</si>
  <si>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</si>
  <si>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</si>
  <si>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</si>
  <si>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</si>
  <si>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</si>
  <si>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</si>
  <si>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</si>
  <si>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</si>
  <si>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</si>
  <si>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</si>
  <si>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</si>
  <si>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</si>
  <si>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</si>
  <si>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</si>
  <si>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</si>
  <si>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</si>
  <si>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</si>
  <si>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</si>
  <si>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</si>
  <si>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</si>
  <si>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</si>
  <si>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</si>
  <si>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</si>
  <si>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</si>
  <si>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</si>
  <si>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</si>
  <si>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</si>
  <si>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</si>
  <si>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</si>
  <si>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</si>
  <si>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</si>
  <si>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</si>
  <si>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</si>
  <si>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</si>
  <si>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</si>
  <si>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</si>
  <si>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</si>
  <si>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</si>
  <si>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</si>
  <si>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</si>
  <si>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</si>
  <si>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</si>
  <si>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</si>
  <si>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</si>
  <si>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</si>
  <si>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</si>
  <si>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</si>
  <si>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</si>
  <si>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</si>
  <si>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</si>
  <si>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</si>
  <si>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</si>
  <si>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</si>
  <si>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</si>
  <si>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</si>
  <si>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</si>
  <si>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</si>
  <si>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</si>
  <si>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</si>
  <si>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</si>
  <si>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</si>
  <si>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</si>
  <si>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</si>
  <si>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</si>
  <si>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</si>
  <si>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</si>
  <si>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</si>
  <si>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</si>
  <si>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</si>
  <si>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</si>
  <si>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</si>
  <si>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</si>
  <si>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</si>
  <si>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</si>
  <si>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</si>
  <si>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</si>
  <si>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</si>
  <si>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</si>
  <si>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</si>
  <si>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</si>
  <si>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</si>
  <si>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</si>
  <si>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</si>
  <si>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</si>
  <si>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</si>
  <si>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</si>
  <si>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</si>
  <si>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</si>
  <si>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</si>
  <si>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</si>
  <si>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</si>
  <si>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</si>
  <si>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</si>
  <si>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</si>
  <si>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</si>
  <si>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</si>
  <si>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</si>
  <si>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</si>
  <si>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</si>
  <si>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</si>
  <si>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</si>
  <si>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</si>
  <si>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</si>
  <si>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</si>
  <si>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</si>
  <si>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</si>
  <si>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</si>
  <si>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</si>
  <si>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</si>
  <si>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</si>
  <si>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</si>
  <si>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</si>
  <si>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</si>
  <si>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</si>
  <si>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</si>
  <si>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</si>
  <si>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</si>
  <si>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</si>
  <si>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</si>
  <si>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</si>
  <si>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</si>
  <si>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</si>
  <si>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</si>
  <si>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</si>
  <si>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</si>
  <si>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</si>
  <si>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</si>
  <si>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</si>
  <si>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</si>
  <si>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</si>
  <si>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</si>
  <si>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</si>
  <si>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</si>
  <si>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</si>
  <si>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</si>
  <si>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</si>
  <si>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</si>
  <si>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</si>
  <si>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</si>
  <si>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</si>
  <si>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</si>
  <si>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</si>
  <si>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</si>
  <si>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</si>
  <si>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</si>
  <si>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</si>
  <si>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</si>
  <si>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</si>
  <si>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</si>
  <si>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</si>
  <si>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</si>
  <si>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</si>
  <si>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</si>
  <si>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</si>
  <si>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</si>
  <si>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</si>
  <si>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</si>
  <si>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</si>
  <si>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</si>
  <si>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</si>
  <si>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</si>
  <si>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</si>
  <si>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</si>
  <si>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</si>
  <si>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</si>
  <si>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</si>
  <si>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</si>
  <si>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</si>
  <si>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</si>
  <si>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</si>
  <si>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</si>
  <si>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</si>
  <si>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</si>
  <si>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</si>
  <si>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</si>
  <si>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</si>
  <si>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</si>
  <si>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</si>
  <si>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</si>
  <si>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</si>
  <si>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</si>
  <si>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</si>
  <si>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</si>
  <si>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</si>
  <si>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</si>
  <si>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</si>
  <si>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</si>
  <si>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</si>
  <si>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</si>
  <si>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</si>
  <si>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</si>
  <si>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</si>
  <si>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</si>
  <si>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</si>
  <si>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</si>
  <si>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</si>
  <si>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</si>
  <si>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</si>
  <si>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</si>
  <si>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</si>
  <si>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</si>
  <si>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</si>
  <si>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</si>
  <si>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</si>
  <si>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</si>
  <si>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</si>
  <si>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</si>
  <si>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</si>
  <si>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</si>
  <si>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</si>
  <si>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</si>
  <si>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</si>
  <si>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</si>
  <si>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</si>
  <si>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</si>
  <si>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</si>
  <si>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</si>
  <si>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</si>
  <si>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</si>
  <si>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</si>
  <si>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</si>
  <si>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</si>
  <si>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</si>
  <si>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</si>
  <si>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</si>
  <si>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</si>
  <si>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</si>
  <si>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</si>
  <si>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</si>
  <si>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</si>
  <si>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</si>
  <si>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</si>
  <si>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</si>
  <si>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</si>
  <si>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</si>
  <si>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</si>
  <si>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</si>
  <si>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</si>
  <si>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</si>
  <si>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</si>
  <si>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</si>
  <si>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</si>
  <si>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</si>
  <si>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</si>
  <si>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</si>
  <si>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</si>
  <si>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</si>
  <si>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</si>
  <si>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</si>
  <si>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</si>
  <si>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</si>
  <si>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</si>
  <si>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</si>
  <si>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</si>
  <si>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</si>
  <si>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</si>
  <si>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</si>
  <si>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</si>
  <si>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</si>
  <si>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</si>
  <si>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</si>
  <si>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</si>
  <si>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</si>
  <si>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</si>
  <si>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</si>
  <si>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</si>
  <si>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</si>
  <si>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</si>
  <si>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</si>
  <si>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</si>
  <si>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</si>
  <si>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</si>
  <si>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</si>
  <si>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</si>
  <si>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</si>
  <si>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</si>
  <si>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</si>
  <si>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</si>
  <si>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</si>
  <si>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</si>
  <si>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</si>
  <si>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</si>
  <si>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</si>
  <si>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</si>
  <si>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</si>
  <si>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</si>
  <si>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</si>
  <si>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</si>
  <si>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</si>
  <si>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</si>
  <si>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</si>
  <si>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</si>
  <si>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</si>
  <si>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</si>
  <si>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</si>
  <si>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</si>
  <si>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</si>
  <si>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</si>
  <si>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</si>
  <si>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</si>
  <si>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</si>
  <si>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</si>
  <si>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</si>
  <si>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</si>
  <si>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</si>
  <si>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</si>
  <si>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</si>
  <si>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</si>
  <si>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</si>
  <si>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</si>
  <si>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</si>
  <si>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</si>
  <si>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</si>
  <si>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</si>
  <si>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</si>
  <si>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</si>
  <si>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</si>
  <si>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</si>
  <si>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</si>
  <si>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</si>
  <si>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</si>
  <si>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</si>
  <si>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</si>
  <si>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</si>
  <si>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</si>
  <si>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</si>
  <si>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</si>
  <si>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</si>
  <si>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</si>
  <si>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</si>
  <si>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</si>
  <si>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</si>
  <si>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</si>
  <si>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</si>
  <si>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</si>
  <si>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</si>
  <si>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</si>
  <si>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</si>
  <si>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</si>
  <si>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</si>
  <si>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</si>
  <si>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</si>
  <si>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</si>
  <si>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</si>
  <si>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</si>
  <si>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</si>
  <si>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</si>
  <si>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</si>
  <si>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</si>
  <si>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</si>
  <si>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</si>
  <si>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</si>
  <si>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</si>
  <si>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</si>
  <si>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</si>
  <si>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</si>
  <si>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</si>
  <si>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</si>
  <si>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</si>
  <si>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</si>
  <si>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</si>
  <si>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</si>
  <si>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</si>
  <si>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</si>
  <si>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</si>
  <si>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</si>
  <si>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</si>
  <si>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</si>
  <si>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</si>
  <si>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</si>
  <si>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</si>
  <si>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</si>
  <si>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</si>
  <si>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</si>
  <si>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</si>
  <si>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</si>
  <si>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</si>
  <si>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</si>
  <si>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</si>
  <si>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</si>
  <si>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</si>
  <si>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</si>
  <si>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</si>
  <si>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</si>
  <si>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</si>
  <si>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</si>
  <si>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</si>
  <si>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</si>
  <si>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</si>
  <si>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</si>
  <si>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</si>
  <si>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</si>
  <si>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</si>
  <si>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</si>
  <si>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</si>
  <si>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</si>
  <si>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</si>
  <si>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</si>
  <si>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</si>
  <si>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</si>
  <si>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</si>
  <si>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</si>
  <si>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</si>
  <si>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</si>
  <si>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</si>
  <si>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</si>
  <si>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</si>
  <si>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</si>
  <si>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</si>
  <si>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</si>
  <si>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</si>
  <si>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</si>
  <si>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</si>
  <si>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</si>
  <si>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</si>
  <si>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</si>
  <si>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</si>
  <si>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</si>
  <si>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</si>
  <si>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</si>
  <si>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</si>
  <si>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</si>
  <si>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</si>
  <si>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</si>
  <si>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</si>
  <si>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</si>
  <si>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</si>
  <si>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</si>
  <si>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</si>
  <si>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</si>
  <si>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</si>
  <si>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</si>
  <si>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</si>
  <si>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</si>
  <si>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</si>
  <si>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</si>
  <si>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</si>
  <si>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</si>
  <si>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</si>
  <si>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</si>
  <si>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</si>
  <si>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</si>
  <si>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</si>
  <si>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</si>
  <si>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</si>
  <si>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</si>
  <si>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</si>
  <si>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</si>
  <si>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</si>
  <si>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</si>
  <si>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</si>
  <si>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</si>
  <si>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</si>
  <si>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</si>
  <si>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</si>
  <si>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</si>
  <si>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</si>
  <si>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</si>
  <si>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</si>
  <si>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</si>
  <si>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</si>
  <si>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</si>
  <si>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</si>
  <si>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</si>
  <si>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</si>
  <si>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</si>
  <si>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</si>
  <si>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</si>
  <si>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</si>
  <si>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</si>
  <si>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</si>
  <si>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</si>
  <si>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</si>
  <si>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</si>
  <si>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</si>
  <si>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</si>
  <si>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</si>
  <si>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</si>
  <si>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</si>
  <si>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</si>
  <si>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</si>
  <si>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</si>
  <si>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</si>
  <si>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</si>
  <si>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</si>
  <si>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</si>
  <si>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</si>
  <si>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</si>
  <si>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</si>
  <si>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</si>
  <si>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</si>
  <si>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</si>
  <si>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</si>
  <si>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</si>
  <si>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</si>
  <si>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</si>
  <si>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</si>
  <si>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</si>
  <si>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</si>
  <si>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</si>
  <si>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</si>
  <si>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</si>
  <si>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</si>
  <si>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</si>
  <si>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</si>
  <si>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</si>
  <si>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</si>
  <si>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</si>
  <si>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</si>
  <si>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</si>
  <si>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</si>
  <si>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</si>
  <si>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</si>
  <si>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</si>
  <si>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</si>
  <si>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</si>
  <si>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</si>
  <si>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</si>
  <si>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</si>
  <si>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</si>
  <si>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</si>
  <si>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</si>
  <si>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</si>
  <si>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</si>
  <si>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</si>
  <si>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</si>
  <si>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</si>
  <si>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</si>
  <si>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</si>
  <si>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</si>
  <si>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</si>
  <si>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</si>
  <si>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</si>
  <si>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</si>
  <si>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</si>
  <si>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</si>
  <si>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</si>
  <si>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</si>
  <si>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</si>
  <si>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</si>
  <si>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</si>
  <si>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</si>
  <si>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</si>
  <si>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</si>
  <si>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</si>
  <si>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</si>
  <si>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</si>
  <si>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</si>
  <si>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</si>
  <si>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</si>
  <si>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</si>
  <si>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</si>
  <si>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</si>
  <si>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</si>
  <si>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</si>
  <si>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</si>
  <si>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</si>
  <si>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</si>
  <si>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</si>
  <si>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</si>
  <si>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</si>
  <si>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</si>
  <si>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</si>
  <si>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</si>
  <si>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</si>
  <si>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</si>
  <si>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</si>
  <si>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</si>
  <si>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</si>
  <si>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</si>
  <si>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</si>
  <si>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</si>
  <si>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</si>
  <si>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</si>
  <si>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</si>
  <si>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</si>
  <si>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</si>
  <si>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</si>
  <si>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</si>
  <si>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</si>
  <si>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</si>
  <si>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</si>
  <si>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</si>
  <si>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</si>
  <si>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</si>
  <si>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</si>
  <si>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</si>
  <si>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</si>
  <si>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</si>
  <si>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</si>
  <si>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</si>
  <si>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</si>
  <si>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</si>
  <si>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</si>
  <si>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</si>
  <si>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</si>
  <si>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</si>
  <si>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</si>
  <si>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</si>
  <si>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</si>
  <si>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</si>
  <si>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</si>
  <si>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</si>
  <si>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</si>
  <si>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</si>
  <si>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</si>
  <si>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</si>
  <si>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</si>
  <si>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</si>
  <si>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</si>
  <si>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</si>
  <si>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</si>
  <si>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</si>
  <si>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</si>
  <si>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</si>
  <si>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</si>
  <si>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</si>
  <si>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</si>
  <si>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</si>
  <si>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</si>
  <si>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</si>
  <si>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</si>
  <si>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</si>
  <si>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</si>
  <si>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</si>
  <si>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</si>
  <si>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</si>
  <si>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</si>
  <si>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</si>
  <si>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</si>
  <si>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</si>
  <si>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</si>
  <si>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</si>
  <si>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</si>
  <si>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</si>
  <si>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</si>
  <si>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</si>
  <si>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</si>
  <si>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</si>
  <si>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</si>
  <si>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</si>
  <si>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</si>
  <si>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</si>
  <si>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</si>
  <si>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</si>
  <si>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</si>
  <si>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</si>
  <si>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</si>
  <si>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</si>
  <si>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</si>
  <si>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</si>
  <si>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</si>
  <si>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</si>
  <si>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</si>
  <si>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</si>
  <si>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</si>
  <si>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</si>
  <si>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</si>
  <si>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</si>
  <si>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</si>
  <si>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</si>
  <si>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</si>
  <si>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</si>
  <si>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</si>
  <si>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</si>
  <si>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</si>
  <si>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</si>
  <si>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</si>
  <si>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</si>
  <si>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</si>
  <si>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</si>
  <si>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</si>
  <si>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</si>
  <si>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</si>
  <si>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</si>
  <si>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</si>
  <si>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</si>
  <si>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</si>
  <si>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</si>
  <si>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</si>
  <si>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</si>
  <si>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</si>
  <si>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</si>
  <si>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</si>
  <si>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</si>
  <si>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</si>
  <si>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</si>
  <si>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</si>
  <si>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</si>
  <si>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</si>
  <si>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</si>
  <si>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</si>
  <si>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</si>
  <si>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</si>
  <si>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</si>
  <si>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</si>
  <si>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</si>
  <si>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</si>
  <si>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</si>
  <si>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</si>
  <si>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</si>
  <si>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</si>
  <si>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</si>
  <si>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</si>
  <si>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</si>
  <si>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</si>
  <si>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</si>
  <si>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</si>
  <si>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</si>
  <si>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</si>
  <si>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</si>
  <si>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</si>
  <si>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</si>
  <si>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</si>
  <si>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</si>
  <si>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</si>
  <si>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</si>
  <si>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</si>
  <si>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</si>
  <si>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</si>
  <si>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</si>
  <si>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</si>
  <si>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</si>
  <si>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</si>
  <si>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</si>
  <si>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</si>
  <si>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</si>
  <si>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</si>
  <si>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</si>
  <si>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</si>
  <si>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</si>
  <si>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</si>
  <si>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</si>
  <si>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</si>
  <si>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</si>
  <si>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</si>
  <si>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</si>
  <si>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</si>
  <si>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</si>
  <si>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</si>
  <si>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</si>
  <si>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</si>
  <si>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</si>
  <si>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</si>
  <si>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</si>
  <si>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</si>
  <si>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</si>
  <si>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</si>
  <si>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</si>
  <si>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</si>
  <si>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</si>
  <si>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</si>
  <si>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</si>
  <si>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</si>
  <si>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</si>
  <si>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</si>
  <si>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</si>
  <si>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</si>
  <si>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</si>
  <si>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</si>
  <si>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</si>
  <si>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</si>
  <si>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</si>
  <si>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</si>
  <si>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</si>
  <si>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</si>
  <si>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</si>
  <si>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</si>
  <si>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</si>
  <si>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</si>
  <si>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</si>
  <si>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</si>
  <si>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</si>
  <si>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</si>
  <si>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</si>
  <si>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</si>
  <si>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</si>
  <si>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</si>
  <si>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</si>
  <si>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</si>
  <si>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</si>
  <si>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</si>
  <si>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</si>
  <si>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</si>
  <si>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</si>
  <si>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</si>
  <si>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</si>
  <si>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</si>
  <si>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</si>
  <si>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</si>
  <si>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</si>
  <si>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</si>
  <si>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</si>
  <si>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</si>
  <si>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</si>
  <si>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</si>
  <si>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</si>
  <si>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</si>
  <si>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</si>
  <si>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</si>
  <si>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</si>
  <si>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</si>
  <si>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</si>
  <si>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</si>
  <si>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</si>
  <si>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</si>
  <si>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</si>
  <si>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</si>
  <si>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</si>
  <si>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</si>
  <si>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</si>
  <si>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</si>
  <si>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</si>
  <si>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</si>
  <si>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</si>
  <si>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</si>
  <si>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</si>
  <si>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</si>
  <si>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</si>
  <si>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</si>
  <si>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</si>
  <si>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</si>
  <si>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</si>
  <si>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</si>
  <si>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</si>
  <si>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</si>
  <si>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</si>
  <si>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</si>
  <si>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</si>
  <si>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</si>
  <si>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</si>
  <si>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</si>
  <si>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</si>
  <si>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</si>
  <si>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</si>
  <si>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</si>
  <si>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</si>
  <si>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</si>
  <si>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</si>
  <si>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</si>
  <si>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</si>
  <si>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</si>
  <si>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</si>
  <si>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</si>
  <si>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</si>
  <si>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</si>
  <si>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</si>
  <si>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</si>
  <si>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</si>
  <si>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</si>
  <si>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</si>
  <si>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</si>
  <si>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</si>
  <si>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</si>
  <si>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</si>
  <si>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</si>
  <si>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</si>
  <si>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</si>
  <si>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</si>
  <si>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</si>
  <si>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</si>
  <si>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</si>
  <si>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</si>
  <si>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</si>
  <si>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</si>
  <si>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</si>
  <si>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</si>
  <si>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</si>
  <si>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</si>
  <si>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</si>
  <si>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</si>
  <si>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</si>
  <si>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</si>
  <si>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</si>
  <si>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</si>
  <si>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</si>
  <si>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</si>
  <si>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</si>
  <si>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</si>
  <si>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</si>
  <si>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</si>
  <si>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</si>
  <si>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</si>
  <si>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</si>
  <si>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</si>
  <si>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</si>
  <si>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</si>
  <si>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</si>
  <si>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</si>
  <si>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</si>
  <si>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</si>
  <si>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</si>
  <si>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</si>
  <si>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</si>
  <si>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</si>
  <si>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</si>
  <si>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</si>
  <si>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</si>
  <si>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</si>
  <si>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</si>
  <si>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</si>
  <si>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</si>
  <si>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</si>
  <si>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</si>
  <si>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</si>
  <si>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</si>
  <si>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</si>
  <si>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</si>
  <si>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</si>
  <si>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</si>
  <si>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</si>
  <si>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</si>
  <si>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</si>
  <si>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</si>
  <si>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</si>
  <si>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</si>
  <si>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</si>
  <si>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</si>
  <si>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</si>
  <si>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</si>
  <si>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</si>
  <si>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</si>
  <si>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</si>
  <si>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</si>
  <si>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</si>
  <si>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</si>
  <si>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</si>
  <si>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</si>
  <si>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</si>
  <si>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</si>
  <si>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</si>
  <si>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</si>
  <si>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</si>
  <si>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</si>
  <si>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</si>
  <si>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</si>
  <si>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</si>
  <si>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</si>
  <si>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</si>
  <si>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</si>
  <si>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</si>
  <si>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</si>
  <si>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</si>
  <si>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</si>
  <si>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</si>
  <si>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</si>
  <si>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</si>
  <si>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</si>
  <si>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</si>
  <si>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</si>
  <si>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</si>
  <si>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</si>
  <si>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</si>
  <si>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</si>
  <si>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</si>
  <si>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</si>
  <si>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</si>
  <si>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</si>
  <si>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</si>
  <si>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</si>
  <si>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</si>
  <si>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</si>
  <si>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</si>
  <si>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</si>
  <si>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</si>
  <si>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</si>
  <si>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</si>
  <si>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</si>
  <si>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</si>
  <si>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</si>
  <si>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</si>
  <si>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</si>
  <si>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</si>
  <si>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</si>
  <si>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</si>
  <si>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</si>
  <si>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</si>
  <si>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</si>
  <si>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</si>
  <si>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</si>
  <si>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</si>
  <si>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</si>
  <si>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</si>
  <si>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</si>
  <si>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</si>
  <si>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</si>
  <si>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</si>
  <si>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</si>
  <si>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</si>
  <si>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</si>
  <si>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</si>
  <si>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</si>
  <si>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</si>
  <si>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</si>
  <si>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</si>
  <si>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</si>
  <si>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</si>
  <si>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</si>
  <si>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</si>
  <si>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</si>
  <si>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</si>
  <si>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</si>
  <si>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</si>
  <si>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</si>
  <si>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</si>
  <si>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</si>
  <si>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</si>
  <si>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</si>
  <si>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</si>
  <si>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</si>
  <si>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</si>
  <si>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</si>
  <si>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</si>
  <si>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</si>
  <si>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</si>
  <si>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</si>
  <si>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</si>
  <si>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</si>
  <si>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</si>
  <si>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</si>
  <si>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</si>
  <si>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</si>
  <si>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</si>
  <si>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</si>
  <si>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</si>
  <si>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</si>
  <si>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</si>
  <si>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</si>
  <si>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</si>
  <si>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</si>
  <si>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</si>
  <si>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</si>
  <si>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</si>
  <si>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</si>
  <si>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</si>
  <si>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</si>
  <si>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</si>
  <si>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</si>
  <si>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</si>
  <si>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</si>
  <si>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</si>
  <si>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</si>
  <si>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</si>
  <si>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</si>
  <si>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</si>
  <si>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</si>
  <si>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</si>
  <si>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</si>
  <si>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</si>
  <si>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</si>
  <si>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</si>
  <si>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</si>
  <si>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</si>
  <si>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</si>
  <si>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</si>
  <si>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</si>
  <si>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</si>
  <si>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</si>
  <si>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</si>
  <si>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</si>
  <si>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</si>
  <si>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</si>
  <si>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</si>
  <si>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</si>
  <si>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</si>
  <si>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</si>
  <si>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</si>
  <si>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</si>
  <si>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</si>
  <si>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</si>
  <si>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</si>
  <si>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</si>
  <si>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</si>
  <si>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</si>
  <si>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</si>
  <si>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</si>
  <si>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</si>
  <si>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</si>
  <si>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</si>
  <si>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</si>
  <si>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</si>
  <si>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</si>
  <si>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</si>
  <si>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</si>
  <si>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</si>
  <si>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</si>
  <si>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</si>
  <si>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</si>
  <si>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</si>
  <si>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</si>
  <si>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</si>
  <si>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</si>
  <si>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</si>
  <si>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</si>
  <si>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</si>
  <si>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</si>
  <si>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</si>
  <si>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</si>
  <si>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</si>
  <si>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</si>
  <si>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</si>
  <si>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</si>
  <si>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</si>
  <si>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</si>
  <si>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</si>
  <si>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</si>
  <si>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</si>
  <si>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</si>
  <si>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</si>
  <si>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</si>
  <si>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</si>
  <si>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</si>
  <si>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</si>
  <si>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</si>
  <si>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</si>
  <si>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</si>
  <si>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</si>
  <si>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</si>
  <si>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</si>
  <si>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</si>
  <si>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</si>
  <si>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</si>
  <si>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</si>
  <si>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</si>
  <si>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</si>
  <si>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</si>
  <si>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</si>
  <si>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</si>
  <si>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</si>
  <si>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</si>
  <si>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</si>
  <si>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</si>
  <si>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</si>
  <si>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</si>
  <si>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</si>
  <si>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</si>
  <si>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</si>
  <si>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</si>
  <si>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</si>
  <si>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</si>
  <si>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</si>
  <si>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</si>
  <si>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</si>
  <si>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</si>
  <si>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</si>
  <si>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</si>
  <si>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</si>
  <si>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</si>
  <si>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</si>
  <si>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</si>
  <si>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</si>
  <si>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</si>
  <si>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</si>
  <si>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</si>
  <si>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</si>
  <si>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</si>
  <si>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</si>
  <si>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</si>
  <si>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</si>
  <si>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</si>
  <si>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</si>
  <si>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</si>
  <si>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</si>
  <si>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</si>
  <si>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</si>
  <si>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</si>
  <si>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</si>
  <si>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</si>
  <si>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</si>
  <si>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</si>
  <si>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</si>
  <si>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</si>
  <si>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</si>
  <si>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</si>
  <si>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</si>
  <si>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</si>
  <si>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</si>
  <si>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</si>
  <si>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</si>
  <si>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</si>
  <si>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</si>
  <si>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</si>
  <si>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</si>
  <si>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</si>
  <si>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</si>
  <si>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</si>
  <si>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</si>
  <si>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</si>
  <si>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</si>
  <si>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</si>
  <si>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</si>
  <si>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</si>
  <si>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</si>
  <si>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</si>
  <si>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</si>
  <si>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</si>
  <si>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</si>
  <si>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</si>
  <si>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</si>
  <si>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</si>
  <si>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</si>
  <si>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</si>
  <si>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</si>
  <si>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</si>
  <si>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</si>
  <si>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</si>
  <si>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</si>
  <si>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</si>
  <si>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</si>
  <si>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</si>
  <si>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</si>
  <si>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</si>
  <si>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</si>
  <si>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</si>
  <si>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</si>
  <si>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</si>
  <si>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</si>
  <si>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</si>
  <si>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</si>
  <si>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</si>
  <si>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</si>
  <si>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</si>
  <si>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</si>
  <si>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</si>
  <si>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</si>
  <si>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</si>
  <si>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</si>
  <si>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</si>
  <si>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</si>
  <si>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</si>
  <si>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</si>
  <si>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</si>
  <si>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</si>
  <si>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</si>
  <si>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</si>
  <si>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</si>
  <si>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</si>
  <si>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</si>
  <si>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</si>
  <si>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</si>
  <si>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</si>
  <si>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</si>
  <si>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</si>
  <si>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</si>
  <si>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</si>
  <si>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</si>
  <si>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</si>
  <si>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</si>
  <si>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</si>
  <si>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</si>
  <si>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</si>
  <si>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</si>
  <si>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</si>
  <si>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</si>
  <si>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</si>
  <si>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</si>
  <si>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</si>
  <si>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</si>
  <si>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</si>
  <si>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</si>
  <si>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</si>
  <si>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</si>
  <si>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</si>
  <si>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</si>
  <si>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</si>
  <si>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</si>
  <si>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</si>
  <si>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</si>
  <si>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</si>
  <si>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</si>
  <si>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</si>
  <si>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</si>
  <si>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</si>
  <si>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</si>
  <si>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</si>
  <si>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</si>
  <si>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</si>
  <si>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</si>
  <si>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</si>
  <si>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</si>
  <si>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</si>
  <si>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</si>
  <si>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</si>
  <si>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</si>
  <si>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</si>
  <si>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</si>
  <si>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</si>
  <si>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</si>
  <si>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</si>
  <si>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</si>
  <si>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</si>
  <si>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</si>
  <si>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</si>
  <si>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</si>
  <si>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</si>
  <si>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</si>
  <si>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</si>
  <si>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</si>
  <si>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</si>
  <si>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</si>
  <si>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</si>
  <si>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</si>
  <si>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</si>
  <si>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</si>
  <si>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</si>
  <si>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</si>
  <si>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</si>
  <si>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</si>
  <si>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</si>
  <si>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</si>
  <si>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</si>
  <si>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</si>
  <si>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</si>
  <si>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</si>
  <si>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</si>
  <si>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</si>
  <si>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</si>
  <si>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</si>
  <si>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</si>
  <si>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</si>
  <si>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</si>
  <si>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</si>
  <si>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</si>
  <si>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</si>
  <si>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</si>
  <si>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</si>
  <si>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</si>
  <si>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</si>
  <si>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</si>
  <si>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</si>
  <si>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</si>
  <si>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</si>
  <si>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</si>
  <si>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</si>
  <si>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</si>
  <si>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</si>
  <si>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</si>
  <si>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</si>
  <si>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</si>
  <si>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</si>
  <si>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</si>
  <si>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</si>
  <si>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</si>
  <si>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</si>
  <si>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</si>
  <si>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</si>
  <si>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</si>
  <si>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</si>
  <si>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</si>
  <si>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</si>
  <si>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</si>
  <si>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</si>
  <si>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</si>
  <si>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</si>
  <si>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</si>
  <si>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</si>
  <si>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</si>
  <si>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</si>
  <si>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</si>
  <si>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</si>
  <si>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</si>
  <si>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</si>
  <si>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</si>
  <si>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</si>
  <si>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</si>
  <si>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</si>
  <si>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</si>
  <si>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</si>
  <si>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</si>
  <si>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</si>
  <si>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</si>
  <si>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</si>
  <si>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</si>
  <si>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</si>
  <si>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</si>
  <si>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</si>
  <si>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</si>
  <si>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</si>
  <si>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</si>
  <si>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</si>
  <si>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</si>
  <si>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</si>
  <si>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</si>
  <si>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</si>
  <si>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</si>
  <si>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</si>
  <si>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</si>
  <si>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</si>
  <si>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</si>
  <si>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</si>
  <si>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</si>
  <si>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</si>
  <si>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</si>
  <si>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</si>
  <si>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</si>
  <si>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</si>
  <si>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</si>
  <si>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</si>
  <si>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</si>
  <si>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</si>
  <si>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</si>
  <si>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</si>
  <si>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</si>
  <si>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</si>
  <si>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</si>
  <si>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</si>
  <si>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</si>
  <si>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</si>
  <si>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</si>
  <si>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</si>
  <si>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</si>
  <si>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</si>
  <si>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</si>
  <si>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</si>
  <si>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</si>
  <si>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</si>
  <si>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</si>
  <si>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</si>
  <si>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</si>
  <si>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</si>
  <si>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</si>
  <si>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</si>
  <si>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</si>
  <si>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</si>
  <si>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</si>
  <si>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</si>
  <si>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</si>
  <si>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</si>
  <si>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</si>
  <si>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</si>
  <si>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</si>
  <si>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</si>
  <si>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</si>
  <si>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</si>
  <si>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</si>
  <si>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</si>
  <si>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</si>
  <si>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</si>
  <si>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</si>
  <si>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</si>
  <si>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</si>
  <si>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</si>
  <si>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</si>
  <si>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</si>
  <si>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</si>
  <si>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</si>
  <si>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</si>
  <si>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</si>
  <si>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</si>
  <si>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</si>
  <si>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</si>
  <si>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</si>
  <si>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</si>
  <si>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</si>
  <si>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</si>
  <si>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</si>
  <si>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</si>
  <si>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</si>
  <si>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</si>
  <si>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</si>
  <si>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</si>
  <si>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</si>
  <si>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</si>
  <si>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</si>
  <si>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</si>
  <si>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</si>
  <si>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</si>
  <si>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</si>
  <si>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</si>
  <si>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</si>
  <si>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</si>
  <si>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</si>
  <si>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</si>
  <si>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</si>
  <si>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</si>
  <si>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</si>
  <si>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</si>
  <si>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</si>
  <si>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</si>
  <si>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</si>
  <si>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</si>
  <si>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</si>
  <si>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</si>
  <si>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</si>
  <si>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</si>
  <si>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</si>
  <si>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</si>
  <si>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</si>
  <si>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</si>
  <si>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</si>
  <si>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</si>
  <si>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</si>
  <si>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</si>
  <si>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</si>
  <si>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</si>
  <si>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</si>
  <si>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</si>
  <si>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</si>
  <si>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</si>
  <si>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</si>
  <si>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</si>
  <si>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</si>
  <si>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</si>
  <si>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</si>
  <si>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</si>
  <si>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</si>
  <si>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</si>
  <si>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</si>
  <si>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</si>
  <si>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</si>
  <si>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</si>
  <si>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</si>
  <si>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</si>
  <si>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</si>
  <si>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</si>
  <si>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</si>
  <si>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</si>
  <si>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</si>
  <si>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</si>
  <si>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</si>
  <si>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</si>
  <si>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</si>
  <si>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</si>
  <si>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</si>
  <si>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</si>
  <si>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</si>
  <si>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</si>
  <si>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</si>
  <si>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</si>
  <si>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</si>
  <si>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</si>
  <si>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</si>
  <si>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</si>
  <si>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</si>
  <si>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</si>
  <si>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</si>
  <si>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</si>
  <si>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</si>
  <si>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</si>
  <si>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</si>
  <si>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</si>
  <si>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</si>
  <si>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</si>
  <si>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</si>
  <si>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</si>
  <si>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</si>
  <si>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</si>
  <si>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</si>
  <si>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</si>
  <si>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</si>
  <si>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</si>
  <si>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</si>
  <si>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</si>
  <si>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</si>
  <si>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</si>
  <si>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</si>
  <si>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</si>
  <si>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</si>
  <si>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</si>
  <si>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</si>
  <si>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</si>
  <si>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</si>
  <si>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</si>
  <si>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</si>
  <si>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</si>
  <si>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</si>
  <si>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</si>
  <si>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</si>
  <si>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</si>
  <si>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</si>
  <si>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</si>
  <si>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</si>
  <si>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</si>
  <si>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</si>
  <si>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</si>
  <si>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</si>
  <si>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</si>
  <si>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</si>
  <si>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</si>
  <si>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</si>
  <si>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</si>
  <si>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</si>
  <si>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</si>
  <si>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</si>
  <si>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</si>
  <si>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</si>
  <si>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</si>
  <si>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</si>
  <si>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</si>
  <si>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</si>
  <si>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</si>
  <si>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</si>
  <si>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</si>
  <si>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</si>
  <si>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</si>
  <si>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</si>
  <si>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</si>
  <si>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</si>
  <si>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</si>
  <si>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</si>
  <si>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</si>
  <si>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</si>
  <si>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</si>
  <si>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</si>
  <si>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</si>
  <si>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</si>
  <si>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</si>
  <si>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</si>
  <si>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</si>
  <si>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</si>
  <si>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</si>
  <si>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</si>
  <si>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</si>
  <si>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</si>
  <si>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</si>
  <si>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</si>
  <si>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</si>
  <si>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</si>
  <si>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</si>
  <si>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</si>
  <si>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</si>
  <si>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</si>
  <si>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</si>
  <si>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</si>
  <si>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</si>
  <si>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</si>
  <si>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</si>
  <si>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</si>
  <si>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</si>
  <si>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</si>
  <si>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</si>
  <si>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</si>
  <si>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</si>
  <si>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</si>
  <si>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</si>
  <si>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</si>
  <si>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</si>
  <si>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</si>
  <si>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</si>
  <si>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</si>
  <si>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</si>
  <si>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</si>
  <si>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</si>
  <si>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</si>
  <si>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</si>
  <si>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</si>
  <si>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</si>
  <si>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</si>
  <si>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</si>
  <si>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</si>
  <si>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</si>
  <si>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</si>
  <si>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</si>
  <si>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</si>
  <si>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</si>
  <si>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</si>
  <si>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</si>
  <si>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</si>
  <si>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</si>
  <si>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</si>
  <si>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</si>
  <si>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</si>
  <si>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</si>
  <si>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</si>
  <si>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</si>
  <si>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</si>
  <si>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</si>
  <si>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</si>
  <si>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</si>
  <si>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</si>
  <si>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</si>
  <si>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</si>
  <si>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</si>
  <si>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</si>
  <si>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</si>
  <si>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</si>
  <si>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</si>
  <si>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</si>
  <si>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</si>
  <si>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</si>
  <si>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</si>
  <si>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</si>
  <si>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</si>
  <si>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</si>
  <si>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</si>
  <si>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</si>
  <si>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</si>
  <si>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</si>
  <si>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</si>
  <si>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</si>
  <si>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</si>
  <si>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</si>
  <si>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</si>
  <si>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</si>
  <si>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</si>
  <si>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</si>
  <si>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</si>
  <si>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</si>
  <si>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</si>
  <si>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</si>
  <si>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</si>
  <si>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</si>
  <si>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</si>
  <si>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</si>
  <si>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</si>
  <si>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</si>
  <si>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</si>
  <si>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</si>
  <si>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</si>
  <si>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</si>
  <si>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</si>
  <si>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</si>
  <si>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</si>
  <si>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</si>
  <si>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</si>
  <si>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</si>
  <si>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</si>
  <si>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</si>
  <si>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</si>
  <si>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</si>
  <si>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</si>
  <si>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</si>
  <si>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</si>
  <si>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</si>
  <si>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</si>
  <si>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</si>
  <si>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</si>
  <si>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</si>
  <si>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</si>
  <si>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</si>
  <si>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</si>
  <si>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</si>
  <si>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</si>
  <si>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</si>
  <si>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</si>
  <si>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</si>
  <si>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</si>
  <si>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</si>
  <si>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</si>
  <si>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</si>
  <si>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</si>
  <si>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</si>
  <si>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</si>
  <si>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</si>
  <si>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</si>
  <si>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</si>
  <si>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</si>
  <si>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</si>
  <si>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</si>
  <si>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</si>
  <si>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</si>
  <si>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</si>
  <si>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</si>
  <si>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</si>
  <si>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</si>
  <si>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</si>
  <si>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</si>
  <si>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</si>
  <si>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</si>
  <si>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</si>
  <si>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</si>
  <si>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</si>
  <si>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</si>
  <si>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</si>
  <si>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</si>
  <si>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</si>
  <si>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</si>
  <si>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</si>
  <si>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</si>
  <si>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</si>
  <si>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</si>
  <si>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</si>
  <si>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</si>
  <si>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</si>
  <si>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</si>
  <si>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</si>
  <si>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</si>
  <si>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</si>
  <si>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</si>
  <si>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</si>
  <si>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</si>
  <si>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</si>
  <si>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</si>
  <si>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</si>
  <si>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</si>
  <si>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</si>
  <si>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</si>
  <si>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</si>
  <si>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</si>
  <si>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</si>
  <si>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</si>
  <si>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</si>
  <si>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</si>
  <si>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</si>
  <si>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</si>
  <si>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</si>
  <si>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</si>
  <si>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</si>
  <si>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</si>
  <si>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</si>
  <si>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</si>
  <si>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</si>
  <si>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</si>
  <si>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</si>
  <si>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</si>
  <si>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</si>
  <si>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</si>
  <si>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</si>
  <si>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</si>
  <si>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</si>
  <si>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</si>
  <si>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</si>
  <si>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</si>
  <si>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</si>
  <si>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</si>
  <si>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</si>
  <si>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</si>
  <si>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</si>
  <si>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</si>
  <si>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</si>
  <si>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</si>
  <si>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</si>
  <si>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</si>
  <si>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</si>
  <si>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</si>
  <si>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</si>
  <si>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</si>
  <si>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</si>
  <si>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</si>
  <si>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</si>
  <si>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</si>
  <si>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</si>
  <si>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</si>
  <si>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</si>
  <si>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</si>
  <si>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</si>
  <si>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</si>
  <si>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</si>
  <si>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</si>
  <si>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</si>
  <si>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</si>
  <si>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</si>
  <si>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</si>
  <si>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</si>
  <si>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</si>
  <si>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</si>
  <si>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</si>
  <si>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</si>
  <si>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</si>
  <si>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</si>
  <si>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</si>
  <si>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</si>
  <si>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</si>
  <si>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</si>
  <si>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</si>
  <si>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</si>
  <si>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</si>
  <si>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</si>
  <si>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</si>
  <si>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</si>
  <si>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</si>
  <si>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</si>
  <si>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</si>
  <si>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</si>
  <si>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</si>
  <si>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</si>
  <si>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</si>
  <si>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</si>
  <si>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</si>
  <si>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</si>
  <si>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</si>
  <si>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</si>
  <si>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</si>
  <si>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</si>
  <si>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</si>
  <si>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</si>
  <si>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</si>
  <si>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</si>
  <si>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</si>
  <si>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</si>
  <si>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</si>
  <si>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</si>
  <si>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</si>
  <si>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</si>
  <si>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</si>
  <si>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</si>
  <si>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</si>
  <si>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</si>
  <si>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</si>
  <si>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</si>
  <si>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</si>
  <si>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</si>
  <si>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</si>
  <si>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</si>
  <si>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</si>
  <si>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</si>
  <si>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</si>
  <si>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</si>
  <si>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</si>
  <si>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</si>
  <si>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</si>
  <si>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</si>
  <si>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</si>
  <si>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</si>
  <si>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</si>
  <si>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</si>
  <si>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</si>
  <si>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</si>
  <si>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</si>
  <si>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</si>
  <si>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</si>
  <si>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</si>
  <si>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</si>
  <si>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</si>
  <si>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</si>
  <si>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</si>
  <si>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</si>
  <si>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</si>
  <si>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</si>
  <si>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</si>
  <si>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</si>
  <si>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</si>
  <si>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</si>
  <si>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</si>
  <si>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</si>
  <si>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</si>
  <si>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</si>
  <si>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</si>
  <si>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</si>
  <si>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</si>
  <si>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</si>
  <si>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</si>
  <si>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</si>
  <si>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</si>
  <si>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</si>
  <si>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</si>
  <si>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</si>
  <si>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</si>
  <si>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</si>
  <si>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</si>
  <si>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</si>
  <si>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</si>
  <si>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</si>
  <si>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</si>
  <si>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</si>
  <si>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</si>
  <si>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</si>
  <si>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</si>
  <si>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</si>
  <si>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</si>
  <si>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</si>
  <si>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</si>
  <si>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</si>
  <si>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</si>
  <si>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</si>
  <si>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</si>
  <si>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</si>
  <si>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</si>
  <si>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</si>
  <si>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</si>
  <si>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</si>
  <si>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</si>
  <si>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</si>
  <si>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</si>
  <si>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</si>
  <si>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</si>
  <si>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</si>
  <si>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</si>
  <si>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</si>
  <si>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</si>
  <si>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</si>
  <si>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</si>
  <si>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</si>
  <si>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</si>
  <si>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</si>
  <si>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</si>
  <si>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</si>
  <si>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</si>
  <si>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</si>
  <si>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</si>
  <si>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</si>
  <si>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</si>
  <si>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</si>
  <si>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</si>
  <si>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</si>
  <si>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</si>
  <si>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</si>
  <si>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</si>
  <si>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</si>
  <si>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</si>
  <si>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</si>
  <si>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</si>
  <si>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</si>
  <si>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</si>
  <si>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</si>
  <si>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</si>
  <si>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</si>
  <si>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</si>
  <si>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</si>
  <si>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</si>
  <si>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</si>
  <si>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</si>
  <si>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</si>
  <si>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</si>
  <si>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</si>
  <si>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</si>
  <si>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</si>
  <si>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</si>
  <si>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</si>
  <si>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</si>
  <si>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</si>
  <si>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</si>
  <si>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</si>
  <si>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</si>
  <si>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</si>
  <si>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</si>
  <si>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</si>
  <si>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</si>
  <si>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</si>
  <si>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</si>
  <si>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</si>
  <si>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</si>
  <si>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</si>
  <si>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</si>
  <si>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</si>
  <si>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</si>
  <si>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</si>
  <si>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</si>
  <si>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</si>
  <si>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</si>
  <si>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</si>
  <si>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</si>
  <si>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</si>
  <si>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</si>
  <si>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</si>
  <si>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</si>
  <si>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</si>
  <si>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</si>
  <si>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</si>
  <si>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</si>
  <si>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</si>
  <si>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</si>
  <si>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</si>
  <si>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</si>
  <si>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</si>
  <si>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</si>
  <si>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</si>
  <si>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</si>
  <si>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</si>
  <si>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</si>
  <si>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</si>
  <si>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</si>
  <si>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</si>
  <si>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</si>
  <si>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</si>
  <si>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</si>
  <si>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</si>
  <si>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</si>
  <si>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</si>
  <si>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</si>
  <si>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</si>
  <si>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</si>
  <si>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</si>
  <si>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</si>
  <si>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</si>
  <si>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</si>
  <si>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</si>
  <si>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</si>
  <si>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</si>
  <si>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</si>
  <si>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</si>
  <si>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</si>
  <si>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</si>
  <si>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</si>
  <si>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</si>
  <si>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</si>
  <si>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</si>
  <si>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</si>
  <si>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</si>
  <si>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</si>
  <si>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</si>
  <si>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</si>
  <si>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</si>
  <si>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</si>
  <si>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</si>
  <si>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</si>
  <si>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</si>
  <si>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</si>
  <si>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</si>
  <si>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</si>
  <si>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</si>
  <si>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</si>
  <si>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</si>
  <si>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</si>
  <si>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</si>
  <si>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</si>
  <si>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</si>
  <si>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</si>
  <si>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</si>
  <si>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</si>
  <si>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</si>
  <si>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</si>
  <si>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</si>
  <si>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</si>
  <si>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</si>
  <si>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</si>
  <si>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</si>
  <si>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</si>
  <si>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</si>
  <si>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</si>
  <si>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</si>
  <si>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</si>
  <si>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</si>
  <si>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</si>
  <si>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</si>
  <si>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</si>
  <si>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</si>
  <si>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</si>
  <si>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</si>
  <si>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</si>
  <si>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</si>
  <si>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</si>
  <si>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</si>
  <si>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</si>
  <si>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</si>
  <si>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</si>
  <si>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</si>
  <si>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</si>
  <si>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</si>
  <si>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</si>
  <si>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</si>
  <si>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</si>
  <si>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</si>
  <si>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</si>
  <si>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</si>
  <si>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</si>
  <si>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</si>
  <si>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</si>
  <si>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</si>
  <si>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</si>
  <si>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</si>
  <si>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</si>
  <si>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</si>
  <si>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</si>
  <si>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</si>
  <si>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</si>
  <si>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</si>
  <si>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</si>
  <si>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</si>
  <si>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</si>
  <si>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</si>
  <si>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</si>
  <si>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</si>
  <si>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</si>
  <si>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</si>
  <si>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</si>
  <si>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</si>
  <si>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</si>
  <si>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</si>
  <si>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</si>
  <si>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</si>
  <si>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</si>
  <si>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</si>
  <si>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</si>
  <si>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</si>
  <si>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</si>
  <si>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</si>
  <si>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</si>
  <si>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</si>
  <si>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</si>
  <si>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</si>
  <si>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</si>
  <si>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</si>
  <si>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</si>
  <si>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</si>
  <si>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</si>
  <si>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</si>
  <si>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</si>
  <si>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</si>
  <si>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</si>
  <si>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</si>
  <si>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</si>
  <si>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</si>
  <si>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</si>
  <si>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</si>
  <si>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</si>
  <si>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</si>
  <si>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</si>
  <si>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</si>
  <si>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</si>
  <si>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</si>
  <si>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</si>
  <si>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</si>
  <si>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</si>
  <si>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</si>
  <si>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</si>
  <si>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</si>
  <si>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</si>
  <si>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</si>
  <si>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</si>
  <si>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</si>
  <si>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</si>
  <si>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</si>
  <si>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</si>
  <si>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</si>
  <si>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</si>
  <si>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</si>
  <si>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</si>
  <si>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</si>
  <si>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</si>
  <si>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</si>
  <si>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</si>
  <si>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</si>
  <si>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</si>
  <si>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</si>
  <si>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</si>
  <si>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</si>
  <si>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</si>
  <si>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</si>
  <si>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</si>
  <si>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</si>
  <si>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</si>
  <si>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</si>
  <si>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</si>
  <si>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</si>
  <si>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</si>
  <si>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</si>
  <si>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</si>
  <si>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</si>
  <si>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</si>
  <si>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</si>
  <si>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</si>
  <si>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</si>
  <si>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</si>
  <si>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</si>
  <si>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</si>
  <si>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</si>
  <si>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</si>
  <si>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</si>
  <si>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</si>
  <si>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</si>
  <si>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</si>
  <si>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</si>
  <si>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</si>
  <si>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</si>
  <si>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</si>
  <si>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</si>
  <si>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</si>
  <si>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</si>
  <si>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</si>
  <si>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</si>
  <si>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</si>
  <si>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</si>
  <si>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</si>
  <si>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</si>
  <si>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</si>
  <si>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</si>
  <si>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</si>
  <si>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</si>
  <si>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</si>
  <si>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</si>
  <si>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</si>
  <si>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</si>
  <si>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</si>
  <si>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</si>
  <si>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</si>
  <si>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</si>
  <si>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</si>
  <si>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</si>
  <si>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</si>
  <si>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</si>
  <si>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</si>
  <si>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</si>
  <si>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</si>
  <si>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</si>
  <si>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</si>
  <si>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</si>
  <si>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</si>
  <si>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</si>
  <si>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</si>
  <si>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</si>
  <si>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</si>
  <si>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</si>
  <si>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</si>
  <si>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</si>
  <si>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</si>
  <si>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</si>
  <si>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</si>
  <si>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</si>
  <si>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</si>
  <si>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</si>
  <si>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</si>
  <si>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</si>
  <si>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</si>
  <si>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</si>
  <si>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</si>
  <si>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</si>
  <si>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</si>
  <si>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</si>
  <si>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</si>
  <si>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</si>
  <si>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</si>
  <si>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</si>
  <si>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</si>
  <si>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</si>
  <si>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</si>
  <si>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</si>
  <si>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</si>
  <si>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</si>
  <si>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</si>
  <si>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</si>
  <si>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</si>
  <si>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</si>
  <si>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</si>
  <si>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</si>
  <si>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</si>
  <si>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</si>
  <si>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</si>
  <si>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</si>
  <si>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</si>
  <si>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</si>
  <si>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</si>
  <si>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</si>
  <si>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</si>
  <si>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</si>
  <si>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</si>
  <si>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</si>
  <si>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</si>
  <si>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</si>
  <si>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</si>
  <si>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</si>
  <si>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</si>
  <si>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</si>
  <si>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</si>
  <si>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</si>
  <si>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</si>
  <si>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</si>
  <si>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</si>
  <si>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</si>
  <si>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</si>
  <si>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</si>
  <si>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</si>
  <si>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</si>
  <si>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</si>
  <si>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</si>
  <si>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</si>
  <si>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</si>
  <si>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</si>
  <si>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</si>
  <si>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</si>
  <si>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</si>
  <si>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</si>
  <si>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</si>
  <si>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</si>
  <si>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</si>
  <si>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</si>
  <si>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</si>
  <si>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</si>
  <si>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</si>
  <si>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</si>
  <si>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</si>
  <si>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</si>
  <si>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</si>
  <si>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</si>
  <si>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</si>
  <si>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</si>
  <si>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</si>
  <si>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</si>
  <si>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</si>
  <si>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</si>
  <si>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</si>
  <si>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</si>
  <si>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</si>
  <si>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</si>
  <si>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</si>
  <si>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</si>
  <si>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</si>
  <si>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</si>
  <si>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</si>
  <si>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</si>
  <si>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</si>
  <si>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</si>
  <si>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</si>
  <si>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</si>
  <si>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</si>
  <si>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</si>
  <si>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</si>
  <si>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</si>
  <si>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</si>
  <si>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</si>
  <si>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</si>
  <si>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</si>
  <si>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</si>
  <si>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</si>
  <si>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</si>
  <si>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</si>
  <si>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</si>
  <si>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</si>
  <si>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</si>
  <si>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</si>
  <si>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</si>
  <si>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</si>
  <si>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</si>
  <si>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</si>
  <si>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</si>
  <si>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</si>
  <si>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</si>
  <si>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</si>
  <si>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</si>
  <si>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</si>
  <si>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</si>
  <si>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</si>
  <si>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</si>
  <si>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</si>
  <si>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</si>
  <si>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</si>
  <si>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</si>
  <si>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</si>
  <si>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</si>
  <si>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</si>
  <si>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</si>
  <si>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</si>
  <si>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</si>
  <si>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</si>
  <si>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</si>
  <si>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</si>
  <si>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</si>
  <si>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</si>
  <si>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</si>
  <si>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</si>
  <si>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</si>
  <si>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</si>
  <si>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</si>
  <si>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</si>
  <si>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</si>
  <si>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</si>
  <si>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</si>
  <si>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</si>
  <si>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</si>
  <si>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</si>
  <si>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</si>
  <si>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</si>
  <si>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</si>
  <si>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</si>
  <si>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</si>
  <si>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</si>
  <si>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</si>
  <si>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</si>
  <si>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</si>
  <si>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</si>
  <si>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</si>
  <si>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</si>
  <si>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</si>
  <si>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</si>
  <si>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</si>
  <si>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</si>
  <si>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</si>
  <si>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</si>
  <si>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</si>
  <si>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</si>
  <si>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</si>
  <si>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</si>
  <si>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</si>
  <si>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</si>
  <si>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</si>
  <si>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</si>
  <si>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</si>
  <si>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</si>
  <si>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</si>
  <si>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</si>
  <si>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</si>
  <si>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</si>
  <si>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</si>
  <si>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</si>
  <si>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</si>
  <si>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</si>
  <si>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</si>
  <si>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</si>
  <si>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</si>
  <si>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</si>
  <si>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</si>
  <si>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</si>
  <si>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</si>
  <si>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</si>
  <si>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</si>
  <si>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</si>
  <si>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</si>
  <si>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</si>
  <si>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</si>
  <si>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</si>
  <si>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</si>
  <si>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</si>
  <si>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</si>
  <si>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</si>
  <si>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</si>
  <si>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</si>
  <si>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</si>
  <si>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</si>
  <si>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</si>
  <si>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</si>
  <si>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</si>
  <si>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</si>
  <si>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</si>
  <si>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</si>
  <si>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</si>
  <si>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</si>
  <si>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</si>
  <si>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</si>
  <si>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</si>
  <si>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</si>
  <si>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</si>
  <si>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</si>
  <si>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</si>
  <si>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</si>
  <si>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</si>
  <si>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</si>
  <si>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</si>
  <si>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</si>
  <si>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</si>
  <si>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</si>
  <si>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</si>
  <si>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</si>
  <si>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</si>
  <si>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</si>
  <si>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</si>
  <si>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</si>
  <si>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</si>
  <si>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</si>
  <si>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</si>
  <si>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</si>
  <si>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</si>
  <si>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</si>
  <si>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</si>
  <si>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</si>
  <si>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</si>
  <si>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</si>
  <si>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</si>
  <si>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</si>
  <si>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</si>
  <si>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</si>
  <si>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</si>
  <si>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</si>
  <si>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</si>
  <si>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</si>
  <si>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</si>
  <si>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</si>
  <si>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</si>
  <si>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</si>
  <si>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</si>
  <si>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</si>
  <si>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</si>
  <si>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</si>
  <si>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</si>
  <si>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</si>
  <si>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</si>
  <si>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</si>
  <si>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</si>
  <si>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</si>
  <si>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</si>
  <si>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</si>
  <si>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</si>
  <si>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</si>
  <si>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</si>
  <si>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</si>
  <si>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</si>
  <si>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</si>
  <si>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</si>
  <si>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</si>
  <si>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</si>
  <si>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</si>
  <si>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</si>
  <si>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</si>
  <si>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</si>
  <si>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</si>
  <si>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</si>
  <si>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</si>
  <si>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</si>
  <si>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</si>
  <si>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</si>
  <si>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</si>
  <si>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</si>
  <si>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</si>
  <si>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</si>
  <si>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</si>
  <si>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</si>
  <si>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</si>
  <si>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</si>
  <si>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</si>
  <si>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</si>
  <si>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</si>
  <si>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</si>
  <si>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</si>
  <si>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</si>
  <si>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</si>
  <si>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</si>
  <si>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</si>
  <si>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</si>
  <si>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</si>
  <si>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</si>
  <si>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</si>
  <si>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</si>
  <si>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</si>
  <si>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</si>
  <si>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</si>
  <si>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</si>
  <si>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</si>
  <si>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</si>
  <si>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</si>
  <si>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</si>
  <si>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</si>
  <si>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</si>
  <si>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</si>
  <si>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</si>
  <si>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</si>
  <si>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</si>
  <si>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</si>
  <si>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</si>
  <si>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</si>
  <si>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</si>
  <si>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</si>
  <si>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</si>
  <si>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</si>
  <si>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</si>
  <si>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</si>
  <si>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</si>
  <si>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</si>
  <si>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</si>
  <si>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</si>
  <si>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</si>
  <si>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</si>
  <si>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</si>
  <si>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</si>
  <si>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</si>
  <si>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</si>
  <si>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</si>
  <si>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</si>
  <si>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</si>
  <si>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</si>
  <si>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</si>
  <si>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</si>
  <si>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</si>
  <si>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</si>
  <si>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</si>
  <si>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</si>
  <si>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</si>
  <si>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</si>
  <si>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</si>
  <si>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</si>
  <si>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</si>
  <si>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</si>
  <si>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</si>
  <si>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</si>
  <si>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</si>
  <si>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</si>
  <si>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</si>
  <si>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</si>
  <si>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</si>
  <si>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</si>
  <si>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</si>
  <si>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</si>
  <si>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</si>
  <si>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</si>
  <si>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</si>
  <si>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</si>
  <si>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</si>
  <si>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</si>
  <si>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</si>
  <si>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</si>
  <si>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</si>
  <si>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</si>
  <si>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</si>
  <si>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</si>
  <si>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</si>
  <si>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</si>
  <si>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</si>
  <si>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</si>
  <si>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</si>
  <si>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</si>
  <si>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</si>
  <si>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</si>
  <si>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</si>
  <si>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</si>
  <si>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</si>
  <si>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</si>
  <si>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</si>
  <si>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</si>
  <si>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</si>
  <si>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</si>
  <si>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</si>
  <si>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</si>
  <si>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</si>
  <si>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</si>
  <si>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</si>
  <si>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</si>
  <si>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</si>
  <si>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</si>
  <si>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</si>
  <si>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</si>
  <si>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</si>
  <si>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</si>
  <si>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</si>
  <si>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</si>
  <si>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</si>
  <si>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</si>
  <si>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</si>
  <si>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</si>
  <si>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</si>
  <si>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</si>
  <si>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</si>
  <si>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</si>
  <si>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</si>
  <si>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</si>
  <si>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</si>
  <si>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</si>
  <si>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</si>
  <si>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</si>
  <si>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</si>
  <si>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</si>
  <si>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</si>
  <si>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</si>
  <si>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</si>
  <si>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</si>
  <si>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</si>
  <si>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</si>
  <si>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</si>
  <si>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</si>
  <si>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</si>
  <si>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</si>
  <si>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</si>
  <si>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</si>
  <si>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</si>
  <si>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</si>
  <si>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</si>
  <si>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</si>
  <si>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</si>
  <si>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</si>
  <si>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</si>
  <si>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</si>
  <si>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</si>
  <si>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</si>
  <si>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</si>
  <si>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</si>
  <si>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</si>
  <si>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</si>
  <si>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</si>
  <si>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</si>
  <si>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</si>
  <si>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</si>
  <si>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</si>
  <si>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</si>
  <si>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</si>
  <si>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</si>
  <si>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</si>
  <si>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</si>
  <si>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</si>
  <si>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</si>
  <si>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</si>
  <si>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</si>
  <si>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</si>
  <si>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</si>
  <si>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</si>
  <si>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</si>
  <si>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</si>
  <si>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</si>
  <si>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</si>
  <si>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</si>
  <si>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</si>
  <si>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</si>
  <si>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</si>
  <si>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</si>
  <si>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</si>
  <si>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</si>
  <si>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</si>
  <si>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</si>
  <si>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</si>
  <si>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</si>
  <si>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</si>
  <si>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</si>
  <si>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</si>
  <si>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</si>
  <si>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</si>
  <si>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</si>
  <si>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</si>
  <si>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</si>
  <si>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</si>
  <si>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</si>
  <si>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</si>
  <si>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</si>
  <si>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</si>
  <si>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</si>
  <si>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</si>
  <si>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</si>
  <si>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</si>
  <si>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</si>
  <si>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</si>
  <si>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</si>
  <si>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</si>
  <si>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</si>
  <si>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</si>
  <si>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</si>
  <si>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</si>
  <si>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</si>
  <si>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</si>
  <si>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</si>
  <si>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</si>
  <si>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</si>
  <si>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</si>
  <si>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</si>
  <si>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</si>
  <si>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</si>
  <si>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</si>
  <si>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</si>
  <si>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</si>
  <si>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</si>
  <si>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</si>
  <si>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</si>
  <si>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</si>
  <si>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</si>
  <si>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</si>
  <si>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</si>
  <si>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</si>
  <si>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</si>
  <si>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</si>
  <si>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</si>
  <si>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</si>
  <si>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</si>
  <si>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</si>
  <si>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</si>
  <si>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</si>
  <si>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</si>
  <si>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</si>
  <si>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</si>
  <si>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Instragram - Subscriptions</t>
  </si>
  <si>
    <t>Facebook - Followers</t>
  </si>
  <si>
    <t>YouTube -- Views</t>
  </si>
  <si>
    <t>WiFi -- Unique Sessions</t>
  </si>
  <si>
    <t>Hotspots - Circulation</t>
  </si>
  <si>
    <t>Monthly Total Prints</t>
  </si>
  <si>
    <t>Sum of 1-on-1 Total for Month</t>
  </si>
  <si>
    <t xml:space="preserve">Sum of I22: TOTAL # TAKE &amp; MAKES and OTHER PASSIVE PROGRAM PARTICIPANTS
</t>
  </si>
  <si>
    <t>Sum of Outreach Attendance (YCL Internal)</t>
  </si>
  <si>
    <t>Sum of I23: NUMBER OF STAFF TAKING TRAINING</t>
  </si>
  <si>
    <t>Sum of I24: NUMBER OF HOURS STAFF ATTENDED TRAINING</t>
  </si>
  <si>
    <t>Sum of I21: NUMBER OF OUTREACH ACTIVITIES Conducted</t>
  </si>
  <si>
    <t>Sum of External Party Library Room Use</t>
  </si>
  <si>
    <t>Sum of ILL - Sent (Main ONLY)</t>
  </si>
  <si>
    <t>Sum of ILL - Received (Main ONLY)</t>
  </si>
  <si>
    <t>Sum of OFFSITE Sessions 0-5</t>
  </si>
  <si>
    <t>Sum of OFFSITE Sessions 6-11</t>
  </si>
  <si>
    <t>Sum of OFFSITE Sessions 12-18</t>
  </si>
  <si>
    <t>Sum of OFFSITE Sessions 19+</t>
  </si>
  <si>
    <t>Sum of OFFSITE Sessions General Interest</t>
  </si>
  <si>
    <t>Sum of VIRTUAL Sessions 0-5</t>
  </si>
  <si>
    <t>Sum of VIRTUAL Sessions 6-11</t>
  </si>
  <si>
    <t>Sum of VIRTUAL Sessions 12-18</t>
  </si>
  <si>
    <t>Sum of VIRTUAL Sessions 19+</t>
  </si>
  <si>
    <t>Sum of VIRTUAL Sessions General Interest</t>
  </si>
  <si>
    <t>Sum of VIRTUAL Attendance 0-5</t>
  </si>
  <si>
    <t>Sum of VIRTUAL Attendance 6-11</t>
  </si>
  <si>
    <t>Sum of VIRTUAL Attendance 12-18</t>
  </si>
  <si>
    <t>Sum of VIRTUAL Attendance 19+</t>
  </si>
  <si>
    <t>Sum of VIRTUAL Attendance General Interest</t>
  </si>
  <si>
    <t>Sum of OFFSITE Attendance 0-5</t>
  </si>
  <si>
    <t>Sum of OFFSITE Attendance 6-11</t>
  </si>
  <si>
    <t>Sum of OFFSITE Attendance 12-18</t>
  </si>
  <si>
    <t>Sum of OFFSITE Attendance 19+</t>
  </si>
  <si>
    <t>Sum of OFFSITE Attendance General Interest</t>
  </si>
  <si>
    <t>Sum of YouTube - Views</t>
  </si>
  <si>
    <t>Sum of YouTube Uploads</t>
  </si>
  <si>
    <t>Youtube -- Subscribers</t>
  </si>
  <si>
    <t>(Multiple Items)</t>
  </si>
  <si>
    <t>Sum of Dial A Story Uploads</t>
  </si>
  <si>
    <t>Sum of Dial A Story - VIEWS</t>
  </si>
  <si>
    <t>Sessions</t>
  </si>
  <si>
    <t>Views</t>
  </si>
  <si>
    <t>jennifer.strokis@yclibrary.org</t>
  </si>
  <si>
    <t>rae.lovvorn@yclibrary.org</t>
  </si>
  <si>
    <t>jennifer.stanley@yclibrary.org</t>
  </si>
  <si>
    <t>madison.brennan@yclibrary.org</t>
  </si>
  <si>
    <t>amanda.antonacci@yclibrary.org</t>
  </si>
  <si>
    <t>tom.holloway@yclibrary.org</t>
  </si>
  <si>
    <t>x</t>
  </si>
  <si>
    <t>Quarter 2 - OCTOBER</t>
  </si>
  <si>
    <t>Children's Databases</t>
  </si>
  <si>
    <t>Sum of ABCmouse</t>
  </si>
  <si>
    <t>Sum of Lote4Kids - Activities</t>
  </si>
  <si>
    <t>Sum of Lote4Kids - Logins</t>
  </si>
  <si>
    <t>Sum of Year</t>
  </si>
  <si>
    <t>Statistics and Financials</t>
  </si>
  <si>
    <t>Sum of Data Axle/Reference USA</t>
  </si>
  <si>
    <t>Sum of ValueLine Searches</t>
  </si>
  <si>
    <t>Sum of Weiss Page Views</t>
  </si>
  <si>
    <t>Sum of Weiss Searches</t>
  </si>
  <si>
    <t>Sum of Weiss Sessions</t>
  </si>
  <si>
    <t>Flipster</t>
  </si>
  <si>
    <t>Sum of Flipster Searches</t>
  </si>
  <si>
    <t>Sum of Flipster Sessions</t>
  </si>
  <si>
    <t>Sum of Kanopy Plays</t>
  </si>
  <si>
    <t>Sum of Kanopy Sessions/Views</t>
  </si>
  <si>
    <t>Sum of Gale eBooks</t>
  </si>
  <si>
    <t>Sum of Gale Udemy</t>
  </si>
  <si>
    <t>Sum of Infobase: The Mailbox Searches</t>
  </si>
  <si>
    <t>Sum of Infobase: The Mailbox Sessions</t>
  </si>
  <si>
    <t>LibraryAware</t>
  </si>
  <si>
    <t>Sum of Library Aware: Newsletter Page Views</t>
  </si>
  <si>
    <t>Sum of Library Aware: Newsletter Subscriptions</t>
  </si>
  <si>
    <t>Sum of Mango</t>
  </si>
  <si>
    <t>Hoopla</t>
  </si>
  <si>
    <t>Sum of hoopla Binge Passes</t>
  </si>
  <si>
    <t>Sum of hoopla Comics</t>
  </si>
  <si>
    <t>Sum of hoopla Flex eAudio</t>
  </si>
  <si>
    <t xml:space="preserve">Sum of hoopla Flex eBook </t>
  </si>
  <si>
    <t>Sum of hoopla Instant eAudio</t>
  </si>
  <si>
    <t>Sum of hoopla Instant eBook</t>
  </si>
  <si>
    <t>Sum of hoopla Movies</t>
  </si>
  <si>
    <t>Sum of hoopla Music</t>
  </si>
  <si>
    <t>Sum of hoopla TV</t>
  </si>
  <si>
    <t>Libby</t>
  </si>
  <si>
    <t>Sum of Libby eAudio</t>
  </si>
  <si>
    <t>Sum of Libby eBook</t>
  </si>
  <si>
    <t xml:space="preserve">Sum of Libby Magazines </t>
  </si>
  <si>
    <t>Sum of Libby Streaming</t>
  </si>
  <si>
    <t>Proquest</t>
  </si>
  <si>
    <t>Sum of Proquest: Heritage Quest Online</t>
  </si>
  <si>
    <t>Sum of Proquest: Fold3</t>
  </si>
  <si>
    <t>Sum of Proquest: Ancestry Library Edition</t>
  </si>
  <si>
    <t>Tutoring</t>
  </si>
  <si>
    <t>Sum of Tutor</t>
  </si>
  <si>
    <t>Sum of Brainfuse</t>
  </si>
  <si>
    <t>Newsbank / Salem eBooks</t>
  </si>
  <si>
    <t>Sum of Newsbank Newspapers</t>
  </si>
  <si>
    <t>Sum of Salem eBooks</t>
  </si>
  <si>
    <t xml:space="preserve">I22: TOTAL # TAKE &amp; MAKES and OTHER PASSIVE PROGRAM PARTICIPANTS
</t>
  </si>
  <si>
    <t>Quarter 1 - June</t>
  </si>
  <si>
    <t>Gale / Udemy / Infobase</t>
  </si>
  <si>
    <t>25-26 Fiscal Year</t>
  </si>
  <si>
    <t>Locker Circulation</t>
  </si>
  <si>
    <t xml:space="preserve">ROCK HILL </t>
  </si>
  <si>
    <t>Locker Checkouts</t>
  </si>
  <si>
    <t>Sum of Hotspots Circulation</t>
  </si>
  <si>
    <t>Meeting Room Use</t>
  </si>
  <si>
    <t>Column Labels</t>
  </si>
  <si>
    <t>1on1s</t>
  </si>
  <si>
    <t>Perfect! Here's how to make that specific range dynamic:</t>
  </si>
  <si>
    <t>Step-by-Step for Your Range</t>
  </si>
  <si>
    <t>1. Open Name Manager</t>
  </si>
  <si>
    <r>
      <t xml:space="preserve">Go to </t>
    </r>
    <r>
      <rPr>
        <b/>
        <sz val="10"/>
        <color rgb="FF000000"/>
        <rFont val="Arial"/>
        <family val="2"/>
        <scheme val="minor"/>
      </rPr>
      <t>Formulas tab &gt; Name Manager</t>
    </r>
  </si>
  <si>
    <r>
      <t xml:space="preserve">Click </t>
    </r>
    <r>
      <rPr>
        <b/>
        <sz val="10"/>
        <color rgb="FF000000"/>
        <rFont val="Arial"/>
        <family val="2"/>
        <scheme val="minor"/>
      </rPr>
      <t>New</t>
    </r>
  </si>
  <si>
    <t>2. Create the Dynamic Named Range</t>
  </si>
  <si>
    <r>
      <t>Name: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 Unicode MS"/>
      </rPr>
      <t>BranchStatsData</t>
    </r>
    <r>
      <rPr>
        <sz val="10"/>
        <color rgb="FF000000"/>
        <rFont val="Arial"/>
        <family val="2"/>
        <scheme val="minor"/>
      </rPr>
      <t xml:space="preserve"> (or whatever you prefer)</t>
    </r>
  </si>
  <si>
    <r>
      <t>Refers to:</t>
    </r>
    <r>
      <rPr>
        <sz val="10"/>
        <color rgb="FF000000"/>
        <rFont val="Arial"/>
        <family val="2"/>
        <scheme val="minor"/>
      </rPr>
      <t xml:space="preserve"> Use this formula:</t>
    </r>
  </si>
  <si>
    <t>What this does:</t>
  </si>
  <si>
    <t>Starts at cell B1</t>
  </si>
  <si>
    <r>
      <t>COUNTA('Branch Stats'!$B:$B)</t>
    </r>
    <r>
      <rPr>
        <sz val="10"/>
        <color rgb="FF000000"/>
        <rFont val="Arial"/>
        <family val="2"/>
        <scheme val="minor"/>
      </rPr>
      <t xml:space="preserve"> - Automatically counts how many rows have data in column B (grows from 234 as you add data)</t>
    </r>
  </si>
  <si>
    <r>
      <t>COUNTA('Branch Stats'!$1:$1)-1</t>
    </r>
    <r>
      <rPr>
        <sz val="10"/>
        <color rgb="FF000000"/>
        <rFont val="Arial"/>
        <family val="2"/>
        <scheme val="minor"/>
      </rPr>
      <t xml:space="preserve"> - Counts columns in row 1, minus 1 (since you start at B, not A) - maintains your ~57 columns (B to BD)</t>
    </r>
  </si>
  <si>
    <t>3. Update Your Pivot Table</t>
  </si>
  <si>
    <t>Click anywhere in your pivot table</t>
  </si>
  <si>
    <r>
      <t xml:space="preserve">Go to </t>
    </r>
    <r>
      <rPr>
        <b/>
        <sz val="10"/>
        <color rgb="FF000000"/>
        <rFont val="Arial"/>
        <family val="2"/>
        <scheme val="minor"/>
      </rPr>
      <t>PivotTable Analyze tab &gt; Change Data Source</t>
    </r>
  </si>
  <si>
    <r>
      <t xml:space="preserve">Replace the current range with: </t>
    </r>
    <r>
      <rPr>
        <sz val="10"/>
        <color rgb="FF000000"/>
        <rFont val="Arial Unicode MS"/>
      </rPr>
      <t>=BranchStatsData</t>
    </r>
  </si>
  <si>
    <t>Click OK</t>
  </si>
  <si>
    <t>Now whenever you paste new rows below row 234, the range will automatically expand, and you just need to refresh the pivot table (right-click &gt; Refresh or Alt+F5) to see the new data!</t>
  </si>
  <si>
    <t>Does your data always start in row 1 with headers, or do you need any adjustments to this formula?</t>
  </si>
  <si>
    <t>04-April</t>
  </si>
  <si>
    <t>08-August</t>
  </si>
  <si>
    <t>12-December</t>
  </si>
  <si>
    <t>02-February</t>
  </si>
  <si>
    <t>01-January</t>
  </si>
  <si>
    <t>07-July</t>
  </si>
  <si>
    <t>03-March</t>
  </si>
  <si>
    <t>05-May</t>
  </si>
  <si>
    <t>11-November</t>
  </si>
  <si>
    <t>10-October</t>
  </si>
  <si>
    <t>09-September</t>
  </si>
  <si>
    <t>06-June</t>
  </si>
  <si>
    <t>Sum of Gate Count</t>
  </si>
  <si>
    <t>Sum of New Library Card Registrations, Adult (includes YA)</t>
  </si>
  <si>
    <t>Sum of New Library Card Registrations, Juvenile</t>
  </si>
  <si>
    <t>Total Cards</t>
  </si>
  <si>
    <t>Sum of Total</t>
  </si>
  <si>
    <t>Sum of PC Reservations</t>
  </si>
  <si>
    <t>Sum of WiFi - Unique Sessions</t>
  </si>
  <si>
    <t>Total Hostpots</t>
  </si>
  <si>
    <t>Sum of Total Prints per Month</t>
  </si>
  <si>
    <t>Sum of I2:  ONSITE Sessions 0-5</t>
  </si>
  <si>
    <t>Sum of I3:   ONSITE Sessions 6-11</t>
  </si>
  <si>
    <t>Sum of I4: ONSITE Sessions 12-18</t>
  </si>
  <si>
    <t>Sum of I5:   ONSITE Sessions 19+</t>
  </si>
  <si>
    <t>Sum of I6:  ONSITE Sessions GENERAL INTEREST</t>
  </si>
  <si>
    <t>Sum of ONSITE Attendance 0-5</t>
  </si>
  <si>
    <t>Sum of ONSITE Attendance 6-11</t>
  </si>
  <si>
    <t>Sum of ONSITE Attendance 12-18</t>
  </si>
  <si>
    <t>Sum of ONSITE Attendance 19+</t>
  </si>
  <si>
    <t>Sum of ONSITE Attendance General Interest</t>
  </si>
  <si>
    <t>March</t>
  </si>
  <si>
    <t>January</t>
  </si>
  <si>
    <t>February</t>
  </si>
  <si>
    <t>April</t>
  </si>
  <si>
    <t>May</t>
  </si>
  <si>
    <t>June</t>
  </si>
  <si>
    <t>November</t>
  </si>
  <si>
    <t>December</t>
  </si>
  <si>
    <t>Month Num</t>
  </si>
  <si>
    <t>Monthly Locker Circulation</t>
  </si>
  <si>
    <t>25-26 Totals</t>
  </si>
  <si>
    <t>Annual Circulation</t>
  </si>
  <si>
    <t>Annual Gate Count</t>
  </si>
  <si>
    <t>Annual Locker Checkouts</t>
  </si>
  <si>
    <t>Adult Library Cards</t>
  </si>
  <si>
    <t>Juvenile Library Cards</t>
  </si>
  <si>
    <t>Monthly Branch Circulation</t>
  </si>
  <si>
    <t>Fiscal Year Totals</t>
  </si>
  <si>
    <t>Board Stats</t>
  </si>
  <si>
    <t>Fiscal Year</t>
  </si>
  <si>
    <t>Fisal Year</t>
  </si>
  <si>
    <t>25-26</t>
  </si>
  <si>
    <t>Total Hotspots Circulation</t>
  </si>
  <si>
    <t>ICLs Received</t>
  </si>
  <si>
    <t>ICLs Sent</t>
  </si>
  <si>
    <t>Total</t>
  </si>
  <si>
    <t>Hotspot Circulcation</t>
  </si>
  <si>
    <t>Annual Total</t>
  </si>
  <si>
    <t>Annual Toral</t>
  </si>
  <si>
    <t>Sum of Total Branch Circulation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</si>
</sst>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434343"/>
      <name val="Roboto"/>
    </font>
    <font>
      <sz val="11"/>
      <color rgb="FF006100"/>
      <name val="Arial"/>
      <family val="2"/>
      <scheme val="minor"/>
    </font>
    <font>
      <b/>
      <sz val="14"/>
      <color rgb="FF006100"/>
      <name val="Arial"/>
      <family val="2"/>
      <scheme val="minor"/>
    </font>
    <font>
      <sz val="10"/>
      <color rgb="FFFFFFFF"/>
      <name val="Roboto"/>
    </font>
    <font>
      <sz val="18"/>
      <color rgb="FF000000"/>
      <name val="Arial"/>
      <family val="2"/>
      <scheme val="minor"/>
    </font>
    <font>
      <b/>
      <sz val="18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 Unicode MS"/>
    </font>
    <font>
      <sz val="11"/>
      <color rgb="FF9C5700"/>
      <name val="Arial"/>
      <family val="2"/>
      <scheme val="minor"/>
    </font>
    <font>
      <sz val="10"/>
      <color theme="1"/>
      <name val="Arial"/>
      <family val="2"/>
    </font>
    <font>
      <sz val="10"/>
      <color rgb="FF00CCFF"/>
      <name val="Arial"/>
      <family val="2"/>
    </font>
    <font>
      <sz val="10"/>
      <name val="Arial"/>
      <family val="2"/>
    </font>
    <font>
      <b/>
      <sz val="11"/>
      <color rgb="FF006100"/>
      <name val="Arial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C6EFCE"/>
      </patternFill>
    </fill>
    <fill>
      <patternFill patternType="solid">
        <fgColor rgb="FF5B3F86"/>
        <bgColor indexed="64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4.9989318521683403E-2"/>
        <bgColor indexed="64"/>
      </patternFill>
    </fill>
  </fills>
  <borders count="59"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442F65"/>
      </left>
      <right style="thin">
        <color rgb="FF5B3F86"/>
      </right>
      <top/>
      <bottom style="thin">
        <color rgb="FF442F65"/>
      </bottom>
      <diagonal/>
    </border>
    <border>
      <left style="thin">
        <color rgb="FF5B3F86"/>
      </left>
      <right style="thin">
        <color rgb="FF5B3F86"/>
      </right>
      <top/>
      <bottom style="thin">
        <color rgb="FF442F65"/>
      </bottom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/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/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3">
    <xf numFmtId="0" fontId="0" fillId="0" borderId="0"/>
    <xf numFmtId="0" fontId="5" fillId="21" borderId="0" applyNumberFormat="0" applyBorder="0" applyAlignment="0" applyProtection="0"/>
    <xf numFmtId="0" fontId="12" fillId="23" borderId="0" applyNumberFormat="0" applyBorder="0" applyAlignment="0" applyProtection="0"/>
  </cellStyleXfs>
  <cellXfs count="190">
    <xf numFmtId="0" fontId="0" fillId="0" borderId="0" xfId="0"/>
    <xf numFmtId="0" fontId="1" fillId="0" borderId="0" xfId="0" applyFont="1"/>
    <xf numFmtId="0" fontId="1" fillId="2" borderId="0" xfId="0" applyFont="1" applyFill="1"/>
    <xf numFmtId="3" fontId="1" fillId="0" borderId="0" xfId="0" applyNumberFormat="1" applyFont="1"/>
    <xf numFmtId="0" fontId="1" fillId="3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5" xfId="0" pivotButton="1" applyBorder="1"/>
    <xf numFmtId="0" fontId="0" fillId="0" borderId="5" xfId="0" applyBorder="1"/>
    <xf numFmtId="0" fontId="0" fillId="0" borderId="6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6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2" xfId="0" applyBorder="1"/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3" fillId="18" borderId="0" xfId="0" applyFont="1" applyFill="1"/>
    <xf numFmtId="0" fontId="0" fillId="18" borderId="0" xfId="0" applyFill="1"/>
    <xf numFmtId="0" fontId="2" fillId="0" borderId="0" xfId="0" applyFont="1"/>
    <xf numFmtId="0" fontId="0" fillId="0" borderId="5" xfId="0" applyBorder="1" applyAlignment="1">
      <alignment horizontal="left"/>
    </xf>
    <xf numFmtId="0" fontId="0" fillId="0" borderId="5" xfId="0" applyBorder="1" applyAlignment="1">
      <alignment wrapText="1"/>
    </xf>
    <xf numFmtId="0" fontId="0" fillId="0" borderId="8" xfId="0" applyBorder="1" applyAlignment="1">
      <alignment wrapText="1"/>
    </xf>
    <xf numFmtId="22" fontId="4" fillId="20" borderId="15" xfId="0" applyNumberFormat="1" applyFont="1" applyFill="1" applyBorder="1" applyAlignment="1">
      <alignment horizontal="right" vertical="center" wrapText="1"/>
    </xf>
    <xf numFmtId="0" fontId="4" fillId="20" borderId="16" xfId="0" applyFont="1" applyFill="1" applyBorder="1" applyAlignment="1">
      <alignment vertical="center" wrapText="1"/>
    </xf>
    <xf numFmtId="22" fontId="4" fillId="19" borderId="18" xfId="0" applyNumberFormat="1" applyFont="1" applyFill="1" applyBorder="1" applyAlignment="1">
      <alignment horizontal="right" vertical="center" wrapText="1"/>
    </xf>
    <xf numFmtId="0" fontId="4" fillId="19" borderId="19" xfId="0" applyFont="1" applyFill="1" applyBorder="1" applyAlignment="1">
      <alignment vertical="center" wrapText="1"/>
    </xf>
    <xf numFmtId="0" fontId="4" fillId="19" borderId="19" xfId="0" applyFont="1" applyFill="1" applyBorder="1" applyAlignment="1">
      <alignment horizontal="right" vertical="center" wrapText="1"/>
    </xf>
    <xf numFmtId="0" fontId="2" fillId="19" borderId="19" xfId="0" applyFont="1" applyFill="1" applyBorder="1" applyAlignment="1">
      <alignment vertical="center" wrapText="1"/>
    </xf>
    <xf numFmtId="0" fontId="2" fillId="20" borderId="20" xfId="0" applyFont="1" applyFill="1" applyBorder="1" applyAlignment="1">
      <alignment vertical="center" wrapText="1"/>
    </xf>
    <xf numFmtId="0" fontId="4" fillId="20" borderId="20" xfId="0" applyFont="1" applyFill="1" applyBorder="1" applyAlignment="1">
      <alignment horizontal="right" vertical="center" wrapText="1"/>
    </xf>
    <xf numFmtId="0" fontId="2" fillId="0" borderId="22" xfId="0" applyFont="1" applyBorder="1" applyAlignment="1">
      <alignment wrapText="1"/>
    </xf>
    <xf numFmtId="22" fontId="4" fillId="20" borderId="24" xfId="0" applyNumberFormat="1" applyFont="1" applyFill="1" applyBorder="1" applyAlignment="1">
      <alignment horizontal="right" vertical="center" wrapText="1"/>
    </xf>
    <xf numFmtId="0" fontId="4" fillId="20" borderId="20" xfId="0" applyFont="1" applyFill="1" applyBorder="1" applyAlignment="1">
      <alignment vertical="center" wrapText="1"/>
    </xf>
    <xf numFmtId="0" fontId="4" fillId="20" borderId="21" xfId="0" applyFont="1" applyFill="1" applyBorder="1" applyAlignment="1">
      <alignment vertical="center" wrapText="1"/>
    </xf>
    <xf numFmtId="0" fontId="4" fillId="19" borderId="17" xfId="0" applyFont="1" applyFill="1" applyBorder="1" applyAlignment="1">
      <alignment vertical="center" wrapText="1"/>
    </xf>
    <xf numFmtId="0" fontId="4" fillId="20" borderId="17" xfId="0" applyFont="1" applyFill="1" applyBorder="1" applyAlignment="1">
      <alignment horizontal="right" vertical="center" wrapText="1"/>
    </xf>
    <xf numFmtId="0" fontId="4" fillId="19" borderId="17" xfId="0" applyFont="1" applyFill="1" applyBorder="1" applyAlignment="1">
      <alignment horizontal="right" vertical="center" wrapText="1"/>
    </xf>
    <xf numFmtId="22" fontId="4" fillId="20" borderId="25" xfId="0" applyNumberFormat="1" applyFont="1" applyFill="1" applyBorder="1" applyAlignment="1">
      <alignment horizontal="right" vertical="center" wrapText="1"/>
    </xf>
    <xf numFmtId="0" fontId="4" fillId="20" borderId="26" xfId="0" applyFont="1" applyFill="1" applyBorder="1" applyAlignment="1">
      <alignment vertical="center" wrapText="1"/>
    </xf>
    <xf numFmtId="0" fontId="4" fillId="20" borderId="23" xfId="0" applyFont="1" applyFill="1" applyBorder="1" applyAlignment="1">
      <alignment horizontal="right" vertical="center" wrapText="1"/>
    </xf>
    <xf numFmtId="0" fontId="0" fillId="0" borderId="27" xfId="0" applyBorder="1"/>
    <xf numFmtId="0" fontId="0" fillId="0" borderId="27" xfId="0" applyBorder="1" applyAlignment="1">
      <alignment horizontal="left"/>
    </xf>
    <xf numFmtId="0" fontId="0" fillId="0" borderId="27" xfId="0" applyBorder="1" applyAlignment="1">
      <alignment wrapText="1"/>
    </xf>
    <xf numFmtId="0" fontId="5" fillId="21" borderId="0" xfId="1" applyAlignment="1"/>
    <xf numFmtId="0" fontId="0" fillId="0" borderId="27" xfId="0" pivotButton="1" applyBorder="1"/>
    <xf numFmtId="0" fontId="0" fillId="0" borderId="0" xfId="0" pivotButton="1"/>
    <xf numFmtId="0" fontId="1" fillId="0" borderId="30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7" fillId="22" borderId="32" xfId="0" applyFont="1" applyFill="1" applyBorder="1" applyAlignment="1">
      <alignment vertical="center" wrapText="1"/>
    </xf>
    <xf numFmtId="0" fontId="7" fillId="22" borderId="33" xfId="0" applyFont="1" applyFill="1" applyBorder="1" applyAlignment="1">
      <alignment vertical="center" wrapText="1"/>
    </xf>
    <xf numFmtId="0" fontId="7" fillId="22" borderId="34" xfId="0" applyFont="1" applyFill="1" applyBorder="1" applyAlignment="1">
      <alignment vertical="center" wrapText="1"/>
    </xf>
    <xf numFmtId="0" fontId="4" fillId="20" borderId="16" xfId="0" applyFont="1" applyFill="1" applyBorder="1" applyAlignment="1">
      <alignment horizontal="right" vertical="center" wrapText="1"/>
    </xf>
    <xf numFmtId="0" fontId="4" fillId="20" borderId="26" xfId="0" applyFont="1" applyFill="1" applyBorder="1" applyAlignment="1">
      <alignment horizontal="right" vertical="center" wrapText="1"/>
    </xf>
    <xf numFmtId="0" fontId="0" fillId="0" borderId="35" xfId="0" applyBorder="1"/>
    <xf numFmtId="0" fontId="0" fillId="0" borderId="37" xfId="0" applyBorder="1"/>
    <xf numFmtId="0" fontId="0" fillId="0" borderId="38" xfId="0" applyBorder="1"/>
    <xf numFmtId="0" fontId="9" fillId="0" borderId="0" xfId="0" applyFont="1" applyAlignment="1">
      <alignment vertical="center"/>
    </xf>
    <xf numFmtId="0" fontId="10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 indent="1"/>
    </xf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12" xfId="0" applyNumberFormat="1" applyBorder="1"/>
    <xf numFmtId="0" fontId="0" fillId="0" borderId="14" xfId="0" applyNumberFormat="1" applyBorder="1"/>
    <xf numFmtId="0" fontId="0" fillId="0" borderId="13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35" xfId="0" applyNumberFormat="1" applyBorder="1"/>
    <xf numFmtId="0" fontId="0" fillId="0" borderId="36" xfId="0" applyNumberFormat="1" applyBorder="1"/>
    <xf numFmtId="0" fontId="0" fillId="0" borderId="5" xfId="0" applyNumberFormat="1" applyBorder="1"/>
    <xf numFmtId="0" fontId="0" fillId="0" borderId="27" xfId="0" applyNumberFormat="1" applyBorder="1"/>
    <xf numFmtId="0" fontId="0" fillId="0" borderId="6" xfId="0" applyNumberFormat="1" applyBorder="1" applyAlignment="1">
      <alignment wrapText="1"/>
    </xf>
    <xf numFmtId="0" fontId="0" fillId="0" borderId="7" xfId="0" applyNumberFormat="1" applyBorder="1" applyAlignment="1">
      <alignment wrapText="1"/>
    </xf>
    <xf numFmtId="0" fontId="0" fillId="0" borderId="8" xfId="0" applyNumberFormat="1" applyBorder="1" applyAlignment="1">
      <alignment wrapText="1"/>
    </xf>
    <xf numFmtId="0" fontId="0" fillId="0" borderId="12" xfId="0" applyNumberFormat="1" applyBorder="1" applyAlignment="1">
      <alignment wrapText="1"/>
    </xf>
    <xf numFmtId="0" fontId="0" fillId="0" borderId="14" xfId="0" applyNumberFormat="1" applyBorder="1" applyAlignment="1">
      <alignment wrapText="1"/>
    </xf>
    <xf numFmtId="0" fontId="0" fillId="0" borderId="13" xfId="0" applyNumberFormat="1" applyBorder="1" applyAlignment="1">
      <alignment wrapText="1"/>
    </xf>
    <xf numFmtId="0" fontId="0" fillId="0" borderId="9" xfId="0" applyNumberFormat="1" applyBorder="1" applyAlignment="1">
      <alignment wrapText="1"/>
    </xf>
    <xf numFmtId="0" fontId="0" fillId="0" borderId="10" xfId="0" applyNumberFormat="1" applyBorder="1" applyAlignment="1">
      <alignment wrapText="1"/>
    </xf>
    <xf numFmtId="0" fontId="0" fillId="0" borderId="11" xfId="0" applyNumberFormat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 applyNumberFormat="1"/>
    <xf numFmtId="0" fontId="0" fillId="0" borderId="12" xfId="0" applyBorder="1" applyAlignment="1">
      <alignment horizontal="left" indent="1"/>
    </xf>
    <xf numFmtId="0" fontId="0" fillId="0" borderId="0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0" fillId="0" borderId="0" xfId="0" pivotButton="1" applyFont="1"/>
    <xf numFmtId="0" fontId="0" fillId="0" borderId="0" xfId="0"/>
    <xf numFmtId="0" fontId="12" fillId="23" borderId="0" xfId="2"/>
    <xf numFmtId="0" fontId="5" fillId="21" borderId="0" xfId="1"/>
    <xf numFmtId="3" fontId="13" fillId="24" borderId="40" xfId="0" applyNumberFormat="1" applyFont="1" applyFill="1" applyBorder="1" applyAlignment="1"/>
    <xf numFmtId="3" fontId="13" fillId="24" borderId="41" xfId="0" applyNumberFormat="1" applyFont="1" applyFill="1" applyBorder="1" applyAlignment="1"/>
    <xf numFmtId="3" fontId="13" fillId="24" borderId="42" xfId="0" applyNumberFormat="1" applyFont="1" applyFill="1" applyBorder="1" applyAlignment="1"/>
    <xf numFmtId="0" fontId="0" fillId="25" borderId="27" xfId="0" applyFill="1" applyBorder="1"/>
    <xf numFmtId="3" fontId="13" fillId="25" borderId="27" xfId="0" applyNumberFormat="1" applyFont="1" applyFill="1" applyBorder="1" applyAlignment="1"/>
    <xf numFmtId="0" fontId="5" fillId="25" borderId="27" xfId="1" applyFill="1" applyBorder="1"/>
    <xf numFmtId="0" fontId="5" fillId="21" borderId="27" xfId="1" applyBorder="1"/>
    <xf numFmtId="0" fontId="5" fillId="21" borderId="39" xfId="1" applyBorder="1"/>
    <xf numFmtId="0" fontId="0" fillId="26" borderId="0" xfId="0" applyFill="1"/>
    <xf numFmtId="3" fontId="13" fillId="26" borderId="43" xfId="0" applyNumberFormat="1" applyFont="1" applyFill="1" applyBorder="1" applyAlignment="1"/>
    <xf numFmtId="3" fontId="13" fillId="26" borderId="44" xfId="0" applyNumberFormat="1" applyFont="1" applyFill="1" applyBorder="1" applyAlignment="1"/>
    <xf numFmtId="3" fontId="13" fillId="26" borderId="45" xfId="0" applyNumberFormat="1" applyFont="1" applyFill="1" applyBorder="1" applyAlignment="1"/>
    <xf numFmtId="3" fontId="13" fillId="24" borderId="46" xfId="0" applyNumberFormat="1" applyFont="1" applyFill="1" applyBorder="1" applyAlignment="1"/>
    <xf numFmtId="3" fontId="13" fillId="24" borderId="47" xfId="0" applyNumberFormat="1" applyFont="1" applyFill="1" applyBorder="1" applyAlignment="1"/>
    <xf numFmtId="3" fontId="13" fillId="24" borderId="48" xfId="0" applyNumberFormat="1" applyFont="1" applyFill="1" applyBorder="1" applyAlignment="1"/>
    <xf numFmtId="3" fontId="5" fillId="21" borderId="0" xfId="1" applyNumberFormat="1"/>
    <xf numFmtId="3" fontId="13" fillId="0" borderId="40" xfId="0" applyNumberFormat="1" applyFont="1" applyBorder="1" applyAlignment="1"/>
    <xf numFmtId="3" fontId="13" fillId="0" borderId="41" xfId="0" applyNumberFormat="1" applyFont="1" applyBorder="1" applyAlignment="1"/>
    <xf numFmtId="3" fontId="13" fillId="0" borderId="42" xfId="0" applyNumberFormat="1" applyFont="1" applyBorder="1" applyAlignment="1"/>
    <xf numFmtId="3" fontId="14" fillId="0" borderId="46" xfId="0" applyNumberFormat="1" applyFont="1" applyBorder="1" applyAlignment="1"/>
    <xf numFmtId="3" fontId="14" fillId="0" borderId="47" xfId="0" applyNumberFormat="1" applyFont="1" applyBorder="1" applyAlignment="1"/>
    <xf numFmtId="3" fontId="14" fillId="0" borderId="48" xfId="0" applyNumberFormat="1" applyFont="1" applyBorder="1" applyAlignment="1"/>
    <xf numFmtId="3" fontId="15" fillId="0" borderId="49" xfId="0" applyNumberFormat="1" applyFont="1" applyBorder="1"/>
    <xf numFmtId="3" fontId="15" fillId="0" borderId="27" xfId="0" applyNumberFormat="1" applyFont="1" applyBorder="1"/>
    <xf numFmtId="3" fontId="15" fillId="0" borderId="50" xfId="0" applyNumberFormat="1" applyFont="1" applyBorder="1"/>
    <xf numFmtId="3" fontId="15" fillId="0" borderId="51" xfId="0" applyNumberFormat="1" applyFont="1" applyBorder="1"/>
    <xf numFmtId="3" fontId="15" fillId="0" borderId="52" xfId="0" applyNumberFormat="1" applyFont="1" applyBorder="1"/>
    <xf numFmtId="3" fontId="15" fillId="0" borderId="53" xfId="0" applyNumberFormat="1" applyFont="1" applyBorder="1"/>
    <xf numFmtId="0" fontId="0" fillId="0" borderId="0" xfId="0"/>
    <xf numFmtId="3" fontId="0" fillId="0" borderId="0" xfId="0" applyNumberFormat="1"/>
    <xf numFmtId="0" fontId="4" fillId="20" borderId="21" xfId="0" applyFont="1" applyFill="1" applyBorder="1" applyAlignment="1">
      <alignment horizontal="right" vertical="center" wrapText="1"/>
    </xf>
    <xf numFmtId="0" fontId="2" fillId="19" borderId="54" xfId="0" applyFont="1" applyFill="1" applyBorder="1" applyAlignment="1">
      <alignment vertical="center" wrapText="1"/>
    </xf>
    <xf numFmtId="0" fontId="4" fillId="19" borderId="54" xfId="0" applyFont="1" applyFill="1" applyBorder="1" applyAlignment="1">
      <alignment horizontal="right" vertical="center" wrapText="1"/>
    </xf>
    <xf numFmtId="0" fontId="4" fillId="19" borderId="23" xfId="0" applyFont="1" applyFill="1" applyBorder="1" applyAlignment="1">
      <alignment horizontal="right" vertical="center" wrapText="1"/>
    </xf>
    <xf numFmtId="49" fontId="0" fillId="0" borderId="0" xfId="0" applyNumberFormat="1"/>
    <xf numFmtId="49" fontId="4" fillId="20" borderId="55" xfId="0" applyNumberFormat="1" applyFont="1" applyFill="1" applyBorder="1" applyAlignment="1">
      <alignment vertical="center" wrapText="1"/>
    </xf>
    <xf numFmtId="49" fontId="4" fillId="19" borderId="56" xfId="0" applyNumberFormat="1" applyFont="1" applyFill="1" applyBorder="1" applyAlignment="1">
      <alignment vertical="center" wrapText="1"/>
    </xf>
    <xf numFmtId="0" fontId="5" fillId="21" borderId="0" xfId="1" applyNumberFormat="1"/>
    <xf numFmtId="0" fontId="5" fillId="21" borderId="39" xfId="1" applyNumberFormat="1" applyBorder="1"/>
    <xf numFmtId="0" fontId="0" fillId="26" borderId="0" xfId="0" applyNumberFormat="1" applyFill="1"/>
    <xf numFmtId="16" fontId="2" fillId="0" borderId="0" xfId="0" applyNumberFormat="1" applyFont="1"/>
    <xf numFmtId="1" fontId="2" fillId="0" borderId="0" xfId="0" applyNumberFormat="1" applyFont="1"/>
    <xf numFmtId="1" fontId="0" fillId="0" borderId="0" xfId="0" applyNumberFormat="1"/>
    <xf numFmtId="1" fontId="5" fillId="21" borderId="0" xfId="1" applyNumberFormat="1"/>
    <xf numFmtId="1" fontId="5" fillId="21" borderId="39" xfId="1" applyNumberFormat="1" applyBorder="1"/>
    <xf numFmtId="1" fontId="0" fillId="26" borderId="0" xfId="0" applyNumberFormat="1" applyFill="1"/>
    <xf numFmtId="49" fontId="4" fillId="20" borderId="57" xfId="0" applyNumberFormat="1" applyFont="1" applyFill="1" applyBorder="1" applyAlignment="1">
      <alignment vertical="center" wrapText="1"/>
    </xf>
    <xf numFmtId="49" fontId="4" fillId="19" borderId="58" xfId="0" applyNumberFormat="1" applyFont="1" applyFill="1" applyBorder="1" applyAlignment="1">
      <alignment vertical="center" wrapText="1"/>
    </xf>
    <xf numFmtId="49" fontId="2" fillId="0" borderId="0" xfId="0" applyNumberFormat="1" applyFont="1"/>
    <xf numFmtId="0" fontId="0" fillId="0" borderId="0" xfId="0" applyAlignment="1"/>
    <xf numFmtId="0" fontId="0" fillId="0" borderId="0" xfId="0" applyNumberFormat="1" applyBorder="1"/>
    <xf numFmtId="0" fontId="0" fillId="0" borderId="0" xfId="0" applyBorder="1" applyAlignment="1">
      <alignment wrapText="1"/>
    </xf>
    <xf numFmtId="0" fontId="0" fillId="0" borderId="28" xfId="0" applyBorder="1" applyAlignment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 applyFill="1" applyBorder="1"/>
    <xf numFmtId="0" fontId="1" fillId="14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5" fillId="21" borderId="0" xfId="1" applyAlignment="1">
      <alignment horizontal="center"/>
    </xf>
    <xf numFmtId="0" fontId="0" fillId="0" borderId="0" xfId="0" applyAlignment="1">
      <alignment horizontal="center"/>
    </xf>
    <xf numFmtId="0" fontId="12" fillId="23" borderId="0" xfId="2" applyAlignment="1">
      <alignment horizontal="center"/>
    </xf>
    <xf numFmtId="0" fontId="2" fillId="0" borderId="28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8" fillId="0" borderId="0" xfId="0" applyFont="1" applyAlignment="1">
      <alignment horizontal="center"/>
    </xf>
    <xf numFmtId="0" fontId="6" fillId="21" borderId="29" xfId="1" applyNumberFormat="1" applyFont="1" applyBorder="1" applyAlignment="1">
      <alignment horizontal="center"/>
    </xf>
    <xf numFmtId="0" fontId="6" fillId="21" borderId="0" xfId="1" applyNumberFormat="1" applyFont="1" applyBorder="1" applyAlignment="1">
      <alignment horizontal="center"/>
    </xf>
    <xf numFmtId="0" fontId="6" fillId="21" borderId="28" xfId="1" applyFont="1" applyBorder="1" applyAlignment="1">
      <alignment horizontal="center"/>
    </xf>
    <xf numFmtId="0" fontId="6" fillId="21" borderId="0" xfId="1" applyFont="1" applyAlignment="1">
      <alignment horizontal="center"/>
    </xf>
    <xf numFmtId="0" fontId="5" fillId="21" borderId="0" xfId="1" applyBorder="1" applyAlignment="1">
      <alignment horizontal="center"/>
    </xf>
    <xf numFmtId="0" fontId="16" fillId="21" borderId="0" xfId="1" applyFont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115">
    <dxf>
      <font>
        <b/>
        <family val="2"/>
      </font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border outline="0">
        <top style="thin">
          <color rgb="FF442F6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border outline="0">
        <bottom style="thin">
          <color rgb="FF442F6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5B3F86"/>
        </left>
        <right style="thin">
          <color rgb="FF5B3F86"/>
        </right>
        <top/>
        <bottom/>
      </border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4">
    <tableStyle name="Branch Stats-style" pivot="0" count="3" xr9:uid="{00000000-0011-0000-FFFF-FFFF00000000}">
      <tableStyleElement type="headerRow" dxfId="114"/>
      <tableStyleElement type="firstRowStripe" dxfId="113"/>
      <tableStyleElement type="secondRowStripe" dxfId="112"/>
    </tableStyle>
    <tableStyle name="eResources-style" pivot="0" count="3" xr9:uid="{00000000-0011-0000-FFFF-FFFF01000000}">
      <tableStyleElement type="headerRow" dxfId="111"/>
      <tableStyleElement type="firstRowStripe" dxfId="110"/>
      <tableStyleElement type="secondRowStripe" dxfId="109"/>
    </tableStyle>
    <tableStyle name="Online Stats-style" pivot="0" count="3" xr9:uid="{00000000-0011-0000-FFFF-FFFF02000000}">
      <tableStyleElement type="headerRow" dxfId="108"/>
      <tableStyleElement type="firstRowStripe" dxfId="107"/>
      <tableStyleElement type="secondRowStripe" dxfId="106"/>
    </tableStyle>
    <tableStyle name="Qrtly Ref Stats-style" pivot="0" count="3" xr9:uid="{00000000-0011-0000-FFFF-FFFF03000000}">
      <tableStyleElement type="headerRow" dxfId="105"/>
      <tableStyleElement type="firstRowStripe" dxfId="104"/>
      <tableStyleElement type="secondRowStripe" dxfId="10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3.xml"/><Relationship Id="rId39" Type="http://schemas.openxmlformats.org/officeDocument/2006/relationships/pivotCacheDefinition" Target="pivotCache/pivotCacheDefinition16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1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pivotCacheDefinition" Target="pivotCache/pivotCacheDefiniti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32" Type="http://schemas.openxmlformats.org/officeDocument/2006/relationships/pivotCacheDefinition" Target="pivotCache/pivotCacheDefinition9.xml"/><Relationship Id="rId37" Type="http://schemas.openxmlformats.org/officeDocument/2006/relationships/pivotCacheDefinition" Target="pivotCache/pivotCacheDefinition14.xml"/><Relationship Id="rId40" Type="http://schemas.openxmlformats.org/officeDocument/2006/relationships/pivotCacheDefinition" Target="pivotCache/pivotCacheDefinition17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5.xml"/><Relationship Id="rId36" Type="http://schemas.openxmlformats.org/officeDocument/2006/relationships/pivotCacheDefinition" Target="pivotCache/pivotCacheDefinition1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8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4.xml"/><Relationship Id="rId30" Type="http://schemas.openxmlformats.org/officeDocument/2006/relationships/pivotCacheDefinition" Target="pivotCache/pivotCacheDefinition7.xml"/><Relationship Id="rId35" Type="http://schemas.openxmlformats.org/officeDocument/2006/relationships/pivotCacheDefinition" Target="pivotCache/pivotCacheDefinition12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33" Type="http://schemas.openxmlformats.org/officeDocument/2006/relationships/pivotCacheDefinition" Target="pivotCache/pivotCacheDefinition10.xml"/><Relationship Id="rId38" Type="http://schemas.openxmlformats.org/officeDocument/2006/relationships/pivotCacheDefinition" Target="pivotCache/pivotCacheDefinition15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[Monthly Stats 04-25-2026 ver1.xlsx]Circ Door Cnt Cards!PivotTable6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Circulation &amp; Door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3.7845705967976713E-2"/>
              <c:y val="-7.9622677730939374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3.2023289665211063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6200873362445413E-2"/>
              <c:y val="-1.5924535546187875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'Circ Door Cnt Cards'!$B$33</c:f>
              <c:strCache>
                <c:ptCount val="1"/>
                <c:pt idx="0">
                  <c:v>Monthly Branch Circulation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'Circ Door Cnt Cards'!$A$34:$A$36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'Circ Door Cnt Cards'!$B$34:$B$36</c:f>
              <c:numCache>
                <c:formatCode>General</c:formatCode>
                <c:ptCount val="2"/>
                <c:pt idx="0">
                  <c:v>49005</c:v>
                </c:pt>
                <c:pt idx="1">
                  <c:v>66759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5-4D5C-AD40-0328D86B6643}"/>
            </c:ext>
          </c:extLst>
        </c:ser>
        <c:ser>
          <c:idx val="1"/>
          <c:order val="1"/>
          <c:tx>
            <c:strRef>
              <c:f>'Circ Door Cnt Cards'!$C$33</c:f>
              <c:strCache>
                <c:ptCount val="1"/>
                <c:pt idx="0">
                  <c:v>Monthly Gate Count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575-4D5C-AD40-0328D86B6643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575-4D5C-AD40-0328D86B6643}"/>
              </c:ext>
            </c:extLst>
          </c:dPt>
          <c:dLbls>
            <c:dLbl>
              <c:idx val="0"/>
              <c:layout>
                <c:manualLayout>
                  <c:x val="3.202328966521106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75-4D5C-AD40-0328D86B6643}"/>
                </c:ext>
              </c:extLst>
            </c:dLbl>
            <c:dLbl>
              <c:idx val="1"/>
              <c:layout>
                <c:manualLayout>
                  <c:x val="3.7845705967976713E-2"/>
                  <c:y val="-7.9622677730939374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75-4D5C-AD40-0328D86B66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'Circ Door Cnt Cards'!$A$34:$A$36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'Circ Door Cnt Cards'!$C$34:$C$36</c:f>
              <c:numCache>
                <c:formatCode>General</c:formatCode>
                <c:ptCount val="2"/>
                <c:pt idx="0">
                  <c:v>38585</c:v>
                </c:pt>
                <c:pt idx="1">
                  <c:v>26733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75-4D5C-AD40-0328D86B6643}"/>
            </c:ext>
          </c:extLst>
        </c:ser>
        <c:ser>
          <c:idx val="2"/>
          <c:order val="2"/>
          <c:tx>
            <c:strRef>
              <c:f>'Circ Door Cnt Cards'!$D$33</c:f>
              <c:strCache>
                <c:ptCount val="1"/>
                <c:pt idx="0">
                  <c:v>Monthly Locker Circulation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575-4D5C-AD40-0328D86B6643}"/>
              </c:ext>
            </c:extLst>
          </c:dPt>
          <c:dLbls>
            <c:dLbl>
              <c:idx val="1"/>
              <c:layout>
                <c:manualLayout>
                  <c:x val="2.6200873362445413E-2"/>
                  <c:y val="-1.5924535546187875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575-4D5C-AD40-0328D86B66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'Circ Door Cnt Cards'!$A$34:$A$36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'Circ Door Cnt Cards'!$D$34:$D$36</c:f>
              <c:numCache>
                <c:formatCode>General</c:formatCode>
                <c:ptCount val="2"/>
                <c:pt idx="1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75-4D5C-AD40-0328D86B66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25405151"/>
        <c:axId val="1220609407"/>
        <c:axId val="0"/>
      </c:bar3DChart>
      <c:catAx>
        <c:axId val="72540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609407"/>
        <c:crosses val="autoZero"/>
        <c:auto val="1"/>
        <c:lblAlgn val="ctr"/>
        <c:lblOffset val="100"/>
        <c:noMultiLvlLbl val="0"/>
      </c:catAx>
      <c:valAx>
        <c:axId val="122060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40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[Monthly Stats 04-25-2026 ver1.xlsx]Circ Door Cnt Cards!PivotTable18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Library</a:t>
            </a:r>
            <a:r>
              <a:rPr lang="en-US" baseline="0"/>
              <a:t> Cards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1.388888888888888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1.6666666666666666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'Circ Door Cnt Cards'!$R$4</c:f>
              <c:strCache>
                <c:ptCount val="1"/>
                <c:pt idx="0">
                  <c:v>New Library Cards, Adult (includes YA)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'Circ Door Cnt Cards'!$Q$5:$Q$7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'Circ Door Cnt Cards'!$R$5:$R$7</c:f>
              <c:numCache>
                <c:formatCode>General</c:formatCode>
                <c:ptCount val="2"/>
                <c:pt idx="0">
                  <c:v>3806</c:v>
                </c:pt>
                <c:pt idx="1">
                  <c:v>1157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6-46C8-82B7-67972C4CCC16}"/>
            </c:ext>
          </c:extLst>
        </c:ser>
        <c:ser>
          <c:idx val="1"/>
          <c:order val="1"/>
          <c:tx>
            <c:strRef>
              <c:f>'Circ Door Cnt Cards'!$S$4</c:f>
              <c:strCache>
                <c:ptCount val="1"/>
                <c:pt idx="0">
                  <c:v>New Library Cards, Juvenile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A446-46C8-82B7-67972C4CCC1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A446-46C8-82B7-67972C4CCC16}"/>
              </c:ext>
            </c:extLst>
          </c:dPt>
          <c:dLbls>
            <c:dLbl>
              <c:idx val="0"/>
              <c:layout>
                <c:manualLayout>
                  <c:x val="1.6666666666666666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46-46C8-82B7-67972C4CCC16}"/>
                </c:ext>
              </c:extLst>
            </c:dLbl>
            <c:dLbl>
              <c:idx val="1"/>
              <c:layout>
                <c:manualLayout>
                  <c:x val="1.388888888888888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446-46C8-82B7-67972C4CCC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'Circ Door Cnt Cards'!$Q$5:$Q$7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'Circ Door Cnt Cards'!$S$5:$S$7</c:f>
              <c:numCache>
                <c:formatCode>General</c:formatCode>
                <c:ptCount val="2"/>
                <c:pt idx="0">
                  <c:v>1696</c:v>
                </c:pt>
                <c:pt idx="1">
                  <c:v>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46-46C8-82B7-67972C4CCC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78198863"/>
        <c:axId val="1294583167"/>
        <c:axId val="0"/>
      </c:bar3DChart>
      <c:catAx>
        <c:axId val="67819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583167"/>
        <c:crosses val="autoZero"/>
        <c:auto val="1"/>
        <c:lblAlgn val="ctr"/>
        <c:lblOffset val="100"/>
        <c:noMultiLvlLbl val="0"/>
      </c:catAx>
      <c:valAx>
        <c:axId val="129458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19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[Monthly Stats 04-25-2026 ver1.xlsx]Programs Month!PivotTable8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Program Sessions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1.6666666666666666E-2"/>
              <c:y val="-8.4875562720133283E-17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8.3333333333332309E-3"/>
              <c:y val="0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3332E-3"/>
              <c:y val="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2829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1.1111111111111112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5.5555555555555558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'Programs Month'!$B$3</c:f>
              <c:strCache>
                <c:ptCount val="1"/>
                <c:pt idx="0">
                  <c:v>Sessions 0-5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'Programs Month'!$A$4:$A$6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'Programs Month'!$B$4:$B$6</c:f>
              <c:numCache>
                <c:formatCode>General</c:formatCode>
                <c:ptCount val="2"/>
                <c:pt idx="0">
                  <c:v>93</c:v>
                </c:pt>
                <c:pt idx="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AF-462E-A461-6B8CCA9C2E24}"/>
            </c:ext>
          </c:extLst>
        </c:ser>
        <c:ser>
          <c:idx val="1"/>
          <c:order val="1"/>
          <c:tx>
            <c:strRef>
              <c:f>'Programs Month'!$C$3</c:f>
              <c:strCache>
                <c:ptCount val="1"/>
                <c:pt idx="0">
                  <c:v>Sessions 6-11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C87-4D67-BC6E-C4D6432667A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C87-4D67-BC6E-C4D6432667AB}"/>
              </c:ext>
            </c:extLst>
          </c:dPt>
          <c:dLbls>
            <c:dLbl>
              <c:idx val="0"/>
              <c:layout>
                <c:manualLayout>
                  <c:x val="8.3333333333333332E-3"/>
                  <c:y val="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C87-4D67-BC6E-C4D6432667AB}"/>
                </c:ext>
              </c:extLst>
            </c:dLbl>
            <c:dLbl>
              <c:idx val="1"/>
              <c:layout>
                <c:manualLayout>
                  <c:x val="1.1111111111111112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87-4D67-BC6E-C4D6432667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'Programs Month'!$A$4:$A$6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'Programs Month'!$C$4:$C$6</c:f>
              <c:numCache>
                <c:formatCode>General</c:formatCode>
                <c:ptCount val="2"/>
                <c:pt idx="0">
                  <c:v>15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AF-462E-A461-6B8CCA9C2E24}"/>
            </c:ext>
          </c:extLst>
        </c:ser>
        <c:ser>
          <c:idx val="2"/>
          <c:order val="2"/>
          <c:tx>
            <c:strRef>
              <c:f>'Programs Month'!$D$3</c:f>
              <c:strCache>
                <c:ptCount val="1"/>
                <c:pt idx="0">
                  <c:v>Sessions 12-18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'Programs Month'!$A$4:$A$6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'Programs Month'!$D$4:$D$6</c:f>
              <c:numCache>
                <c:formatCode>General</c:formatCode>
                <c:ptCount val="2"/>
                <c:pt idx="0">
                  <c:v>25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AF-462E-A461-6B8CCA9C2E24}"/>
            </c:ext>
          </c:extLst>
        </c:ser>
        <c:ser>
          <c:idx val="3"/>
          <c:order val="3"/>
          <c:tx>
            <c:strRef>
              <c:f>'Programs Month'!$E$3</c:f>
              <c:strCache>
                <c:ptCount val="1"/>
                <c:pt idx="0">
                  <c:v>Sessions 19+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'Programs Month'!$A$4:$A$6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'Programs Month'!$E$4:$E$6</c:f>
              <c:numCache>
                <c:formatCode>General</c:formatCode>
                <c:ptCount val="2"/>
                <c:pt idx="0">
                  <c:v>68</c:v>
                </c:pt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AF-462E-A461-6B8CCA9C2E24}"/>
            </c:ext>
          </c:extLst>
        </c:ser>
        <c:ser>
          <c:idx val="4"/>
          <c:order val="4"/>
          <c:tx>
            <c:strRef>
              <c:f>'Programs Month'!$F$3</c:f>
              <c:strCache>
                <c:ptCount val="1"/>
                <c:pt idx="0">
                  <c:v>Sessions GENERAL INTEREST</c:v>
                </c:pt>
              </c:strCache>
            </c:strRef>
          </c:tx>
          <c:spPr>
            <a:solidFill>
              <a:schemeClr val="dk1">
                <a:tint val="30000"/>
              </a:schemeClr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C87-4D67-BC6E-C4D6432667A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C87-4D67-BC6E-C4D6432667AB}"/>
              </c:ext>
            </c:extLst>
          </c:dPt>
          <c:dLbls>
            <c:dLbl>
              <c:idx val="0"/>
              <c:layout>
                <c:manualLayout>
                  <c:x val="8.333333333333282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87-4D67-BC6E-C4D6432667AB}"/>
                </c:ext>
              </c:extLst>
            </c:dLbl>
            <c:dLbl>
              <c:idx val="1"/>
              <c:layout>
                <c:manualLayout>
                  <c:x val="5.555555555555555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87-4D67-BC6E-C4D6432667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'Programs Month'!$A$4:$A$6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'Programs Month'!$F$4:$F$6</c:f>
              <c:numCache>
                <c:formatCode>General</c:formatCode>
                <c:ptCount val="2"/>
                <c:pt idx="0">
                  <c:v>13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AAF-462E-A461-6B8CCA9C2E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55781344"/>
        <c:axId val="1604785856"/>
        <c:axId val="0"/>
      </c:bar3DChart>
      <c:catAx>
        <c:axId val="85578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785856"/>
        <c:crosses val="autoZero"/>
        <c:auto val="1"/>
        <c:lblAlgn val="ctr"/>
        <c:lblOffset val="100"/>
        <c:noMultiLvlLbl val="0"/>
      </c:catAx>
      <c:valAx>
        <c:axId val="160478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78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[Monthly Stats 04-25-2026 ver1.xlsx]Programs Month!PivotTable9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Program Attendance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5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9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3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1.6666666666666666E-2"/>
              <c:y val="-1.0217113665389528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dk1">
              <a:tint val="3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7777777777777776E-2"/>
              <c:y val="-1.5325670498084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dk1">
              <a:tint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9.3655793346353971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dk1">
              <a:tint val="5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2222222222222195E-2"/>
              <c:y val="-8.17369093231163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dk1">
              <a:tint val="5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5000000000000001E-2"/>
              <c:y val="-7.1519795657726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0"/>
        <c:spPr>
          <a:solidFill>
            <a:schemeClr val="dk1">
              <a:tint val="3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5000000000000001E-2"/>
              <c:y val="-1.02171136653896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dk1">
              <a:tint val="985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3332E-3"/>
              <c:y val="-5.10855683269476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'Programs Month'!$B$10</c:f>
              <c:strCache>
                <c:ptCount val="1"/>
                <c:pt idx="0">
                  <c:v>Attendance 0-5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'Programs Month'!$A$11:$A$13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'Programs Month'!$B$11:$B$13</c:f>
              <c:numCache>
                <c:formatCode>General</c:formatCode>
                <c:ptCount val="2"/>
                <c:pt idx="0">
                  <c:v>2633</c:v>
                </c:pt>
                <c:pt idx="1">
                  <c:v>1822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B-4417-BFFD-DFD5209F3E1D}"/>
            </c:ext>
          </c:extLst>
        </c:ser>
        <c:ser>
          <c:idx val="1"/>
          <c:order val="1"/>
          <c:tx>
            <c:strRef>
              <c:f>'Programs Month'!$C$10</c:f>
              <c:strCache>
                <c:ptCount val="1"/>
                <c:pt idx="0">
                  <c:v>Attendance 6-11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0373-4AF9-A911-38DAFE9BB8D3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0373-4AF9-A911-38DAFE9BB8D3}"/>
              </c:ext>
            </c:extLst>
          </c:dPt>
          <c:dLbls>
            <c:dLbl>
              <c:idx val="0"/>
              <c:layout>
                <c:manualLayout>
                  <c:x val="2.2222222222222195E-2"/>
                  <c:y val="-8.17369093231163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373-4AF9-A911-38DAFE9BB8D3}"/>
                </c:ext>
              </c:extLst>
            </c:dLbl>
            <c:dLbl>
              <c:idx val="1"/>
              <c:layout>
                <c:manualLayout>
                  <c:x val="2.5000000000000001E-2"/>
                  <c:y val="-7.15197956577266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0373-4AF9-A911-38DAFE9BB8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'Programs Month'!$A$11:$A$13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'Programs Month'!$C$11:$C$13</c:f>
              <c:numCache>
                <c:formatCode>General</c:formatCode>
                <c:ptCount val="2"/>
                <c:pt idx="0">
                  <c:v>229</c:v>
                </c:pt>
                <c:pt idx="1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CB-4417-BFFD-DFD5209F3E1D}"/>
            </c:ext>
          </c:extLst>
        </c:ser>
        <c:ser>
          <c:idx val="2"/>
          <c:order val="2"/>
          <c:tx>
            <c:strRef>
              <c:f>'Programs Month'!$D$10</c:f>
              <c:strCache>
                <c:ptCount val="1"/>
                <c:pt idx="0">
                  <c:v>Attendance 12-18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373-4AF9-A911-38DAFE9BB8D3}"/>
              </c:ext>
            </c:extLst>
          </c:dPt>
          <c:dLbls>
            <c:dLbl>
              <c:idx val="0"/>
              <c:layout>
                <c:manualLayout>
                  <c:x val="0"/>
                  <c:y val="-9.365579334635397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73-4AF9-A911-38DAFE9BB8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'Programs Month'!$A$11:$A$13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'Programs Month'!$D$11:$D$13</c:f>
              <c:numCache>
                <c:formatCode>General</c:formatCode>
                <c:ptCount val="2"/>
                <c:pt idx="0">
                  <c:v>264</c:v>
                </c:pt>
                <c:pt idx="1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CB-4417-BFFD-DFD5209F3E1D}"/>
            </c:ext>
          </c:extLst>
        </c:ser>
        <c:ser>
          <c:idx val="3"/>
          <c:order val="3"/>
          <c:tx>
            <c:strRef>
              <c:f>'Programs Month'!$E$10</c:f>
              <c:strCache>
                <c:ptCount val="1"/>
                <c:pt idx="0">
                  <c:v>Attendance 19+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0373-4AF9-A911-38DAFE9BB8D3}"/>
              </c:ext>
            </c:extLst>
          </c:dPt>
          <c:dLbls>
            <c:dLbl>
              <c:idx val="1"/>
              <c:layout>
                <c:manualLayout>
                  <c:x val="8.3333333333333332E-3"/>
                  <c:y val="-5.1085568326947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373-4AF9-A911-38DAFE9BB8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'Programs Month'!$A$11:$A$13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'Programs Month'!$E$11:$E$13</c:f>
              <c:numCache>
                <c:formatCode>General</c:formatCode>
                <c:ptCount val="2"/>
                <c:pt idx="0">
                  <c:v>636</c:v>
                </c:pt>
                <c:pt idx="1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CB-4417-BFFD-DFD5209F3E1D}"/>
            </c:ext>
          </c:extLst>
        </c:ser>
        <c:ser>
          <c:idx val="4"/>
          <c:order val="4"/>
          <c:tx>
            <c:strRef>
              <c:f>'Programs Month'!$F$10</c:f>
              <c:strCache>
                <c:ptCount val="1"/>
                <c:pt idx="0">
                  <c:v>Attendance General Interest</c:v>
                </c:pt>
              </c:strCache>
            </c:strRef>
          </c:tx>
          <c:spPr>
            <a:solidFill>
              <a:schemeClr val="dk1">
                <a:tint val="30000"/>
              </a:schemeClr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397-45BA-B749-DC793152993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397-45BA-B749-DC793152993A}"/>
              </c:ext>
            </c:extLst>
          </c:dPt>
          <c:dLbls>
            <c:dLbl>
              <c:idx val="0"/>
              <c:layout>
                <c:manualLayout>
                  <c:x val="2.7777777777777776E-2"/>
                  <c:y val="-1.5325670498084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97-45BA-B749-DC793152993A}"/>
                </c:ext>
              </c:extLst>
            </c:dLbl>
            <c:dLbl>
              <c:idx val="1"/>
              <c:layout>
                <c:manualLayout>
                  <c:x val="2.5000000000000001E-2"/>
                  <c:y val="-1.02171136653896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97-45BA-B749-DC79315299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'Programs Month'!$A$11:$A$13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'Programs Month'!$F$11:$F$13</c:f>
              <c:numCache>
                <c:formatCode>General</c:formatCode>
                <c:ptCount val="2"/>
                <c:pt idx="0">
                  <c:v>277</c:v>
                </c:pt>
                <c:pt idx="1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CB-4417-BFFD-DFD5209F3E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5964160"/>
        <c:axId val="871119168"/>
        <c:axId val="0"/>
      </c:bar3DChart>
      <c:catAx>
        <c:axId val="19596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119168"/>
        <c:crosses val="autoZero"/>
        <c:auto val="1"/>
        <c:lblAlgn val="ctr"/>
        <c:lblOffset val="100"/>
        <c:noMultiLvlLbl val="0"/>
      </c:catAx>
      <c:valAx>
        <c:axId val="87111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6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[Monthly Stats 04-25-2026 ver1.xlsx]Online use!PivotTable3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Online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dk1">
                  <a:tint val="88500"/>
                  <a:lumMod val="110000"/>
                  <a:satMod val="105000"/>
                  <a:tint val="67000"/>
                </a:schemeClr>
              </a:gs>
              <a:gs pos="50000">
                <a:schemeClr val="dk1">
                  <a:tint val="88500"/>
                  <a:lumMod val="105000"/>
                  <a:satMod val="103000"/>
                  <a:tint val="73000"/>
                </a:schemeClr>
              </a:gs>
              <a:gs pos="100000">
                <a:schemeClr val="dk1">
                  <a:tint val="885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dk1">
                <a:tint val="88500"/>
                <a:shade val="95000"/>
              </a:schemeClr>
            </a:solidFill>
            <a:round/>
          </a:ln>
          <a:effectLst/>
          <a:sp3d contourW="9525">
            <a:contourClr>
              <a:schemeClr val="dk1">
                <a:tint val="88500"/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dk1">
                  <a:tint val="88500"/>
                  <a:lumMod val="110000"/>
                  <a:satMod val="105000"/>
                  <a:tint val="67000"/>
                </a:schemeClr>
              </a:gs>
              <a:gs pos="50000">
                <a:schemeClr val="dk1">
                  <a:tint val="88500"/>
                  <a:lumMod val="105000"/>
                  <a:satMod val="103000"/>
                  <a:tint val="73000"/>
                </a:schemeClr>
              </a:gs>
              <a:gs pos="100000">
                <a:schemeClr val="dk1">
                  <a:tint val="885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dk1">
                <a:tint val="88500"/>
                <a:shade val="95000"/>
              </a:schemeClr>
            </a:solidFill>
            <a:round/>
          </a:ln>
          <a:effectLst/>
          <a:sp3d contourW="9525">
            <a:contourClr>
              <a:schemeClr val="dk1">
                <a:tint val="88500"/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dk1">
                  <a:tint val="88500"/>
                  <a:lumMod val="110000"/>
                  <a:satMod val="105000"/>
                  <a:tint val="67000"/>
                </a:schemeClr>
              </a:gs>
              <a:gs pos="50000">
                <a:schemeClr val="dk1">
                  <a:tint val="88500"/>
                  <a:lumMod val="105000"/>
                  <a:satMod val="103000"/>
                  <a:tint val="73000"/>
                </a:schemeClr>
              </a:gs>
              <a:gs pos="100000">
                <a:schemeClr val="dk1">
                  <a:tint val="885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dk1">
                <a:tint val="88500"/>
                <a:shade val="95000"/>
              </a:schemeClr>
            </a:solidFill>
            <a:round/>
          </a:ln>
          <a:effectLst/>
          <a:sp3d contourW="9525">
            <a:contourClr>
              <a:schemeClr val="dk1">
                <a:tint val="88500"/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dk1">
                  <a:tint val="88500"/>
                  <a:lumMod val="110000"/>
                  <a:satMod val="105000"/>
                  <a:tint val="67000"/>
                </a:schemeClr>
              </a:gs>
              <a:gs pos="50000">
                <a:schemeClr val="dk1">
                  <a:tint val="88500"/>
                  <a:lumMod val="105000"/>
                  <a:satMod val="103000"/>
                  <a:tint val="73000"/>
                </a:schemeClr>
              </a:gs>
              <a:gs pos="100000">
                <a:schemeClr val="dk1">
                  <a:tint val="885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dk1">
                <a:tint val="88500"/>
                <a:shade val="95000"/>
              </a:schemeClr>
            </a:solidFill>
            <a:round/>
          </a:ln>
          <a:effectLst/>
          <a:sp3d contourW="9525">
            <a:contourClr>
              <a:schemeClr val="dk1">
                <a:tint val="88500"/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dk1">
                  <a:tint val="55000"/>
                  <a:lumMod val="110000"/>
                  <a:satMod val="105000"/>
                  <a:tint val="67000"/>
                </a:schemeClr>
              </a:gs>
              <a:gs pos="50000">
                <a:schemeClr val="dk1">
                  <a:tint val="55000"/>
                  <a:lumMod val="105000"/>
                  <a:satMod val="103000"/>
                  <a:tint val="73000"/>
                </a:schemeClr>
              </a:gs>
              <a:gs pos="100000">
                <a:schemeClr val="dk1">
                  <a:tint val="550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dk1">
                <a:tint val="55000"/>
                <a:shade val="95000"/>
              </a:schemeClr>
            </a:solidFill>
            <a:round/>
          </a:ln>
          <a:effectLst/>
          <a:sp3d contourW="9525">
            <a:contourClr>
              <a:schemeClr val="dk1">
                <a:tint val="55000"/>
                <a:shade val="95000"/>
              </a:schemeClr>
            </a:contourClr>
          </a:sp3d>
        </c:spPr>
        <c:dLbl>
          <c:idx val="0"/>
          <c:layout>
            <c:manualLayout>
              <c:x val="1.388888888888888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dk1">
                  <a:tint val="55000"/>
                  <a:lumMod val="110000"/>
                  <a:satMod val="105000"/>
                  <a:tint val="67000"/>
                </a:schemeClr>
              </a:gs>
              <a:gs pos="50000">
                <a:schemeClr val="dk1">
                  <a:tint val="55000"/>
                  <a:lumMod val="105000"/>
                  <a:satMod val="103000"/>
                  <a:tint val="73000"/>
                </a:schemeClr>
              </a:gs>
              <a:gs pos="100000">
                <a:schemeClr val="dk1">
                  <a:tint val="550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dk1">
                <a:tint val="55000"/>
                <a:shade val="95000"/>
              </a:schemeClr>
            </a:solidFill>
            <a:round/>
          </a:ln>
          <a:effectLst/>
          <a:sp3d contourW="9525">
            <a:contourClr>
              <a:schemeClr val="dk1">
                <a:tint val="55000"/>
                <a:shade val="95000"/>
              </a:schemeClr>
            </a:contourClr>
          </a:sp3d>
        </c:spPr>
        <c:dLbl>
          <c:idx val="0"/>
          <c:layout>
            <c:manualLayout>
              <c:x val="8.3333333333333332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'Online use'!$B$3</c:f>
              <c:strCache>
                <c:ptCount val="1"/>
                <c:pt idx="0">
                  <c:v>Website Hits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lumMod val="110000"/>
                    <a:satMod val="105000"/>
                    <a:tint val="67000"/>
                  </a:schemeClr>
                </a:gs>
                <a:gs pos="50000">
                  <a:schemeClr val="dk1">
                    <a:tint val="88500"/>
                    <a:lumMod val="105000"/>
                    <a:satMod val="103000"/>
                    <a:tint val="73000"/>
                  </a:schemeClr>
                </a:gs>
                <a:gs pos="100000">
                  <a:schemeClr val="dk1">
                    <a:tint val="885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dk1">
                  <a:tint val="88500"/>
                  <a:shade val="95000"/>
                </a:schemeClr>
              </a:solidFill>
              <a:round/>
            </a:ln>
            <a:effectLst/>
            <a:sp3d contourW="9525">
              <a:contourClr>
                <a:schemeClr val="dk1">
                  <a:tint val="88500"/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'Online use'!$A$4:$A$6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'Online use'!$B$4:$B$6</c:f>
              <c:numCache>
                <c:formatCode>General</c:formatCode>
                <c:ptCount val="2"/>
                <c:pt idx="0">
                  <c:v>26431</c:v>
                </c:pt>
                <c:pt idx="1">
                  <c:v>28476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EB-4C75-8D0B-848363ED80EB}"/>
            </c:ext>
          </c:extLst>
        </c:ser>
        <c:ser>
          <c:idx val="1"/>
          <c:order val="1"/>
          <c:tx>
            <c:strRef>
              <c:f>'Online use'!$C$3</c:f>
              <c:strCache>
                <c:ptCount val="1"/>
                <c:pt idx="0">
                  <c:v>Contact Us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55000"/>
                    <a:lumMod val="110000"/>
                    <a:satMod val="105000"/>
                    <a:tint val="67000"/>
                  </a:schemeClr>
                </a:gs>
                <a:gs pos="50000">
                  <a:schemeClr val="dk1">
                    <a:tint val="55000"/>
                    <a:lumMod val="105000"/>
                    <a:satMod val="103000"/>
                    <a:tint val="73000"/>
                  </a:schemeClr>
                </a:gs>
                <a:gs pos="100000">
                  <a:schemeClr val="dk1">
                    <a:tint val="55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dk1">
                  <a:tint val="55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dk1">
                  <a:tint val="55000"/>
                  <a:shade val="9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dk1">
                      <a:tint val="5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dk1">
                      <a:tint val="5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dk1">
                      <a:tint val="5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dk1">
                    <a:tint val="55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dk1">
                    <a:tint val="55000"/>
                    <a:shade val="9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C50-42FE-BC18-ACD50D77B048}"/>
              </c:ext>
            </c:extLst>
          </c:dPt>
          <c:dLbls>
            <c:dLbl>
              <c:idx val="0"/>
              <c:layout>
                <c:manualLayout>
                  <c:x val="8.3333333333333332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50-42FE-BC18-ACD50D77B0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'Online use'!$A$4:$A$6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'Online use'!$C$4:$C$6</c:f>
              <c:numCache>
                <c:formatCode>General</c:formatCode>
                <c:ptCount val="2"/>
                <c:pt idx="0">
                  <c:v>53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EB-4C75-8D0B-848363ED80EB}"/>
            </c:ext>
          </c:extLst>
        </c:ser>
        <c:ser>
          <c:idx val="2"/>
          <c:order val="2"/>
          <c:tx>
            <c:strRef>
              <c:f>'Online use'!$D$3</c:f>
              <c:strCache>
                <c:ptCount val="1"/>
                <c:pt idx="0">
                  <c:v>YCLApp Users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75000"/>
                    <a:lumMod val="110000"/>
                    <a:satMod val="105000"/>
                    <a:tint val="67000"/>
                  </a:schemeClr>
                </a:gs>
                <a:gs pos="50000">
                  <a:schemeClr val="dk1">
                    <a:tint val="75000"/>
                    <a:lumMod val="105000"/>
                    <a:satMod val="103000"/>
                    <a:tint val="73000"/>
                  </a:schemeClr>
                </a:gs>
                <a:gs pos="100000">
                  <a:schemeClr val="dk1">
                    <a:tint val="75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dk1">
                  <a:tint val="75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dk1">
                  <a:tint val="75000"/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'Online use'!$A$4:$A$6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'Online use'!$D$4:$D$6</c:f>
              <c:numCache>
                <c:formatCode>General</c:formatCode>
                <c:ptCount val="2"/>
                <c:pt idx="0">
                  <c:v>1262</c:v>
                </c:pt>
                <c:pt idx="1">
                  <c:v>2319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EB-4C75-8D0B-848363ED80EB}"/>
            </c:ext>
          </c:extLst>
        </c:ser>
        <c:ser>
          <c:idx val="3"/>
          <c:order val="3"/>
          <c:tx>
            <c:strRef>
              <c:f>'Online use'!$E$3</c:f>
              <c:strCache>
                <c:ptCount val="1"/>
                <c:pt idx="0">
                  <c:v>YCLApp Sessions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98500"/>
                    <a:lumMod val="110000"/>
                    <a:satMod val="105000"/>
                    <a:tint val="67000"/>
                  </a:schemeClr>
                </a:gs>
                <a:gs pos="50000">
                  <a:schemeClr val="dk1">
                    <a:tint val="98500"/>
                    <a:lumMod val="105000"/>
                    <a:satMod val="103000"/>
                    <a:tint val="73000"/>
                  </a:schemeClr>
                </a:gs>
                <a:gs pos="100000">
                  <a:schemeClr val="dk1">
                    <a:tint val="985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dk1">
                  <a:tint val="98500"/>
                  <a:shade val="95000"/>
                </a:schemeClr>
              </a:solidFill>
              <a:round/>
            </a:ln>
            <a:effectLst/>
            <a:sp3d contourW="9525">
              <a:contourClr>
                <a:schemeClr val="dk1">
                  <a:tint val="98500"/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'Online use'!$A$4:$A$6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'Online use'!$E$4:$E$6</c:f>
              <c:numCache>
                <c:formatCode>General</c:formatCode>
                <c:ptCount val="2"/>
                <c:pt idx="0">
                  <c:v>5287</c:v>
                </c:pt>
                <c:pt idx="1">
                  <c:v>46299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EB-4C75-8D0B-848363ED80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21925840"/>
        <c:axId val="194361456"/>
        <c:axId val="0"/>
      </c:bar3DChart>
      <c:catAx>
        <c:axId val="172192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61456"/>
        <c:crosses val="autoZero"/>
        <c:auto val="1"/>
        <c:lblAlgn val="ctr"/>
        <c:lblOffset val="100"/>
        <c:noMultiLvlLbl val="0"/>
      </c:catAx>
      <c:valAx>
        <c:axId val="19436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92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[Monthly Stats 04-25-2026 ver1.xlsx]Social!PivotTable1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Social Media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Social!$B$3</c:f>
              <c:strCache>
                <c:ptCount val="1"/>
                <c:pt idx="0">
                  <c:v>Instragram - Subscriptions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Social!$A$4:$A$6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Social!$B$4:$B$6</c:f>
              <c:numCache>
                <c:formatCode>General</c:formatCode>
                <c:ptCount val="2"/>
                <c:pt idx="0">
                  <c:v>22642</c:v>
                </c:pt>
                <c:pt idx="1">
                  <c:v>2345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4-4F4B-BE53-D5ABEB8AA95F}"/>
            </c:ext>
          </c:extLst>
        </c:ser>
        <c:ser>
          <c:idx val="1"/>
          <c:order val="1"/>
          <c:tx>
            <c:strRef>
              <c:f>Social!$C$3</c:f>
              <c:strCache>
                <c:ptCount val="1"/>
                <c:pt idx="0">
                  <c:v>Facebook - Followers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Social!$A$4:$A$6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Social!$C$4:$C$6</c:f>
              <c:numCache>
                <c:formatCode>General</c:formatCode>
                <c:ptCount val="2"/>
                <c:pt idx="0">
                  <c:v>8619</c:v>
                </c:pt>
                <c:pt idx="1">
                  <c:v>9785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54-4F4B-BE53-D5ABEB8AA9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98430096"/>
        <c:axId val="2101252816"/>
        <c:axId val="0"/>
      </c:bar3DChart>
      <c:catAx>
        <c:axId val="209843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52816"/>
        <c:crosses val="autoZero"/>
        <c:auto val="1"/>
        <c:lblAlgn val="ctr"/>
        <c:lblOffset val="100"/>
        <c:noMultiLvlLbl val="0"/>
      </c:catAx>
      <c:valAx>
        <c:axId val="210125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3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[Monthly Stats 04-25-2026 ver1.xlsx]Social!PivotTable2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YouTube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5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7777777777777776E-2"/>
              <c:y val="-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5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3.0555555555555555E-2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Social!$B$13</c:f>
              <c:strCache>
                <c:ptCount val="1"/>
                <c:pt idx="0">
                  <c:v>YouTube -- Views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Social!$A$14:$A$16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Social!$B$14:$B$16</c:f>
              <c:numCache>
                <c:formatCode>General</c:formatCode>
                <c:ptCount val="2"/>
                <c:pt idx="0">
                  <c:v>3525</c:v>
                </c:pt>
                <c:pt idx="1">
                  <c:v>1751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6-41F5-AD2B-B925CD8126F6}"/>
            </c:ext>
          </c:extLst>
        </c:ser>
        <c:ser>
          <c:idx val="1"/>
          <c:order val="1"/>
          <c:tx>
            <c:strRef>
              <c:f>Social!$C$13</c:f>
              <c:strCache>
                <c:ptCount val="1"/>
                <c:pt idx="0">
                  <c:v>Youtube -- Subscribers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C9B6-41F5-AD2B-B925CD8126F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9B6-41F5-AD2B-B925CD8126F6}"/>
              </c:ext>
            </c:extLst>
          </c:dPt>
          <c:dLbls>
            <c:dLbl>
              <c:idx val="0"/>
              <c:layout>
                <c:manualLayout>
                  <c:x val="2.7777777777777776E-2"/>
                  <c:y val="-1.3888888888888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B6-41F5-AD2B-B925CD8126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Social!$A$14:$A$16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Social!$C$14:$C$16</c:f>
              <c:numCache>
                <c:formatCode>General</c:formatCode>
                <c:ptCount val="2"/>
                <c:pt idx="0">
                  <c:v>1200</c:v>
                </c:pt>
                <c:pt idx="1">
                  <c:v>1280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B6-41F5-AD2B-B925CD8126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6013344"/>
        <c:axId val="1924888560"/>
        <c:axId val="0"/>
      </c:bar3DChart>
      <c:catAx>
        <c:axId val="2601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888560"/>
        <c:crosses val="autoZero"/>
        <c:auto val="1"/>
        <c:lblAlgn val="ctr"/>
        <c:lblOffset val="100"/>
        <c:noMultiLvlLbl val="0"/>
      </c:catAx>
      <c:valAx>
        <c:axId val="192488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1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[Monthly Stats 04-25-2026 ver1.xlsx]Tech Use!PivotTable10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Technology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dk1">
                  <a:tint val="88500"/>
                  <a:lumMod val="110000"/>
                  <a:satMod val="105000"/>
                  <a:tint val="67000"/>
                </a:schemeClr>
              </a:gs>
              <a:gs pos="50000">
                <a:schemeClr val="dk1">
                  <a:tint val="88500"/>
                  <a:lumMod val="105000"/>
                  <a:satMod val="103000"/>
                  <a:tint val="73000"/>
                </a:schemeClr>
              </a:gs>
              <a:gs pos="100000">
                <a:schemeClr val="dk1">
                  <a:tint val="885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dk1">
                <a:tint val="88500"/>
                <a:shade val="95000"/>
              </a:schemeClr>
            </a:solidFill>
            <a:round/>
          </a:ln>
          <a:effectLst/>
          <a:sp3d contourW="9525">
            <a:contourClr>
              <a:schemeClr val="dk1">
                <a:tint val="88500"/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dk1">
                  <a:tint val="88500"/>
                  <a:lumMod val="110000"/>
                  <a:satMod val="105000"/>
                  <a:tint val="67000"/>
                </a:schemeClr>
              </a:gs>
              <a:gs pos="50000">
                <a:schemeClr val="dk1">
                  <a:tint val="88500"/>
                  <a:lumMod val="105000"/>
                  <a:satMod val="103000"/>
                  <a:tint val="73000"/>
                </a:schemeClr>
              </a:gs>
              <a:gs pos="100000">
                <a:schemeClr val="dk1">
                  <a:tint val="885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dk1">
                <a:tint val="88500"/>
                <a:shade val="95000"/>
              </a:schemeClr>
            </a:solidFill>
            <a:round/>
          </a:ln>
          <a:effectLst/>
          <a:sp3d contourW="9525">
            <a:contourClr>
              <a:schemeClr val="dk1">
                <a:tint val="88500"/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dk1">
                  <a:tint val="88500"/>
                  <a:lumMod val="110000"/>
                  <a:satMod val="105000"/>
                  <a:tint val="67000"/>
                </a:schemeClr>
              </a:gs>
              <a:gs pos="50000">
                <a:schemeClr val="dk1">
                  <a:tint val="88500"/>
                  <a:lumMod val="105000"/>
                  <a:satMod val="103000"/>
                  <a:tint val="73000"/>
                </a:schemeClr>
              </a:gs>
              <a:gs pos="100000">
                <a:schemeClr val="dk1">
                  <a:tint val="885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dk1">
                <a:tint val="88500"/>
                <a:shade val="95000"/>
              </a:schemeClr>
            </a:solidFill>
            <a:round/>
          </a:ln>
          <a:effectLst/>
          <a:sp3d contourW="9525">
            <a:contourClr>
              <a:schemeClr val="dk1">
                <a:tint val="88500"/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dk1">
                  <a:tint val="88500"/>
                  <a:lumMod val="110000"/>
                  <a:satMod val="105000"/>
                  <a:tint val="67000"/>
                </a:schemeClr>
              </a:gs>
              <a:gs pos="50000">
                <a:schemeClr val="dk1">
                  <a:tint val="88500"/>
                  <a:lumMod val="105000"/>
                  <a:satMod val="103000"/>
                  <a:tint val="73000"/>
                </a:schemeClr>
              </a:gs>
              <a:gs pos="100000">
                <a:schemeClr val="dk1">
                  <a:tint val="885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dk1">
                <a:tint val="88500"/>
                <a:shade val="95000"/>
              </a:schemeClr>
            </a:solidFill>
            <a:round/>
          </a:ln>
          <a:effectLst/>
          <a:sp3d contourW="9525">
            <a:contourClr>
              <a:schemeClr val="dk1">
                <a:tint val="88500"/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dk1">
                  <a:tint val="55000"/>
                  <a:lumMod val="110000"/>
                  <a:satMod val="105000"/>
                  <a:tint val="67000"/>
                </a:schemeClr>
              </a:gs>
              <a:gs pos="50000">
                <a:schemeClr val="dk1">
                  <a:tint val="55000"/>
                  <a:lumMod val="105000"/>
                  <a:satMod val="103000"/>
                  <a:tint val="73000"/>
                </a:schemeClr>
              </a:gs>
              <a:gs pos="100000">
                <a:schemeClr val="dk1">
                  <a:tint val="550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dk1">
                <a:tint val="55000"/>
                <a:shade val="95000"/>
              </a:schemeClr>
            </a:solidFill>
            <a:round/>
          </a:ln>
          <a:effectLst/>
          <a:sp3d contourW="9525">
            <a:contourClr>
              <a:schemeClr val="dk1">
                <a:tint val="55000"/>
                <a:shade val="95000"/>
              </a:schemeClr>
            </a:contourClr>
          </a:sp3d>
        </c:spPr>
        <c:dLbl>
          <c:idx val="0"/>
          <c:layout>
            <c:manualLayout>
              <c:x val="5.5555555555555297E-3"/>
              <c:y val="-1.6975112544026657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'Tech Use'!$B$3</c:f>
              <c:strCache>
                <c:ptCount val="1"/>
                <c:pt idx="0">
                  <c:v>Monthly PC Reservations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lumMod val="110000"/>
                    <a:satMod val="105000"/>
                    <a:tint val="67000"/>
                  </a:schemeClr>
                </a:gs>
                <a:gs pos="50000">
                  <a:schemeClr val="dk1">
                    <a:tint val="88500"/>
                    <a:lumMod val="105000"/>
                    <a:satMod val="103000"/>
                    <a:tint val="73000"/>
                  </a:schemeClr>
                </a:gs>
                <a:gs pos="100000">
                  <a:schemeClr val="dk1">
                    <a:tint val="885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dk1">
                  <a:tint val="88500"/>
                  <a:shade val="95000"/>
                </a:schemeClr>
              </a:solidFill>
              <a:round/>
            </a:ln>
            <a:effectLst/>
            <a:sp3d contourW="9525">
              <a:contourClr>
                <a:schemeClr val="dk1">
                  <a:tint val="88500"/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'Tech Use'!$A$4:$A$6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'Tech Use'!$B$4:$B$6</c:f>
              <c:numCache>
                <c:formatCode>General</c:formatCode>
                <c:ptCount val="2"/>
                <c:pt idx="0">
                  <c:v>3819</c:v>
                </c:pt>
                <c:pt idx="1">
                  <c:v>1953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E-45C9-BA4A-F5A450F2168D}"/>
            </c:ext>
          </c:extLst>
        </c:ser>
        <c:ser>
          <c:idx val="1"/>
          <c:order val="1"/>
          <c:tx>
            <c:strRef>
              <c:f>'Tech Use'!$C$3</c:f>
              <c:strCache>
                <c:ptCount val="1"/>
                <c:pt idx="0">
                  <c:v>WiFi -- Unique Sessions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55000"/>
                    <a:lumMod val="110000"/>
                    <a:satMod val="105000"/>
                    <a:tint val="67000"/>
                  </a:schemeClr>
                </a:gs>
                <a:gs pos="50000">
                  <a:schemeClr val="dk1">
                    <a:tint val="55000"/>
                    <a:lumMod val="105000"/>
                    <a:satMod val="103000"/>
                    <a:tint val="73000"/>
                  </a:schemeClr>
                </a:gs>
                <a:gs pos="100000">
                  <a:schemeClr val="dk1">
                    <a:tint val="55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dk1">
                  <a:tint val="55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dk1">
                  <a:tint val="55000"/>
                  <a:shade val="9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B7D9-42EE-90B3-1EB06284F1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'Tech Use'!$A$4:$A$6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'Tech Use'!$C$4:$C$6</c:f>
              <c:numCache>
                <c:formatCode>General</c:formatCode>
                <c:ptCount val="2"/>
                <c:pt idx="0">
                  <c:v>7606</c:v>
                </c:pt>
                <c:pt idx="1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EE-45C9-BA4A-F5A450F2168D}"/>
            </c:ext>
          </c:extLst>
        </c:ser>
        <c:ser>
          <c:idx val="2"/>
          <c:order val="2"/>
          <c:tx>
            <c:strRef>
              <c:f>'Tech Use'!$D$3</c:f>
              <c:strCache>
                <c:ptCount val="1"/>
                <c:pt idx="0">
                  <c:v>Hotspots - Circulation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75000"/>
                    <a:lumMod val="110000"/>
                    <a:satMod val="105000"/>
                    <a:tint val="67000"/>
                  </a:schemeClr>
                </a:gs>
                <a:gs pos="50000">
                  <a:schemeClr val="dk1">
                    <a:tint val="75000"/>
                    <a:lumMod val="105000"/>
                    <a:satMod val="103000"/>
                    <a:tint val="73000"/>
                  </a:schemeClr>
                </a:gs>
                <a:gs pos="100000">
                  <a:schemeClr val="dk1">
                    <a:tint val="75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dk1">
                  <a:tint val="75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dk1">
                  <a:tint val="75000"/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'Tech Use'!$A$4:$A$6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'Tech Use'!$D$4:$D$6</c:f>
              <c:numCache>
                <c:formatCode>General</c:formatCode>
                <c:ptCount val="2"/>
                <c:pt idx="0">
                  <c:v>380</c:v>
                </c:pt>
                <c:pt idx="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EE-45C9-BA4A-F5A450F2168D}"/>
            </c:ext>
          </c:extLst>
        </c:ser>
        <c:ser>
          <c:idx val="3"/>
          <c:order val="3"/>
          <c:tx>
            <c:strRef>
              <c:f>'Tech Use'!$E$3</c:f>
              <c:strCache>
                <c:ptCount val="1"/>
                <c:pt idx="0">
                  <c:v>Monthly Total Prints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98500"/>
                    <a:lumMod val="110000"/>
                    <a:satMod val="105000"/>
                    <a:tint val="67000"/>
                  </a:schemeClr>
                </a:gs>
                <a:gs pos="50000">
                  <a:schemeClr val="dk1">
                    <a:tint val="98500"/>
                    <a:lumMod val="105000"/>
                    <a:satMod val="103000"/>
                    <a:tint val="73000"/>
                  </a:schemeClr>
                </a:gs>
                <a:gs pos="100000">
                  <a:schemeClr val="dk1">
                    <a:tint val="985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dk1">
                  <a:tint val="98500"/>
                  <a:shade val="95000"/>
                </a:schemeClr>
              </a:solidFill>
              <a:round/>
            </a:ln>
            <a:effectLst/>
            <a:sp3d contourW="9525">
              <a:contourClr>
                <a:schemeClr val="dk1">
                  <a:tint val="98500"/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'Tech Use'!$A$4:$A$6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'Tech Use'!$E$4:$E$6</c:f>
              <c:numCache>
                <c:formatCode>General</c:formatCode>
                <c:ptCount val="2"/>
                <c:pt idx="0">
                  <c:v>1699</c:v>
                </c:pt>
                <c:pt idx="1">
                  <c:v>7508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EE-45C9-BA4A-F5A450F216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9494080"/>
        <c:axId val="302417984"/>
        <c:axId val="0"/>
      </c:bar3DChart>
      <c:catAx>
        <c:axId val="19949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417984"/>
        <c:crosses val="autoZero"/>
        <c:auto val="1"/>
        <c:lblAlgn val="ctr"/>
        <c:lblOffset val="100"/>
        <c:noMultiLvlLbl val="0"/>
      </c:catAx>
      <c:valAx>
        <c:axId val="30241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9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Stats 04-25-2026 ver1.xlsx]Lamar!PivotTable1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Lamar!$B$1</c:f>
              <c:strCache>
                <c:ptCount val="1"/>
                <c:pt idx="0">
                  <c:v>Sum of New Library Card Registrations, Adult (includes YA)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Lamar!$A$2:$A$40</c:f>
              <c:multiLvlStrCache>
                <c:ptCount val="26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2024</c:v>
                  </c:pt>
                  <c:pt idx="4">
                    <c:v>2025</c:v>
                  </c:pt>
                  <c:pt idx="5">
                    <c:v>2026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2024</c:v>
                  </c:pt>
                  <c:pt idx="11">
                    <c:v>2025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2024</c:v>
                  </c:pt>
                  <c:pt idx="25">
                    <c:v>2025</c:v>
                  </c:pt>
                </c:lvl>
                <c:lvl>
                  <c:pt idx="0">
                    <c:v>01-January</c:v>
                  </c:pt>
                  <c:pt idx="3">
                    <c:v>02-February</c:v>
                  </c:pt>
                  <c:pt idx="6">
                    <c:v>03-March</c:v>
                  </c:pt>
                  <c:pt idx="8">
                    <c:v>04-April</c:v>
                  </c:pt>
                  <c:pt idx="10">
                    <c:v>05-May</c:v>
                  </c:pt>
                  <c:pt idx="12">
                    <c:v>06-June</c:v>
                  </c:pt>
                  <c:pt idx="14">
                    <c:v>07-July</c:v>
                  </c:pt>
                  <c:pt idx="16">
                    <c:v>08-August</c:v>
                  </c:pt>
                  <c:pt idx="18">
                    <c:v>09-September</c:v>
                  </c:pt>
                  <c:pt idx="20">
                    <c:v>10-October</c:v>
                  </c:pt>
                  <c:pt idx="22">
                    <c:v>11-November</c:v>
                  </c:pt>
                  <c:pt idx="24">
                    <c:v>12-December</c:v>
                  </c:pt>
                </c:lvl>
              </c:multiLvlStrCache>
            </c:multiLvlStrRef>
          </c:cat>
          <c:val>
            <c:numRef>
              <c:f>Lamar!$B$2:$B$40</c:f>
              <c:numCache>
                <c:formatCode>General</c:formatCode>
                <c:ptCount val="26"/>
                <c:pt idx="2">
                  <c:v>407</c:v>
                </c:pt>
                <c:pt idx="4">
                  <c:v>569</c:v>
                </c:pt>
                <c:pt idx="5">
                  <c:v>369</c:v>
                </c:pt>
                <c:pt idx="7">
                  <c:v>589</c:v>
                </c:pt>
                <c:pt idx="9">
                  <c:v>672</c:v>
                </c:pt>
                <c:pt idx="11">
                  <c:v>846</c:v>
                </c:pt>
                <c:pt idx="12">
                  <c:v>922</c:v>
                </c:pt>
                <c:pt idx="13">
                  <c:v>1130</c:v>
                </c:pt>
                <c:pt idx="15">
                  <c:v>654</c:v>
                </c:pt>
                <c:pt idx="17">
                  <c:v>601</c:v>
                </c:pt>
                <c:pt idx="19">
                  <c:v>579</c:v>
                </c:pt>
                <c:pt idx="21">
                  <c:v>362</c:v>
                </c:pt>
                <c:pt idx="23">
                  <c:v>315</c:v>
                </c:pt>
                <c:pt idx="25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0-44BC-AD09-0526E0DA7104}"/>
            </c:ext>
          </c:extLst>
        </c:ser>
        <c:ser>
          <c:idx val="1"/>
          <c:order val="1"/>
          <c:tx>
            <c:strRef>
              <c:f>Lamar!$C$1</c:f>
              <c:strCache>
                <c:ptCount val="1"/>
                <c:pt idx="0">
                  <c:v>Sum of New Library Card Registrations, Juvenile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Lamar!$A$2:$A$40</c:f>
              <c:multiLvlStrCache>
                <c:ptCount val="26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2024</c:v>
                  </c:pt>
                  <c:pt idx="4">
                    <c:v>2025</c:v>
                  </c:pt>
                  <c:pt idx="5">
                    <c:v>2026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2024</c:v>
                  </c:pt>
                  <c:pt idx="11">
                    <c:v>2025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2024</c:v>
                  </c:pt>
                  <c:pt idx="25">
                    <c:v>2025</c:v>
                  </c:pt>
                </c:lvl>
                <c:lvl>
                  <c:pt idx="0">
                    <c:v>01-January</c:v>
                  </c:pt>
                  <c:pt idx="3">
                    <c:v>02-February</c:v>
                  </c:pt>
                  <c:pt idx="6">
                    <c:v>03-March</c:v>
                  </c:pt>
                  <c:pt idx="8">
                    <c:v>04-April</c:v>
                  </c:pt>
                  <c:pt idx="10">
                    <c:v>05-May</c:v>
                  </c:pt>
                  <c:pt idx="12">
                    <c:v>06-June</c:v>
                  </c:pt>
                  <c:pt idx="14">
                    <c:v>07-July</c:v>
                  </c:pt>
                  <c:pt idx="16">
                    <c:v>08-August</c:v>
                  </c:pt>
                  <c:pt idx="18">
                    <c:v>09-September</c:v>
                  </c:pt>
                  <c:pt idx="20">
                    <c:v>10-October</c:v>
                  </c:pt>
                  <c:pt idx="22">
                    <c:v>11-November</c:v>
                  </c:pt>
                  <c:pt idx="24">
                    <c:v>12-December</c:v>
                  </c:pt>
                </c:lvl>
              </c:multiLvlStrCache>
            </c:multiLvlStrRef>
          </c:cat>
          <c:val>
            <c:numRef>
              <c:f>Lamar!$C$2:$C$40</c:f>
              <c:numCache>
                <c:formatCode>General</c:formatCode>
                <c:ptCount val="26"/>
                <c:pt idx="0">
                  <c:v>648</c:v>
                </c:pt>
                <c:pt idx="1">
                  <c:v>519</c:v>
                </c:pt>
                <c:pt idx="2">
                  <c:v>241</c:v>
                </c:pt>
                <c:pt idx="3">
                  <c:v>569</c:v>
                </c:pt>
                <c:pt idx="5">
                  <c:v>158</c:v>
                </c:pt>
                <c:pt idx="6">
                  <c:v>885</c:v>
                </c:pt>
                <c:pt idx="8">
                  <c:v>1179</c:v>
                </c:pt>
                <c:pt idx="9">
                  <c:v>1177</c:v>
                </c:pt>
                <c:pt idx="10">
                  <c:v>1413</c:v>
                </c:pt>
                <c:pt idx="14">
                  <c:v>1554</c:v>
                </c:pt>
                <c:pt idx="15">
                  <c:v>220</c:v>
                </c:pt>
                <c:pt idx="16">
                  <c:v>1428</c:v>
                </c:pt>
                <c:pt idx="17">
                  <c:v>257</c:v>
                </c:pt>
                <c:pt idx="18">
                  <c:v>1154</c:v>
                </c:pt>
                <c:pt idx="19">
                  <c:v>438</c:v>
                </c:pt>
                <c:pt idx="20">
                  <c:v>660</c:v>
                </c:pt>
                <c:pt idx="21">
                  <c:v>175</c:v>
                </c:pt>
                <c:pt idx="22">
                  <c:v>427</c:v>
                </c:pt>
                <c:pt idx="23">
                  <c:v>86</c:v>
                </c:pt>
                <c:pt idx="24">
                  <c:v>540</c:v>
                </c:pt>
                <c:pt idx="25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50-44BC-AD09-0526E0DA7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3354144"/>
        <c:axId val="1850753920"/>
      </c:barChart>
      <c:catAx>
        <c:axId val="98335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53920"/>
        <c:crosses val="autoZero"/>
        <c:auto val="1"/>
        <c:lblAlgn val="ctr"/>
        <c:lblOffset val="100"/>
        <c:noMultiLvlLbl val="0"/>
      </c:catAx>
      <c:valAx>
        <c:axId val="185075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35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Stats 04-25-2026 ver1.xlsx]Lamar 3!PivotTable1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Gate Count per</a:t>
            </a:r>
            <a:r>
              <a:rPr lang="en-US" baseline="0"/>
              <a:t>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'Lamar 3'!$B$1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'Lamar 3'!$A$2:$A$28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3'!$B$2:$B$28</c:f>
              <c:numCache>
                <c:formatCode>General</c:formatCode>
                <c:ptCount val="24"/>
                <c:pt idx="0">
                  <c:v>32464</c:v>
                </c:pt>
                <c:pt idx="1">
                  <c:v>35355</c:v>
                </c:pt>
                <c:pt idx="2">
                  <c:v>38557</c:v>
                </c:pt>
                <c:pt idx="3">
                  <c:v>38180</c:v>
                </c:pt>
                <c:pt idx="4">
                  <c:v>40466</c:v>
                </c:pt>
                <c:pt idx="5">
                  <c:v>43373</c:v>
                </c:pt>
                <c:pt idx="6">
                  <c:v>45642</c:v>
                </c:pt>
                <c:pt idx="7">
                  <c:v>35655</c:v>
                </c:pt>
                <c:pt idx="8">
                  <c:v>35226</c:v>
                </c:pt>
                <c:pt idx="9">
                  <c:v>40143</c:v>
                </c:pt>
                <c:pt idx="10">
                  <c:v>30396</c:v>
                </c:pt>
                <c:pt idx="11">
                  <c:v>30057</c:v>
                </c:pt>
                <c:pt idx="12">
                  <c:v>32472</c:v>
                </c:pt>
                <c:pt idx="13">
                  <c:v>48078</c:v>
                </c:pt>
                <c:pt idx="14">
                  <c:v>38585</c:v>
                </c:pt>
                <c:pt idx="15">
                  <c:v>38214</c:v>
                </c:pt>
                <c:pt idx="16">
                  <c:v>40511</c:v>
                </c:pt>
                <c:pt idx="17">
                  <c:v>48945</c:v>
                </c:pt>
                <c:pt idx="18">
                  <c:v>44913</c:v>
                </c:pt>
                <c:pt idx="19">
                  <c:v>36434</c:v>
                </c:pt>
                <c:pt idx="20">
                  <c:v>38051</c:v>
                </c:pt>
                <c:pt idx="21">
                  <c:v>27396</c:v>
                </c:pt>
                <c:pt idx="22">
                  <c:v>22010</c:v>
                </c:pt>
                <c:pt idx="23">
                  <c:v>20461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51-4617-A2FE-CBDCF45A4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0361920"/>
        <c:axId val="1610053152"/>
      </c:lineChart>
      <c:catAx>
        <c:axId val="184036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053152"/>
        <c:crosses val="autoZero"/>
        <c:auto val="1"/>
        <c:lblAlgn val="ctr"/>
        <c:lblOffset val="100"/>
        <c:noMultiLvlLbl val="0"/>
      </c:catAx>
      <c:valAx>
        <c:axId val="161005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36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Stats 04-25-2026 ver1.xlsx]Lamar 3!PivotTable2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Library Card Registrations per</a:t>
            </a:r>
            <a:r>
              <a:rPr lang="en-US" baseline="0"/>
              <a:t>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'Lamar 3'!$B$33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'Lamar 3'!$A$34:$A$60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3'!$B$34:$B$60</c:f>
              <c:numCache>
                <c:formatCode>General</c:formatCode>
                <c:ptCount val="24"/>
                <c:pt idx="0">
                  <c:v>648</c:v>
                </c:pt>
                <c:pt idx="1">
                  <c:v>569</c:v>
                </c:pt>
                <c:pt idx="2">
                  <c:v>885</c:v>
                </c:pt>
                <c:pt idx="3">
                  <c:v>1179</c:v>
                </c:pt>
                <c:pt idx="4">
                  <c:v>1413</c:v>
                </c:pt>
                <c:pt idx="5">
                  <c:v>922</c:v>
                </c:pt>
                <c:pt idx="6">
                  <c:v>1554</c:v>
                </c:pt>
                <c:pt idx="7">
                  <c:v>1428</c:v>
                </c:pt>
                <c:pt idx="8">
                  <c:v>1154</c:v>
                </c:pt>
                <c:pt idx="9">
                  <c:v>660</c:v>
                </c:pt>
                <c:pt idx="10">
                  <c:v>427</c:v>
                </c:pt>
                <c:pt idx="11">
                  <c:v>540</c:v>
                </c:pt>
                <c:pt idx="12">
                  <c:v>519</c:v>
                </c:pt>
                <c:pt idx="13">
                  <c:v>569</c:v>
                </c:pt>
                <c:pt idx="14">
                  <c:v>589</c:v>
                </c:pt>
                <c:pt idx="15">
                  <c:v>1849</c:v>
                </c:pt>
                <c:pt idx="16">
                  <c:v>846</c:v>
                </c:pt>
                <c:pt idx="17">
                  <c:v>1130</c:v>
                </c:pt>
                <c:pt idx="18">
                  <c:v>874</c:v>
                </c:pt>
                <c:pt idx="19">
                  <c:v>858</c:v>
                </c:pt>
                <c:pt idx="20">
                  <c:v>1017</c:v>
                </c:pt>
                <c:pt idx="21">
                  <c:v>537</c:v>
                </c:pt>
                <c:pt idx="22">
                  <c:v>401</c:v>
                </c:pt>
                <c:pt idx="23">
                  <c:v>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F-426B-B75E-CBEBD802D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93600"/>
        <c:axId val="2028725312"/>
      </c:barChart>
      <c:catAx>
        <c:axId val="1079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725312"/>
        <c:crosses val="autoZero"/>
        <c:auto val="1"/>
        <c:lblAlgn val="ctr"/>
        <c:lblOffset val="100"/>
        <c:noMultiLvlLbl val="0"/>
      </c:catAx>
      <c:valAx>
        <c:axId val="202872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Stats 04-25-2026 ver1.xlsx]Lamar 3!PivotTable3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PC Reservations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'Lamar 3'!$B$77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'Lamar 3'!$A$78:$A$104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3'!$B$78:$B$104</c:f>
              <c:numCache>
                <c:formatCode>General</c:formatCode>
                <c:ptCount val="24"/>
                <c:pt idx="0">
                  <c:v>1428</c:v>
                </c:pt>
                <c:pt idx="1">
                  <c:v>1495</c:v>
                </c:pt>
                <c:pt idx="2">
                  <c:v>3819</c:v>
                </c:pt>
                <c:pt idx="3">
                  <c:v>3594</c:v>
                </c:pt>
                <c:pt idx="4">
                  <c:v>3562</c:v>
                </c:pt>
                <c:pt idx="5">
                  <c:v>3842</c:v>
                </c:pt>
                <c:pt idx="6">
                  <c:v>3862</c:v>
                </c:pt>
                <c:pt idx="7">
                  <c:v>3748</c:v>
                </c:pt>
                <c:pt idx="8">
                  <c:v>1531</c:v>
                </c:pt>
                <c:pt idx="9">
                  <c:v>3730</c:v>
                </c:pt>
                <c:pt idx="10">
                  <c:v>1171</c:v>
                </c:pt>
                <c:pt idx="11">
                  <c:v>2419</c:v>
                </c:pt>
                <c:pt idx="12">
                  <c:v>3045</c:v>
                </c:pt>
                <c:pt idx="13">
                  <c:v>3354</c:v>
                </c:pt>
                <c:pt idx="14">
                  <c:v>3819</c:v>
                </c:pt>
                <c:pt idx="15">
                  <c:v>3594</c:v>
                </c:pt>
                <c:pt idx="16">
                  <c:v>3562</c:v>
                </c:pt>
                <c:pt idx="17">
                  <c:v>3695</c:v>
                </c:pt>
                <c:pt idx="18">
                  <c:v>3646</c:v>
                </c:pt>
                <c:pt idx="19">
                  <c:v>1803</c:v>
                </c:pt>
                <c:pt idx="20">
                  <c:v>3649</c:v>
                </c:pt>
                <c:pt idx="21">
                  <c:v>2042</c:v>
                </c:pt>
                <c:pt idx="22">
                  <c:v>1618</c:v>
                </c:pt>
                <c:pt idx="23">
                  <c:v>1376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7-4FB4-8A01-B03F2C3B3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7883760"/>
        <c:axId val="2032332864"/>
      </c:barChart>
      <c:catAx>
        <c:axId val="210788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332864"/>
        <c:crosses val="autoZero"/>
        <c:auto val="1"/>
        <c:lblAlgn val="ctr"/>
        <c:lblOffset val="100"/>
        <c:noMultiLvlLbl val="0"/>
      </c:catAx>
      <c:valAx>
        <c:axId val="203233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88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Stats 04-25-2026 ver1.xlsx]Lamar 3!PivotTable4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Hotspot Checkouts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'Lamar 3'!$B$109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'Lamar 3'!$A$110:$A$136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3'!$B$110:$B$136</c:f>
              <c:numCache>
                <c:formatCode>General</c:formatCode>
                <c:ptCount val="24"/>
                <c:pt idx="0">
                  <c:v>350</c:v>
                </c:pt>
                <c:pt idx="1">
                  <c:v>333</c:v>
                </c:pt>
                <c:pt idx="2">
                  <c:v>380</c:v>
                </c:pt>
                <c:pt idx="3">
                  <c:v>357</c:v>
                </c:pt>
                <c:pt idx="4">
                  <c:v>346</c:v>
                </c:pt>
                <c:pt idx="5">
                  <c:v>177</c:v>
                </c:pt>
                <c:pt idx="6">
                  <c:v>376</c:v>
                </c:pt>
                <c:pt idx="7">
                  <c:v>351</c:v>
                </c:pt>
                <c:pt idx="8">
                  <c:v>317</c:v>
                </c:pt>
                <c:pt idx="9">
                  <c:v>364</c:v>
                </c:pt>
                <c:pt idx="10">
                  <c:v>270</c:v>
                </c:pt>
                <c:pt idx="11">
                  <c:v>312</c:v>
                </c:pt>
                <c:pt idx="12">
                  <c:v>350</c:v>
                </c:pt>
                <c:pt idx="13">
                  <c:v>333</c:v>
                </c:pt>
                <c:pt idx="14">
                  <c:v>380</c:v>
                </c:pt>
                <c:pt idx="15">
                  <c:v>357</c:v>
                </c:pt>
                <c:pt idx="16">
                  <c:v>346</c:v>
                </c:pt>
                <c:pt idx="17">
                  <c:v>405</c:v>
                </c:pt>
                <c:pt idx="18">
                  <c:v>246</c:v>
                </c:pt>
                <c:pt idx="19">
                  <c:v>328</c:v>
                </c:pt>
                <c:pt idx="20">
                  <c:v>330</c:v>
                </c:pt>
                <c:pt idx="21">
                  <c:v>304</c:v>
                </c:pt>
                <c:pt idx="22">
                  <c:v>243</c:v>
                </c:pt>
                <c:pt idx="23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E-46A4-9F15-B0443C92FF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9762640"/>
        <c:axId val="2032336192"/>
      </c:barChart>
      <c:catAx>
        <c:axId val="211976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336192"/>
        <c:crosses val="autoZero"/>
        <c:auto val="1"/>
        <c:lblAlgn val="ctr"/>
        <c:lblOffset val="100"/>
        <c:noMultiLvlLbl val="0"/>
      </c:catAx>
      <c:valAx>
        <c:axId val="203233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76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Stats 04-25-2026 ver1.xlsx]Lamar 3!PivotTable5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WiFi Use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'Lamar 3'!$B$142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'Lamar 3'!$A$143:$A$156</c:f>
              <c:multiLvlStrCache>
                <c:ptCount val="12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'Lamar 3'!$B$143:$B$156</c:f>
              <c:numCache>
                <c:formatCode>General</c:formatCode>
                <c:ptCount val="12"/>
                <c:pt idx="0">
                  <c:v>6285</c:v>
                </c:pt>
                <c:pt idx="1">
                  <c:v>6646</c:v>
                </c:pt>
                <c:pt idx="2">
                  <c:v>7606</c:v>
                </c:pt>
                <c:pt idx="3">
                  <c:v>7853</c:v>
                </c:pt>
                <c:pt idx="4">
                  <c:v>6733</c:v>
                </c:pt>
                <c:pt idx="5">
                  <c:v>14361</c:v>
                </c:pt>
                <c:pt idx="6">
                  <c:v>7113</c:v>
                </c:pt>
                <c:pt idx="7">
                  <c:v>6827</c:v>
                </c:pt>
                <c:pt idx="8">
                  <c:v>7425</c:v>
                </c:pt>
                <c:pt idx="9">
                  <c:v>4300</c:v>
                </c:pt>
                <c:pt idx="10">
                  <c:v>3402</c:v>
                </c:pt>
                <c:pt idx="11">
                  <c:v>3109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F-4776-AF7D-E3FFF1E8C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2217024"/>
        <c:axId val="2032314560"/>
      </c:barChart>
      <c:catAx>
        <c:axId val="20322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314560"/>
        <c:crosses val="autoZero"/>
        <c:auto val="1"/>
        <c:lblAlgn val="ctr"/>
        <c:lblOffset val="100"/>
        <c:noMultiLvlLbl val="0"/>
      </c:catAx>
      <c:valAx>
        <c:axId val="203231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2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Stats 04-25-2026 ver1.xlsx]Lamar 3!PivotTable6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Prints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'Lamar 3'!$B$166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'Lamar 3'!$A$167:$A$193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3'!$B$167:$B$193</c:f>
              <c:numCache>
                <c:formatCode>General</c:formatCode>
                <c:ptCount val="24"/>
                <c:pt idx="0">
                  <c:v>4548</c:v>
                </c:pt>
                <c:pt idx="1">
                  <c:v>5467</c:v>
                </c:pt>
                <c:pt idx="2">
                  <c:v>6478</c:v>
                </c:pt>
                <c:pt idx="3">
                  <c:v>5306</c:v>
                </c:pt>
                <c:pt idx="4">
                  <c:v>6526</c:v>
                </c:pt>
                <c:pt idx="6">
                  <c:v>4827</c:v>
                </c:pt>
                <c:pt idx="7">
                  <c:v>5786</c:v>
                </c:pt>
                <c:pt idx="8">
                  <c:v>4221</c:v>
                </c:pt>
                <c:pt idx="9">
                  <c:v>4118</c:v>
                </c:pt>
                <c:pt idx="10">
                  <c:v>3895</c:v>
                </c:pt>
                <c:pt idx="11">
                  <c:v>4415</c:v>
                </c:pt>
                <c:pt idx="12">
                  <c:v>1761</c:v>
                </c:pt>
                <c:pt idx="13">
                  <c:v>1258</c:v>
                </c:pt>
                <c:pt idx="14">
                  <c:v>1699</c:v>
                </c:pt>
                <c:pt idx="15">
                  <c:v>1397</c:v>
                </c:pt>
                <c:pt idx="16">
                  <c:v>1685</c:v>
                </c:pt>
                <c:pt idx="17">
                  <c:v>1562</c:v>
                </c:pt>
                <c:pt idx="18">
                  <c:v>3136</c:v>
                </c:pt>
                <c:pt idx="19">
                  <c:v>6399</c:v>
                </c:pt>
                <c:pt idx="20">
                  <c:v>7830</c:v>
                </c:pt>
                <c:pt idx="21">
                  <c:v>5842</c:v>
                </c:pt>
                <c:pt idx="22">
                  <c:v>3382</c:v>
                </c:pt>
                <c:pt idx="23">
                  <c:v>3548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F-468B-98EA-284D50180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69376"/>
        <c:axId val="2028743200"/>
      </c:barChart>
      <c:catAx>
        <c:axId val="916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743200"/>
        <c:crosses val="autoZero"/>
        <c:auto val="1"/>
        <c:lblAlgn val="ctr"/>
        <c:lblOffset val="100"/>
        <c:noMultiLvlLbl val="0"/>
      </c:catAx>
      <c:valAx>
        <c:axId val="202874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Stats 04-25-2026 ver1.xlsx]Lamar 3!PivotTable7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'Lamar 3'!$B$198</c:f>
              <c:strCache>
                <c:ptCount val="1"/>
                <c:pt idx="0">
                  <c:v>Sum of I2:  ONSITE Sessions 0-5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'Lamar 3'!$A$199:$A$225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3'!$B$199:$B$225</c:f>
              <c:numCache>
                <c:formatCode>General</c:formatCode>
                <c:ptCount val="24"/>
                <c:pt idx="0">
                  <c:v>54</c:v>
                </c:pt>
                <c:pt idx="1">
                  <c:v>52</c:v>
                </c:pt>
                <c:pt idx="2">
                  <c:v>93</c:v>
                </c:pt>
                <c:pt idx="3">
                  <c:v>68</c:v>
                </c:pt>
                <c:pt idx="4">
                  <c:v>61</c:v>
                </c:pt>
                <c:pt idx="5">
                  <c:v>62</c:v>
                </c:pt>
                <c:pt idx="6">
                  <c:v>58</c:v>
                </c:pt>
                <c:pt idx="7">
                  <c:v>2</c:v>
                </c:pt>
                <c:pt idx="8">
                  <c:v>85</c:v>
                </c:pt>
                <c:pt idx="9">
                  <c:v>100</c:v>
                </c:pt>
                <c:pt idx="10">
                  <c:v>76</c:v>
                </c:pt>
                <c:pt idx="11">
                  <c:v>56</c:v>
                </c:pt>
                <c:pt idx="12">
                  <c:v>76</c:v>
                </c:pt>
                <c:pt idx="13">
                  <c:v>80</c:v>
                </c:pt>
                <c:pt idx="14">
                  <c:v>93</c:v>
                </c:pt>
                <c:pt idx="15">
                  <c:v>68</c:v>
                </c:pt>
                <c:pt idx="16">
                  <c:v>61</c:v>
                </c:pt>
                <c:pt idx="17">
                  <c:v>59</c:v>
                </c:pt>
                <c:pt idx="18">
                  <c:v>57</c:v>
                </c:pt>
                <c:pt idx="19">
                  <c:v>0</c:v>
                </c:pt>
                <c:pt idx="20">
                  <c:v>74</c:v>
                </c:pt>
                <c:pt idx="21">
                  <c:v>53</c:v>
                </c:pt>
                <c:pt idx="22">
                  <c:v>40</c:v>
                </c:pt>
                <c:pt idx="2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4-40FD-A761-D585B9F4B9C4}"/>
            </c:ext>
          </c:extLst>
        </c:ser>
        <c:ser>
          <c:idx val="1"/>
          <c:order val="1"/>
          <c:tx>
            <c:strRef>
              <c:f>'Lamar 3'!$C$198</c:f>
              <c:strCache>
                <c:ptCount val="1"/>
                <c:pt idx="0">
                  <c:v>Sum of I3:   ONSITE Sessions 6-11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'Lamar 3'!$A$199:$A$225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3'!$C$199:$C$225</c:f>
              <c:numCache>
                <c:formatCode>General</c:formatCode>
                <c:ptCount val="24"/>
                <c:pt idx="0">
                  <c:v>11</c:v>
                </c:pt>
                <c:pt idx="1">
                  <c:v>14</c:v>
                </c:pt>
                <c:pt idx="2">
                  <c:v>16</c:v>
                </c:pt>
                <c:pt idx="3">
                  <c:v>24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1</c:v>
                </c:pt>
                <c:pt idx="8">
                  <c:v>22</c:v>
                </c:pt>
                <c:pt idx="9">
                  <c:v>27</c:v>
                </c:pt>
                <c:pt idx="10">
                  <c:v>21</c:v>
                </c:pt>
                <c:pt idx="11">
                  <c:v>84</c:v>
                </c:pt>
                <c:pt idx="12">
                  <c:v>16</c:v>
                </c:pt>
                <c:pt idx="13">
                  <c:v>19</c:v>
                </c:pt>
                <c:pt idx="14">
                  <c:v>15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18</c:v>
                </c:pt>
                <c:pt idx="19">
                  <c:v>1</c:v>
                </c:pt>
                <c:pt idx="20">
                  <c:v>20</c:v>
                </c:pt>
                <c:pt idx="21">
                  <c:v>15</c:v>
                </c:pt>
                <c:pt idx="22">
                  <c:v>17</c:v>
                </c:pt>
                <c:pt idx="2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34-40FD-A761-D585B9F4B9C4}"/>
            </c:ext>
          </c:extLst>
        </c:ser>
        <c:ser>
          <c:idx val="2"/>
          <c:order val="2"/>
          <c:tx>
            <c:strRef>
              <c:f>'Lamar 3'!$D$198</c:f>
              <c:strCache>
                <c:ptCount val="1"/>
                <c:pt idx="0">
                  <c:v>Sum of I4: ONSITE Sessions 12-18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'Lamar 3'!$A$199:$A$225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3'!$D$199:$D$225</c:f>
              <c:numCache>
                <c:formatCode>General</c:formatCode>
                <c:ptCount val="24"/>
                <c:pt idx="0">
                  <c:v>11</c:v>
                </c:pt>
                <c:pt idx="1">
                  <c:v>11</c:v>
                </c:pt>
                <c:pt idx="2">
                  <c:v>25</c:v>
                </c:pt>
                <c:pt idx="3">
                  <c:v>27</c:v>
                </c:pt>
                <c:pt idx="4">
                  <c:v>27</c:v>
                </c:pt>
                <c:pt idx="5">
                  <c:v>31</c:v>
                </c:pt>
                <c:pt idx="6">
                  <c:v>40</c:v>
                </c:pt>
                <c:pt idx="7">
                  <c:v>5</c:v>
                </c:pt>
                <c:pt idx="8">
                  <c:v>22</c:v>
                </c:pt>
                <c:pt idx="9">
                  <c:v>26</c:v>
                </c:pt>
                <c:pt idx="10">
                  <c:v>19</c:v>
                </c:pt>
                <c:pt idx="11">
                  <c:v>29</c:v>
                </c:pt>
                <c:pt idx="12">
                  <c:v>16</c:v>
                </c:pt>
                <c:pt idx="13">
                  <c:v>23</c:v>
                </c:pt>
                <c:pt idx="14">
                  <c:v>25</c:v>
                </c:pt>
                <c:pt idx="15">
                  <c:v>27</c:v>
                </c:pt>
                <c:pt idx="16">
                  <c:v>23</c:v>
                </c:pt>
                <c:pt idx="17">
                  <c:v>41</c:v>
                </c:pt>
                <c:pt idx="18">
                  <c:v>42</c:v>
                </c:pt>
                <c:pt idx="19">
                  <c:v>9</c:v>
                </c:pt>
                <c:pt idx="20">
                  <c:v>28</c:v>
                </c:pt>
                <c:pt idx="21">
                  <c:v>18</c:v>
                </c:pt>
                <c:pt idx="22">
                  <c:v>15</c:v>
                </c:pt>
                <c:pt idx="2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34-40FD-A761-D585B9F4B9C4}"/>
            </c:ext>
          </c:extLst>
        </c:ser>
        <c:ser>
          <c:idx val="3"/>
          <c:order val="3"/>
          <c:tx>
            <c:strRef>
              <c:f>'Lamar 3'!$E$198</c:f>
              <c:strCache>
                <c:ptCount val="1"/>
                <c:pt idx="0">
                  <c:v>Sum of I5:   ONSITE Sessions 19+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'Lamar 3'!$A$199:$A$225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3'!$E$199:$E$225</c:f>
              <c:numCache>
                <c:formatCode>General</c:formatCode>
                <c:ptCount val="24"/>
                <c:pt idx="0">
                  <c:v>33</c:v>
                </c:pt>
                <c:pt idx="1">
                  <c:v>42</c:v>
                </c:pt>
                <c:pt idx="2">
                  <c:v>68</c:v>
                </c:pt>
                <c:pt idx="3">
                  <c:v>62</c:v>
                </c:pt>
                <c:pt idx="4">
                  <c:v>53</c:v>
                </c:pt>
                <c:pt idx="5">
                  <c:v>48</c:v>
                </c:pt>
                <c:pt idx="6">
                  <c:v>41</c:v>
                </c:pt>
                <c:pt idx="7">
                  <c:v>38</c:v>
                </c:pt>
                <c:pt idx="8">
                  <c:v>56</c:v>
                </c:pt>
                <c:pt idx="9">
                  <c:v>56</c:v>
                </c:pt>
                <c:pt idx="10">
                  <c:v>51</c:v>
                </c:pt>
                <c:pt idx="11">
                  <c:v>44</c:v>
                </c:pt>
                <c:pt idx="12">
                  <c:v>51</c:v>
                </c:pt>
                <c:pt idx="13">
                  <c:v>71</c:v>
                </c:pt>
                <c:pt idx="14">
                  <c:v>68</c:v>
                </c:pt>
                <c:pt idx="15">
                  <c:v>62</c:v>
                </c:pt>
                <c:pt idx="16">
                  <c:v>53</c:v>
                </c:pt>
                <c:pt idx="17">
                  <c:v>56</c:v>
                </c:pt>
                <c:pt idx="18">
                  <c:v>45</c:v>
                </c:pt>
                <c:pt idx="19">
                  <c:v>50</c:v>
                </c:pt>
                <c:pt idx="20">
                  <c:v>67</c:v>
                </c:pt>
                <c:pt idx="21">
                  <c:v>39</c:v>
                </c:pt>
                <c:pt idx="22">
                  <c:v>35</c:v>
                </c:pt>
                <c:pt idx="2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34-40FD-A761-D585B9F4B9C4}"/>
            </c:ext>
          </c:extLst>
        </c:ser>
        <c:ser>
          <c:idx val="4"/>
          <c:order val="4"/>
          <c:tx>
            <c:strRef>
              <c:f>'Lamar 3'!$F$198</c:f>
              <c:strCache>
                <c:ptCount val="1"/>
                <c:pt idx="0">
                  <c:v>Sum of I6:  ONSITE Sessions GENERAL INTEREST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'Lamar 3'!$A$199:$A$225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3'!$F$199:$F$225</c:f>
              <c:numCache>
                <c:formatCode>General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13</c:v>
                </c:pt>
                <c:pt idx="3">
                  <c:v>17</c:v>
                </c:pt>
                <c:pt idx="4">
                  <c:v>17</c:v>
                </c:pt>
                <c:pt idx="5">
                  <c:v>41</c:v>
                </c:pt>
                <c:pt idx="6">
                  <c:v>34</c:v>
                </c:pt>
                <c:pt idx="7">
                  <c:v>7</c:v>
                </c:pt>
                <c:pt idx="8">
                  <c:v>13</c:v>
                </c:pt>
                <c:pt idx="9">
                  <c:v>19</c:v>
                </c:pt>
                <c:pt idx="10">
                  <c:v>10</c:v>
                </c:pt>
                <c:pt idx="11">
                  <c:v>12</c:v>
                </c:pt>
                <c:pt idx="12">
                  <c:v>14</c:v>
                </c:pt>
                <c:pt idx="13">
                  <c:v>8</c:v>
                </c:pt>
                <c:pt idx="14">
                  <c:v>13</c:v>
                </c:pt>
                <c:pt idx="15">
                  <c:v>17</c:v>
                </c:pt>
                <c:pt idx="16">
                  <c:v>17</c:v>
                </c:pt>
                <c:pt idx="17">
                  <c:v>48</c:v>
                </c:pt>
                <c:pt idx="18">
                  <c:v>37</c:v>
                </c:pt>
                <c:pt idx="19">
                  <c:v>3</c:v>
                </c:pt>
                <c:pt idx="20">
                  <c:v>12</c:v>
                </c:pt>
                <c:pt idx="21">
                  <c:v>9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34-40FD-A761-D585B9F4B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413872"/>
        <c:axId val="2032333280"/>
      </c:barChart>
      <c:catAx>
        <c:axId val="14041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333280"/>
        <c:crosses val="autoZero"/>
        <c:auto val="1"/>
        <c:lblAlgn val="ctr"/>
        <c:lblOffset val="100"/>
        <c:noMultiLvlLbl val="0"/>
      </c:catAx>
      <c:valAx>
        <c:axId val="203233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1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Stats 04-25-2026 ver1.xlsx]Lamar 3!PivotTable8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'Lamar 3'!$B$232</c:f>
              <c:strCache>
                <c:ptCount val="1"/>
                <c:pt idx="0">
                  <c:v>Sum of ONSITE Attendance 0-5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'Lamar 3'!$A$233:$A$259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3'!$B$233:$B$259</c:f>
              <c:numCache>
                <c:formatCode>General</c:formatCode>
                <c:ptCount val="24"/>
                <c:pt idx="0">
                  <c:v>1236</c:v>
                </c:pt>
                <c:pt idx="1">
                  <c:v>1082</c:v>
                </c:pt>
                <c:pt idx="2">
                  <c:v>2633</c:v>
                </c:pt>
                <c:pt idx="3">
                  <c:v>2000</c:v>
                </c:pt>
                <c:pt idx="4">
                  <c:v>1698</c:v>
                </c:pt>
                <c:pt idx="5">
                  <c:v>1667</c:v>
                </c:pt>
                <c:pt idx="6">
                  <c:v>1709</c:v>
                </c:pt>
                <c:pt idx="7">
                  <c:v>23</c:v>
                </c:pt>
                <c:pt idx="8">
                  <c:v>2303</c:v>
                </c:pt>
                <c:pt idx="9">
                  <c:v>2293</c:v>
                </c:pt>
                <c:pt idx="10">
                  <c:v>1959</c:v>
                </c:pt>
                <c:pt idx="11">
                  <c:v>1708</c:v>
                </c:pt>
                <c:pt idx="12">
                  <c:v>2149</c:v>
                </c:pt>
                <c:pt idx="13">
                  <c:v>2022</c:v>
                </c:pt>
                <c:pt idx="14">
                  <c:v>2633</c:v>
                </c:pt>
                <c:pt idx="15">
                  <c:v>2000</c:v>
                </c:pt>
                <c:pt idx="16">
                  <c:v>1698</c:v>
                </c:pt>
                <c:pt idx="17">
                  <c:v>1729</c:v>
                </c:pt>
                <c:pt idx="18">
                  <c:v>1594</c:v>
                </c:pt>
                <c:pt idx="19">
                  <c:v>0</c:v>
                </c:pt>
                <c:pt idx="20">
                  <c:v>2435</c:v>
                </c:pt>
                <c:pt idx="21">
                  <c:v>1540</c:v>
                </c:pt>
                <c:pt idx="22">
                  <c:v>1007</c:v>
                </c:pt>
                <c:pt idx="23">
                  <c:v>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5-49FD-A795-4C0FFFDD5F9C}"/>
            </c:ext>
          </c:extLst>
        </c:ser>
        <c:ser>
          <c:idx val="1"/>
          <c:order val="1"/>
          <c:tx>
            <c:strRef>
              <c:f>'Lamar 3'!$C$232</c:f>
              <c:strCache>
                <c:ptCount val="1"/>
                <c:pt idx="0">
                  <c:v>Sum of ONSITE Attendance 6-11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'Lamar 3'!$A$233:$A$259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3'!$C$233:$C$259</c:f>
              <c:numCache>
                <c:formatCode>General</c:formatCode>
                <c:ptCount val="24"/>
                <c:pt idx="0">
                  <c:v>150</c:v>
                </c:pt>
                <c:pt idx="1">
                  <c:v>191</c:v>
                </c:pt>
                <c:pt idx="2">
                  <c:v>229</c:v>
                </c:pt>
                <c:pt idx="3">
                  <c:v>1162</c:v>
                </c:pt>
                <c:pt idx="4">
                  <c:v>345</c:v>
                </c:pt>
                <c:pt idx="5">
                  <c:v>732</c:v>
                </c:pt>
                <c:pt idx="6">
                  <c:v>557</c:v>
                </c:pt>
                <c:pt idx="7">
                  <c:v>15</c:v>
                </c:pt>
                <c:pt idx="8">
                  <c:v>1606</c:v>
                </c:pt>
                <c:pt idx="9">
                  <c:v>513</c:v>
                </c:pt>
                <c:pt idx="10">
                  <c:v>304</c:v>
                </c:pt>
                <c:pt idx="11">
                  <c:v>246</c:v>
                </c:pt>
                <c:pt idx="12">
                  <c:v>249</c:v>
                </c:pt>
                <c:pt idx="13">
                  <c:v>314</c:v>
                </c:pt>
                <c:pt idx="14">
                  <c:v>229</c:v>
                </c:pt>
                <c:pt idx="15">
                  <c:v>1162</c:v>
                </c:pt>
                <c:pt idx="16">
                  <c:v>345</c:v>
                </c:pt>
                <c:pt idx="17">
                  <c:v>949</c:v>
                </c:pt>
                <c:pt idx="18">
                  <c:v>506</c:v>
                </c:pt>
                <c:pt idx="19">
                  <c:v>11</c:v>
                </c:pt>
                <c:pt idx="20">
                  <c:v>336</c:v>
                </c:pt>
                <c:pt idx="21">
                  <c:v>172</c:v>
                </c:pt>
                <c:pt idx="22">
                  <c:v>194</c:v>
                </c:pt>
                <c:pt idx="23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65-49FD-A795-4C0FFFDD5F9C}"/>
            </c:ext>
          </c:extLst>
        </c:ser>
        <c:ser>
          <c:idx val="2"/>
          <c:order val="2"/>
          <c:tx>
            <c:strRef>
              <c:f>'Lamar 3'!$D$232</c:f>
              <c:strCache>
                <c:ptCount val="1"/>
                <c:pt idx="0">
                  <c:v>Sum of ONSITE Attendance 12-18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'Lamar 3'!$A$233:$A$259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3'!$D$233:$D$259</c:f>
              <c:numCache>
                <c:formatCode>General</c:formatCode>
                <c:ptCount val="24"/>
                <c:pt idx="0">
                  <c:v>77</c:v>
                </c:pt>
                <c:pt idx="1">
                  <c:v>111</c:v>
                </c:pt>
                <c:pt idx="2">
                  <c:v>264</c:v>
                </c:pt>
                <c:pt idx="3">
                  <c:v>246</c:v>
                </c:pt>
                <c:pt idx="4">
                  <c:v>178</c:v>
                </c:pt>
                <c:pt idx="5">
                  <c:v>363</c:v>
                </c:pt>
                <c:pt idx="6">
                  <c:v>463</c:v>
                </c:pt>
                <c:pt idx="7">
                  <c:v>46</c:v>
                </c:pt>
                <c:pt idx="8">
                  <c:v>223</c:v>
                </c:pt>
                <c:pt idx="9">
                  <c:v>243</c:v>
                </c:pt>
                <c:pt idx="10">
                  <c:v>1795</c:v>
                </c:pt>
                <c:pt idx="11">
                  <c:v>1482</c:v>
                </c:pt>
                <c:pt idx="12">
                  <c:v>124</c:v>
                </c:pt>
                <c:pt idx="13">
                  <c:v>242</c:v>
                </c:pt>
                <c:pt idx="14">
                  <c:v>264</c:v>
                </c:pt>
                <c:pt idx="15">
                  <c:v>246</c:v>
                </c:pt>
                <c:pt idx="16">
                  <c:v>178</c:v>
                </c:pt>
                <c:pt idx="17">
                  <c:v>467</c:v>
                </c:pt>
                <c:pt idx="18">
                  <c:v>763</c:v>
                </c:pt>
                <c:pt idx="19">
                  <c:v>90</c:v>
                </c:pt>
                <c:pt idx="20">
                  <c:v>235</c:v>
                </c:pt>
                <c:pt idx="21">
                  <c:v>128</c:v>
                </c:pt>
                <c:pt idx="22">
                  <c:v>118</c:v>
                </c:pt>
                <c:pt idx="23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65-49FD-A795-4C0FFFDD5F9C}"/>
            </c:ext>
          </c:extLst>
        </c:ser>
        <c:ser>
          <c:idx val="3"/>
          <c:order val="3"/>
          <c:tx>
            <c:strRef>
              <c:f>'Lamar 3'!$E$232</c:f>
              <c:strCache>
                <c:ptCount val="1"/>
                <c:pt idx="0">
                  <c:v>Sum of ONSITE Attendance 19+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'Lamar 3'!$A$233:$A$259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3'!$E$233:$E$259</c:f>
              <c:numCache>
                <c:formatCode>General</c:formatCode>
                <c:ptCount val="24"/>
                <c:pt idx="0">
                  <c:v>308</c:v>
                </c:pt>
                <c:pt idx="1">
                  <c:v>357</c:v>
                </c:pt>
                <c:pt idx="2">
                  <c:v>636</c:v>
                </c:pt>
                <c:pt idx="3">
                  <c:v>567</c:v>
                </c:pt>
                <c:pt idx="4">
                  <c:v>529</c:v>
                </c:pt>
                <c:pt idx="5">
                  <c:v>397</c:v>
                </c:pt>
                <c:pt idx="6">
                  <c:v>407</c:v>
                </c:pt>
                <c:pt idx="7">
                  <c:v>302</c:v>
                </c:pt>
                <c:pt idx="8">
                  <c:v>457</c:v>
                </c:pt>
                <c:pt idx="9">
                  <c:v>481</c:v>
                </c:pt>
                <c:pt idx="10">
                  <c:v>522</c:v>
                </c:pt>
                <c:pt idx="11">
                  <c:v>347</c:v>
                </c:pt>
                <c:pt idx="12">
                  <c:v>445</c:v>
                </c:pt>
                <c:pt idx="13">
                  <c:v>500</c:v>
                </c:pt>
                <c:pt idx="14">
                  <c:v>636</c:v>
                </c:pt>
                <c:pt idx="15">
                  <c:v>567</c:v>
                </c:pt>
                <c:pt idx="16">
                  <c:v>529</c:v>
                </c:pt>
                <c:pt idx="17">
                  <c:v>497</c:v>
                </c:pt>
                <c:pt idx="18">
                  <c:v>398</c:v>
                </c:pt>
                <c:pt idx="19">
                  <c:v>391</c:v>
                </c:pt>
                <c:pt idx="20">
                  <c:v>343</c:v>
                </c:pt>
                <c:pt idx="21">
                  <c:v>309</c:v>
                </c:pt>
                <c:pt idx="22">
                  <c:v>268</c:v>
                </c:pt>
                <c:pt idx="23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65-49FD-A795-4C0FFFDD5F9C}"/>
            </c:ext>
          </c:extLst>
        </c:ser>
        <c:ser>
          <c:idx val="4"/>
          <c:order val="4"/>
          <c:tx>
            <c:strRef>
              <c:f>'Lamar 3'!$F$232</c:f>
              <c:strCache>
                <c:ptCount val="1"/>
                <c:pt idx="0">
                  <c:v>Sum of ONSITE Attendance General Interest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'Lamar 3'!$A$233:$A$259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3'!$F$233:$F$259</c:f>
              <c:numCache>
                <c:formatCode>General</c:formatCode>
                <c:ptCount val="24"/>
                <c:pt idx="0">
                  <c:v>259</c:v>
                </c:pt>
                <c:pt idx="1">
                  <c:v>220</c:v>
                </c:pt>
                <c:pt idx="2">
                  <c:v>277</c:v>
                </c:pt>
                <c:pt idx="3">
                  <c:v>462</c:v>
                </c:pt>
                <c:pt idx="4">
                  <c:v>2653</c:v>
                </c:pt>
                <c:pt idx="5">
                  <c:v>2939</c:v>
                </c:pt>
                <c:pt idx="6">
                  <c:v>1939</c:v>
                </c:pt>
                <c:pt idx="7">
                  <c:v>118</c:v>
                </c:pt>
                <c:pt idx="8">
                  <c:v>948</c:v>
                </c:pt>
                <c:pt idx="9">
                  <c:v>595</c:v>
                </c:pt>
                <c:pt idx="10">
                  <c:v>259</c:v>
                </c:pt>
                <c:pt idx="11">
                  <c:v>330</c:v>
                </c:pt>
                <c:pt idx="12">
                  <c:v>623</c:v>
                </c:pt>
                <c:pt idx="13">
                  <c:v>271</c:v>
                </c:pt>
                <c:pt idx="14">
                  <c:v>277</c:v>
                </c:pt>
                <c:pt idx="15">
                  <c:v>462</c:v>
                </c:pt>
                <c:pt idx="16">
                  <c:v>2653</c:v>
                </c:pt>
                <c:pt idx="17">
                  <c:v>3513</c:v>
                </c:pt>
                <c:pt idx="18">
                  <c:v>2563</c:v>
                </c:pt>
                <c:pt idx="19">
                  <c:v>86</c:v>
                </c:pt>
                <c:pt idx="20">
                  <c:v>516</c:v>
                </c:pt>
                <c:pt idx="21">
                  <c:v>193</c:v>
                </c:pt>
                <c:pt idx="22">
                  <c:v>154</c:v>
                </c:pt>
                <c:pt idx="23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65-49FD-A795-4C0FFFDD5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725424"/>
        <c:axId val="2032311648"/>
      </c:barChart>
      <c:catAx>
        <c:axId val="14172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311648"/>
        <c:crosses val="autoZero"/>
        <c:auto val="1"/>
        <c:lblAlgn val="ctr"/>
        <c:lblOffset val="100"/>
        <c:noMultiLvlLbl val="0"/>
      </c:catAx>
      <c:valAx>
        <c:axId val="203231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2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109537</xdr:colOff>
      <xdr:row>12</xdr:row>
      <xdr:rowOff>38100</xdr:rowOff>
    </xdr:from>
    <xdr:to>
      <xdr:col>3</xdr:col>
      <xdr:colOff>842962</xdr:colOff>
      <xdr:row>29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962C94-ED3D-4FBE-B913-B24A60837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161925</xdr:colOff>
      <xdr:row>8</xdr:row>
      <xdr:rowOff>123825</xdr:rowOff>
    </xdr:from>
    <xdr:to>
      <xdr:col>18</xdr:col>
      <xdr:colOff>85725</xdr:colOff>
      <xdr:row>24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0DA6F3-0F11-4ADC-B019-643A9B8D3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785812</xdr:colOff>
      <xdr:row>1</xdr:row>
      <xdr:rowOff>85725</xdr:rowOff>
    </xdr:from>
    <xdr:to>
      <xdr:col>11</xdr:col>
      <xdr:colOff>195262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E0D38C-8C2F-4C7D-8C7E-0941E3920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976312</xdr:colOff>
      <xdr:row>18</xdr:row>
      <xdr:rowOff>28574</xdr:rowOff>
    </xdr:from>
    <xdr:to>
      <xdr:col>11</xdr:col>
      <xdr:colOff>385762</xdr:colOff>
      <xdr:row>32</xdr:row>
      <xdr:rowOff>95249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B35EDC-9E54-441E-84E4-8E90C4E57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38100</xdr:rowOff>
    </xdr:from>
    <xdr:to>
      <xdr:col>5</xdr:col>
      <xdr:colOff>266700</xdr:colOff>
      <xdr:row>24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467DB9-8C96-4C0D-B115-92C1B5A12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328612</xdr:colOff>
      <xdr:row>0</xdr:row>
      <xdr:rowOff>109537</xdr:rowOff>
    </xdr:from>
    <xdr:to>
      <xdr:col>6</xdr:col>
      <xdr:colOff>366712</xdr:colOff>
      <xdr:row>14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B730D6-C2B4-4E3B-ADBA-1E1541B7F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404812</xdr:colOff>
      <xdr:row>14</xdr:row>
      <xdr:rowOff>128587</xdr:rowOff>
    </xdr:from>
    <xdr:to>
      <xdr:col>6</xdr:col>
      <xdr:colOff>442912</xdr:colOff>
      <xdr:row>28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EBC596-8EAF-4772-B452-683B35AAC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</xdr:colOff>
      <xdr:row>15</xdr:row>
      <xdr:rowOff>85725</xdr:rowOff>
    </xdr:from>
    <xdr:to>
      <xdr:col>3</xdr:col>
      <xdr:colOff>700087</xdr:colOff>
      <xdr:row>29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88F49-130E-4E3A-B020-F4E891A75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881062</xdr:colOff>
      <xdr:row>5</xdr:row>
      <xdr:rowOff>95250</xdr:rowOff>
    </xdr:from>
    <xdr:to>
      <xdr:col>8</xdr:col>
      <xdr:colOff>404812</xdr:colOff>
      <xdr:row>22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6431B4-DB4B-4D9C-AFA5-F6CD4AAA4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633412</xdr:colOff>
      <xdr:row>0</xdr:row>
      <xdr:rowOff>28574</xdr:rowOff>
    </xdr:from>
    <xdr:to>
      <xdr:col>17</xdr:col>
      <xdr:colOff>466725</xdr:colOff>
      <xdr:row>25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4BE741-9378-4F2F-B48A-9A3D96821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538161</xdr:colOff>
      <xdr:row>30</xdr:row>
      <xdr:rowOff>123824</xdr:rowOff>
    </xdr:from>
    <xdr:to>
      <xdr:col>15</xdr:col>
      <xdr:colOff>504825</xdr:colOff>
      <xdr:row>69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C0B5043-8436-4EF8-B9CA-EC6AF0375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1219200</xdr:colOff>
      <xdr:row>76</xdr:row>
      <xdr:rowOff>114299</xdr:rowOff>
    </xdr:from>
    <xdr:to>
      <xdr:col>13</xdr:col>
      <xdr:colOff>304800</xdr:colOff>
      <xdr:row>100</xdr:row>
      <xdr:rowOff>85724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98E5038-E7DE-4699-886E-56462A4BD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781050</xdr:colOff>
      <xdr:row>111</xdr:row>
      <xdr:rowOff>19049</xdr:rowOff>
    </xdr:from>
    <xdr:to>
      <xdr:col>13</xdr:col>
      <xdr:colOff>19050</xdr:colOff>
      <xdr:row>137</xdr:row>
      <xdr:rowOff>142875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47B420B-09EA-48D4-A733-B47546763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657225</xdr:colOff>
      <xdr:row>139</xdr:row>
      <xdr:rowOff>114299</xdr:rowOff>
    </xdr:from>
    <xdr:to>
      <xdr:col>11</xdr:col>
      <xdr:colOff>171451</xdr:colOff>
      <xdr:row>158</xdr:row>
      <xdr:rowOff>57149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F85CFAF-429E-4F7D-90D2-678171A12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238125</xdr:colOff>
      <xdr:row>161</xdr:row>
      <xdr:rowOff>95250</xdr:rowOff>
    </xdr:from>
    <xdr:to>
      <xdr:col>14</xdr:col>
      <xdr:colOff>495300</xdr:colOff>
      <xdr:row>192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27778F7-BF71-413C-8B0D-14B030BC1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485774</xdr:colOff>
      <xdr:row>192</xdr:row>
      <xdr:rowOff>123825</xdr:rowOff>
    </xdr:from>
    <xdr:to>
      <xdr:col>5</xdr:col>
      <xdr:colOff>2981325</xdr:colOff>
      <xdr:row>226</xdr:row>
      <xdr:rowOff>66675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FE131FC-DD4C-491C-BB26-52CB65D3F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628650</xdr:colOff>
      <xdr:row>234</xdr:row>
      <xdr:rowOff>38099</xdr:rowOff>
    </xdr:from>
    <xdr:to>
      <xdr:col>5</xdr:col>
      <xdr:colOff>1695450</xdr:colOff>
      <xdr:row>265</xdr:row>
      <xdr:rowOff>95249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C329D49-A5BE-4605-B162-18BB90A29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3749999" createdVersion="6" refreshedVersion="6" minRefreshableVersion="3" recordCount="205" xr:uid="{E4FDAB4F-006E-437A-B900-15FD909299C5}">
  <cacheSource type="worksheet">
    <worksheetSource ref="J3:J8" sheet="Branch Stats"/>
  </cacheSource>
  <cacheFields count="55">
    <cacheField name="Month" numFmtId="0">
      <sharedItems count="24">
        <s v="04-April"/>
        <s v="08-August"/>
        <s v="12-December"/>
        <s v="02-February"/>
        <s v="01-January"/>
        <s v="07-July"/>
        <s v="03-March"/>
        <s v="05-May"/>
        <s v="11-November"/>
        <s v="10-October"/>
        <s v="09-September"/>
        <s v="06-June"/>
        <s v="June" u="1"/>
        <s v="March" u="1"/>
        <s v="February" u="1"/>
        <s v="August" u="1"/>
        <s v="October" u="1"/>
        <s v="September" u="1"/>
        <s v="November" u="1"/>
        <s v="January" u="1"/>
        <s v="December" u="1"/>
        <s v="April" u="1"/>
        <s v="May" u="1"/>
        <s v="July" u="1"/>
      </sharedItems>
    </cacheField>
    <cacheField name="BRANCH" numFmtId="0">
      <sharedItems/>
    </cacheField>
    <cacheField name="New Library Card Registrations, Adult (includes YA)" numFmtId="0">
      <sharedItems containsString="0" containsBlank="1" containsNumber="1" containsInteger="1" minValue="2" maxValue="349"/>
    </cacheField>
    <cacheField name="New Library Card Registrations, Juvenile" numFmtId="0">
      <sharedItems containsString="0" containsBlank="1" containsNumber="1" containsInteger="1" minValue="2" maxValue="846"/>
    </cacheField>
    <cacheField name="Gate Count" numFmtId="0">
      <sharedItems containsString="0" containsBlank="1" containsNumber="1" containsInteger="1" minValue="0" maxValue="20248"/>
    </cacheField>
    <cacheField name="PC Reservations" numFmtId="0">
      <sharedItems containsString="0" containsBlank="1" containsNumber="1" containsInteger="1" minValue="0" maxValue="2158"/>
    </cacheField>
    <cacheField name="WiFi - Unique Sessions" numFmtId="0">
      <sharedItems containsString="0" containsBlank="1" containsNumber="1" containsInteger="1" minValue="0" maxValue="10094"/>
    </cacheField>
    <cacheField name="External Party Library Room Use" numFmtId="0">
      <sharedItems containsString="0" containsBlank="1" containsNumber="1" containsInteger="1" minValue="0" maxValue="21"/>
    </cacheField>
    <cacheField name="Total Branch Circulation" numFmtId="0">
      <sharedItems containsString="0" containsBlank="1" containsNumber="1" containsInteger="1" minValue="38" maxValue="171619"/>
    </cacheField>
    <cacheField name="Hotspots Circulation" numFmtId="0">
      <sharedItems containsString="0" containsBlank="1" containsNumber="1" containsInteger="1" minValue="0" maxValue="380"/>
    </cacheField>
    <cacheField name="Curbside" numFmtId="0">
      <sharedItems containsString="0" containsBlank="1" containsNumber="1" containsInteger="1" minValue="0" maxValue="42"/>
    </cacheField>
    <cacheField name="ILL - Sent (Main ONLY)" numFmtId="0">
      <sharedItems containsString="0" containsBlank="1" containsNumber="1" containsInteger="1" minValue="0" maxValue="122"/>
    </cacheField>
    <cacheField name="ILL - Received (Main ONLY)" numFmtId="0">
      <sharedItems containsString="0" containsBlank="1" containsNumber="1" containsInteger="1" minValue="0" maxValue="139"/>
    </cacheField>
    <cacheField name="ICLs - Sent (MAIN ONLY)" numFmtId="0">
      <sharedItems containsString="0" containsBlank="1" containsNumber="1" containsInteger="1" minValue="7" maxValue="9611"/>
    </cacheField>
    <cacheField name="ICLs - Received (MAIN ONLY)" numFmtId="0">
      <sharedItems containsString="0" containsBlank="1" containsNumber="1" containsInteger="1" minValue="309" maxValue="23150"/>
    </cacheField>
    <cacheField name="Total Prints per Month" numFmtId="0">
      <sharedItems containsString="0" containsBlank="1" containsNumber="1" containsInteger="1" minValue="0" maxValue="6526"/>
    </cacheField>
    <cacheField name="I2:  ONSITE Sessions 0-5" numFmtId="0">
      <sharedItems containsString="0" containsBlank="1" containsNumber="1" containsInteger="1" minValue="0" maxValue="40"/>
    </cacheField>
    <cacheField name="I3:   ONSITE Sessions 6-11" numFmtId="0">
      <sharedItems containsString="0" containsBlank="1" containsNumber="1" containsInteger="1" minValue="0" maxValue="73"/>
    </cacheField>
    <cacheField name="I4: ONSITE Sessions 12-18" numFmtId="0">
      <sharedItems containsString="0" containsBlank="1" containsNumber="1" containsInteger="1" minValue="0" maxValue="25"/>
    </cacheField>
    <cacheField name="I5:   ONSITE Sessions 19+" numFmtId="0">
      <sharedItems containsString="0" containsBlank="1" containsNumber="1" containsInteger="1" minValue="0" maxValue="29"/>
    </cacheField>
    <cacheField name="I6:  ONSITE Sessions GENERAL INTEREST" numFmtId="0">
      <sharedItems containsString="0" containsBlank="1" containsNumber="1" containsInteger="1" minValue="0" maxValue="19"/>
    </cacheField>
    <cacheField name="ONSITE Attendance 0-5" numFmtId="0">
      <sharedItems containsString="0" containsBlank="1" containsNumber="1" containsInteger="1" minValue="0" maxValue="1188"/>
    </cacheField>
    <cacheField name="ONSITE Attendance 6-11" numFmtId="0">
      <sharedItems containsString="0" containsBlank="1" containsNumber="1" containsInteger="1" minValue="0" maxValue="1357"/>
    </cacheField>
    <cacheField name="ONSITE Attendance 12-18" numFmtId="0">
      <sharedItems containsString="0" containsBlank="1" containsNumber="1" containsInteger="1" minValue="0" maxValue="1719"/>
    </cacheField>
    <cacheField name="ONSITE Attendance 19+" numFmtId="0">
      <sharedItems containsString="0" containsBlank="1" containsNumber="1" containsInteger="1" minValue="0" maxValue="292"/>
    </cacheField>
    <cacheField name="ONSITE Attendance General Interest" numFmtId="0">
      <sharedItems containsString="0" containsBlank="1" containsNumber="1" containsInteger="1" minValue="0" maxValue="1912"/>
    </cacheField>
    <cacheField name="OFFSITE Sessions 0-5" numFmtId="0">
      <sharedItems containsString="0" containsBlank="1" containsNumber="1" containsInteger="1" minValue="0" maxValue="20"/>
    </cacheField>
    <cacheField name="OFFSITE Sessions 6-11" numFmtId="0">
      <sharedItems containsString="0" containsBlank="1" containsNumber="1" containsInteger="1" minValue="0" maxValue="8"/>
    </cacheField>
    <cacheField name="OFFSITE Sessions 12-18" numFmtId="0">
      <sharedItems containsString="0" containsBlank="1" containsNumber="1" containsInteger="1" minValue="0" maxValue="13"/>
    </cacheField>
    <cacheField name="OFFSITE Sessions 19+" numFmtId="0">
      <sharedItems containsString="0" containsBlank="1" containsNumber="1" containsInteger="1" minValue="0" maxValue="8"/>
    </cacheField>
    <cacheField name="OFFSITE Sessions General Interest" numFmtId="0">
      <sharedItems containsString="0" containsBlank="1" containsNumber="1" containsInteger="1" minValue="0" maxValue="4"/>
    </cacheField>
    <cacheField name="OFFSITE Attendance 0-5" numFmtId="0">
      <sharedItems containsString="0" containsBlank="1" containsNumber="1" containsInteger="1" minValue="0" maxValue="500"/>
    </cacheField>
    <cacheField name="OFFSITE Attendance 6-11" numFmtId="0">
      <sharedItems containsString="0" containsBlank="1" containsNumber="1" containsInteger="1" minValue="0" maxValue="2010"/>
    </cacheField>
    <cacheField name="OFFSITE Attendance 12-18" numFmtId="0">
      <sharedItems containsString="0" containsBlank="1" containsNumber="1" containsInteger="1" minValue="0" maxValue="367"/>
    </cacheField>
    <cacheField name="OFFSITE Attendance 19+" numFmtId="0">
      <sharedItems containsString="0" containsBlank="1" containsNumber="1" containsInteger="1" minValue="0" maxValue="71"/>
    </cacheField>
    <cacheField name="OFFSITE Attendance General Interest" numFmtId="0">
      <sharedItems containsString="0" containsBlank="1" containsNumber="1" containsInteger="1" minValue="0" maxValue="121"/>
    </cacheField>
    <cacheField name="VIRTUAL Sessions 0-5" numFmtId="0">
      <sharedItems containsString="0" containsBlank="1" containsNumber="1" containsInteger="1" minValue="0" maxValue="0"/>
    </cacheField>
    <cacheField name="VIRTUAL Sessions 6-11" numFmtId="0">
      <sharedItems containsString="0" containsBlank="1" containsNumber="1" containsInteger="1" minValue="0" maxValue="2"/>
    </cacheField>
    <cacheField name="VIRTUAL Sessions 12-18" numFmtId="0">
      <sharedItems containsString="0" containsBlank="1" containsNumber="1" containsInteger="1" minValue="0" maxValue="1"/>
    </cacheField>
    <cacheField name="VIRTUAL Sessions 19+" numFmtId="0">
      <sharedItems containsString="0" containsBlank="1" containsNumber="1" containsInteger="1" minValue="0" maxValue="2"/>
    </cacheField>
    <cacheField name="VIRTUAL Sessions General Interest" numFmtId="0">
      <sharedItems containsString="0" containsBlank="1" containsNumber="1" containsInteger="1" minValue="0" maxValue="0"/>
    </cacheField>
    <cacheField name="VIRTUAL Attendance 0-5" numFmtId="0">
      <sharedItems containsString="0" containsBlank="1" containsNumber="1" containsInteger="1" minValue="0" maxValue="0"/>
    </cacheField>
    <cacheField name="VIRTUAL Attendance 6-11" numFmtId="0">
      <sharedItems containsString="0" containsBlank="1" containsNumber="1" containsInteger="1" minValue="0" maxValue="10"/>
    </cacheField>
    <cacheField name="VIRTUAL Attendance 12-18" numFmtId="0">
      <sharedItems containsString="0" containsBlank="1" containsNumber="1" containsInteger="1" minValue="0" maxValue="5"/>
    </cacheField>
    <cacheField name="VIRTUAL Attendance 19+" numFmtId="0">
      <sharedItems containsString="0" containsBlank="1" containsNumber="1" containsInteger="1" minValue="0" maxValue="43"/>
    </cacheField>
    <cacheField name="VIRTUAL Attendance General Interest" numFmtId="0">
      <sharedItems containsString="0" containsBlank="1" containsNumber="1" containsInteger="1" minValue="0" maxValue="0"/>
    </cacheField>
    <cacheField name="I21: NUMBER OF OUTREACH ACTIVITIES Conducted" numFmtId="0">
      <sharedItems containsString="0" containsBlank="1" containsNumber="1" containsInteger="1" minValue="0" maxValue="3"/>
    </cacheField>
    <cacheField name="Outreach Attendance (YCL Internal)" numFmtId="0">
      <sharedItems containsString="0" containsBlank="1" containsNumber="1" containsInteger="1" minValue="0" maxValue="184"/>
    </cacheField>
    <cacheField name="I22: TOTAL # TAKE &amp; MAKES and OTHER PASSIVE PROGRAM PARTICIPANTS_x000a_" numFmtId="0">
      <sharedItems containsString="0" containsBlank="1" containsNumber="1" containsInteger="1" minValue="0" maxValue="2016"/>
    </cacheField>
    <cacheField name="I23: NUMBER OF STAFF TAKING TRAINING" numFmtId="0">
      <sharedItems containsString="0" containsBlank="1" containsNumber="1" containsInteger="1" minValue="0" maxValue="50"/>
    </cacheField>
    <cacheField name="I24: NUMBER OF HOURS STAFF ATTENDED TRAINING" numFmtId="0">
      <sharedItems containsString="0" containsBlank="1" containsNumber="1" minValue="0" maxValue="375"/>
    </cacheField>
    <cacheField name="1-on-1 Total for Month" numFmtId="0">
      <sharedItems containsString="0" containsBlank="1" containsNumber="1" containsInteger="1" minValue="0" maxValue="21"/>
    </cacheField>
    <cacheField name="Email Address" numFmtId="0">
      <sharedItems containsBlank="1"/>
    </cacheField>
    <cacheField name="Year" numFmtId="0">
      <sharedItems containsSemiMixedTypes="0" containsString="0" containsNumber="1" containsInteger="1" minValue="2024" maxValue="2026" count="3">
        <n v="2024"/>
        <n v="2025"/>
        <n v="2026" u="1"/>
      </sharedItems>
    </cacheField>
    <cacheField name="Locker Circulation" numFmtId="0">
      <sharedItems containsString="0" containsBlank="1" containsNumber="1" containsInteger="1" minValue="0" maxValue="8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4328707" createdVersion="6" refreshedVersion="6" minRefreshableVersion="3" recordCount="14" xr:uid="{4F622650-1867-4F92-B9D4-5F9B191E78DA}">
  <cacheSource type="worksheet">
    <worksheetSource ref="C1:AY15" sheet="eResources"/>
  </cacheSource>
  <cacheFields count="49">
    <cacheField name="Select Month" numFmtId="0">
      <sharedItems containsBlank="1"/>
    </cacheField>
    <cacheField name="Select Branch" numFmtId="0">
      <sharedItems containsBlank="1"/>
    </cacheField>
    <cacheField name="&quot;Ask A Librarian&quot;  Questions" numFmtId="0">
      <sharedItems containsNonDate="0" containsString="0" containsBlank="1"/>
    </cacheField>
    <cacheField name="ABCmouse" numFmtId="0">
      <sharedItems containsString="0" containsBlank="1" containsNumber="1" containsInteger="1" minValue="187" maxValue="249"/>
    </cacheField>
    <cacheField name="Biblioboard Requests" numFmtId="0">
      <sharedItems containsString="0" containsBlank="1" containsNumber="1" containsInteger="1" minValue="0" maxValue="16"/>
    </cacheField>
    <cacheField name="Biblioboard Sessions" numFmtId="0">
      <sharedItems containsString="0" containsBlank="1" containsNumber="1" containsInteger="1" minValue="47" maxValue="129"/>
    </cacheField>
    <cacheField name="Brainfuse" numFmtId="0">
      <sharedItems containsString="0" containsBlank="1" containsNumber="1" containsInteger="1" minValue="5" maxValue="444"/>
    </cacheField>
    <cacheField name="Data Axle/Reference USA" numFmtId="0">
      <sharedItems containsString="0" containsBlank="1" containsNumber="1" containsInteger="1" minValue="224" maxValue="351"/>
    </cacheField>
    <cacheField name="Flipster Searches" numFmtId="0">
      <sharedItems containsString="0" containsBlank="1" containsNumber="1" containsInteger="1" minValue="0" maxValue="237"/>
    </cacheField>
    <cacheField name="Flipster Sessions" numFmtId="0">
      <sharedItems containsString="0" containsBlank="1" containsNumber="1" containsInteger="1" minValue="41" maxValue="111"/>
    </cacheField>
    <cacheField name="Gale eBooks" numFmtId="0">
      <sharedItems containsString="0" containsBlank="1" containsNumber="1" containsInteger="1" minValue="9" maxValue="9"/>
    </cacheField>
    <cacheField name="Gale Udemy" numFmtId="0">
      <sharedItems containsString="0" containsBlank="1" containsNumber="1" containsInteger="1" minValue="54" maxValue="139"/>
    </cacheField>
    <cacheField name="Infobase eBooks" numFmtId="0">
      <sharedItems containsNonDate="0" containsString="0" containsBlank="1"/>
    </cacheField>
    <cacheField name="Infobase: The Mailbox Searches" numFmtId="0">
      <sharedItems containsString="0" containsBlank="1" containsNumber="1" containsInteger="1" minValue="1" maxValue="22"/>
    </cacheField>
    <cacheField name="Infobase: The Mailbox Sessions" numFmtId="0">
      <sharedItems containsString="0" containsBlank="1" containsNumber="1" containsInteger="1" minValue="1" maxValue="11"/>
    </cacheField>
    <cacheField name="Kanopy Plays" numFmtId="0">
      <sharedItems containsString="0" containsBlank="1" containsNumber="1" containsInteger="1" minValue="697" maxValue="1112"/>
    </cacheField>
    <cacheField name="Kanopy Sessions/Views" numFmtId="0">
      <sharedItems containsString="0" containsBlank="1" containsNumber="1" containsInteger="1" minValue="3662" maxValue="4189"/>
    </cacheField>
    <cacheField name="Library Aware: Newsletter Page Views" numFmtId="0">
      <sharedItems containsString="0" containsBlank="1" containsNumber="1" containsInteger="1" minValue="818" maxValue="989"/>
    </cacheField>
    <cacheField name="Library Aware: Newsletter Subscriptions" numFmtId="0">
      <sharedItems containsString="0" containsBlank="1" containsNumber="1" containsInteger="1" minValue="904" maxValue="1077"/>
    </cacheField>
    <cacheField name="Mango" numFmtId="0">
      <sharedItems containsString="0" containsBlank="1" containsNumber="1" containsInteger="1" minValue="228" maxValue="287"/>
    </cacheField>
    <cacheField name="hoopla Binge Passes" numFmtId="0">
      <sharedItems containsString="0" containsBlank="1" containsNumber="1" containsInteger="1" minValue="87" maxValue="142"/>
    </cacheField>
    <cacheField name="hoopla Comics" numFmtId="0">
      <sharedItems containsString="0" containsBlank="1" containsNumber="1" containsInteger="1" minValue="462" maxValue="608"/>
    </cacheField>
    <cacheField name="hoopla Flex eAudio" numFmtId="0">
      <sharedItems containsString="0" containsBlank="1" containsNumber="1" containsInteger="1" minValue="3697" maxValue="3994"/>
    </cacheField>
    <cacheField name="hoopla Flex eBook " numFmtId="0">
      <sharedItems containsString="0" containsBlank="1" containsNumber="1" containsInteger="1" minValue="756" maxValue="834"/>
    </cacheField>
    <cacheField name="hoopla Instant eAudio" numFmtId="0">
      <sharedItems containsString="0" containsBlank="1" containsNumber="1" containsInteger="1" minValue="9594" maxValue="9946"/>
    </cacheField>
    <cacheField name="hoopla Instant eBook" numFmtId="0">
      <sharedItems containsString="0" containsBlank="1" containsNumber="1" containsInteger="1" minValue="2520" maxValue="2638"/>
    </cacheField>
    <cacheField name="hoopla Movies" numFmtId="0">
      <sharedItems containsString="0" containsBlank="1" containsNumber="1" containsInteger="1" minValue="633" maxValue="707"/>
    </cacheField>
    <cacheField name="hoopla Music" numFmtId="0">
      <sharedItems containsString="0" containsBlank="1" containsNumber="1" containsInteger="1" minValue="397" maxValue="984"/>
    </cacheField>
    <cacheField name="hoopla TV" numFmtId="0">
      <sharedItems containsString="0" containsBlank="1" containsNumber="1" containsInteger="1" minValue="262" maxValue="344"/>
    </cacheField>
    <cacheField name="Newsbank Newspapers" numFmtId="0">
      <sharedItems containsString="0" containsBlank="1" containsNumber="1" containsInteger="1" minValue="1055" maxValue="1328"/>
    </cacheField>
    <cacheField name="Libby eAudio" numFmtId="0">
      <sharedItems containsString="0" containsBlank="1" containsNumber="1" containsInteger="1" minValue="7641" maxValue="8026"/>
    </cacheField>
    <cacheField name="Libby eBook" numFmtId="0">
      <sharedItems containsString="0" containsBlank="1" containsNumber="1" containsInteger="1" minValue="12972" maxValue="16003"/>
    </cacheField>
    <cacheField name="Libby Magazines " numFmtId="0">
      <sharedItems containsString="0" containsBlank="1" containsNumber="1" containsInteger="1" minValue="4024" maxValue="4388"/>
    </cacheField>
    <cacheField name="Libby Streaming" numFmtId="0">
      <sharedItems containsString="0" containsBlank="1" containsNumber="1" containsInteger="1" minValue="7" maxValue="9"/>
    </cacheField>
    <cacheField name="Proquest: Ancestry Library Edition" numFmtId="0">
      <sharedItems containsString="0" containsBlank="1" containsNumber="1" containsInteger="1" minValue="787" maxValue="1613"/>
    </cacheField>
    <cacheField name="Proquest: Fold3" numFmtId="0">
      <sharedItems containsString="0" containsBlank="1" containsNumber="1" containsInteger="1" minValue="47" maxValue="290"/>
    </cacheField>
    <cacheField name="Proquest: Heritage Quest Online" numFmtId="0">
      <sharedItems containsString="0" containsBlank="1" containsNumber="1" containsInteger="1" minValue="193" maxValue="923"/>
    </cacheField>
    <cacheField name="Salem eBooks" numFmtId="0">
      <sharedItems containsString="0" containsBlank="1" containsNumber="1" containsInteger="1" minValue="0" maxValue="3"/>
    </cacheField>
    <cacheField name="Tutor" numFmtId="0">
      <sharedItems containsString="0" containsBlank="1" containsNumber="1" containsInteger="1" minValue="18" maxValue="62"/>
    </cacheField>
    <cacheField name="ValueLine Searches" numFmtId="0">
      <sharedItems containsString="0" containsBlank="1" containsNumber="1" containsInteger="1" minValue="10246" maxValue="11475"/>
    </cacheField>
    <cacheField name="Weiss Page Views" numFmtId="0">
      <sharedItems containsString="0" containsBlank="1" containsNumber="1" containsInteger="1" minValue="11" maxValue="34"/>
    </cacheField>
    <cacheField name="Weiss Searches" numFmtId="0">
      <sharedItems containsString="0" containsBlank="1" containsNumber="1" containsInteger="1" minValue="0" maxValue="2"/>
    </cacheField>
    <cacheField name="Weiss Sessions" numFmtId="0">
      <sharedItems containsString="0" containsBlank="1" containsNumber="1" containsInteger="1" minValue="0" maxValue="44"/>
    </cacheField>
    <cacheField name="Lote4Kids - Stories Watched" numFmtId="0">
      <sharedItems containsString="0" containsBlank="1" containsNumber="1" containsInteger="1" minValue="5" maxValue="61"/>
    </cacheField>
    <cacheField name="Lote4Kids - Activities" numFmtId="0">
      <sharedItems containsString="0" containsBlank="1" containsNumber="1" containsInteger="1" minValue="0" maxValue="2"/>
    </cacheField>
    <cacheField name="Lote4Kids - Logins" numFmtId="0">
      <sharedItems containsString="0" containsBlank="1" containsNumber="1" containsInteger="1" minValue="6" maxValue="16"/>
    </cacheField>
    <cacheField name="DigitalLearn - Sessions" numFmtId="0">
      <sharedItems containsBlank="1" containsMixedTypes="1" containsNumber="1" containsInteger="1" minValue="13" maxValue="13"/>
    </cacheField>
    <cacheField name="DigitalLearn - Completed Courses" numFmtId="0">
      <sharedItems containsBlank="1" containsMixedTypes="1" containsNumber="1" containsInteger="1" minValue="0" maxValue="0"/>
    </cacheField>
    <cacheField name="Year" numFmtId="0">
      <sharedItems containsString="0" containsBlank="1" containsNumber="1" containsInteger="1" minValue="2025" maxValue="2025" count="2">
        <n v="20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4444446" createdVersion="6" refreshedVersion="6" minRefreshableVersion="3" recordCount="4" xr:uid="{D7609E5F-7449-4B3D-A669-EFBFF908A3CC}">
  <cacheSource type="worksheet">
    <worksheetSource ref="C1:AY5" sheet="eResources"/>
  </cacheSource>
  <cacheFields count="49">
    <cacheField name="Select Month" numFmtId="0">
      <sharedItems/>
    </cacheField>
    <cacheField name="Select Branch" numFmtId="0">
      <sharedItems/>
    </cacheField>
    <cacheField name="&quot;Ask A Librarian&quot;  Questions" numFmtId="0">
      <sharedItems containsNonDate="0" containsString="0" containsBlank="1"/>
    </cacheField>
    <cacheField name="ABCmouse" numFmtId="0">
      <sharedItems containsString="0" containsBlank="1" containsNumber="1" containsInteger="1" minValue="187" maxValue="249"/>
    </cacheField>
    <cacheField name="Biblioboard Requests" numFmtId="0">
      <sharedItems containsSemiMixedTypes="0" containsString="0" containsNumber="1" containsInteger="1" minValue="0" maxValue="16"/>
    </cacheField>
    <cacheField name="Biblioboard Sessions" numFmtId="0">
      <sharedItems containsSemiMixedTypes="0" containsString="0" containsNumber="1" containsInteger="1" minValue="47" maxValue="129"/>
    </cacheField>
    <cacheField name="Brainfuse" numFmtId="0">
      <sharedItems containsSemiMixedTypes="0" containsString="0" containsNumber="1" containsInteger="1" minValue="5" maxValue="444"/>
    </cacheField>
    <cacheField name="Data Axle/Reference USA" numFmtId="0">
      <sharedItems containsSemiMixedTypes="0" containsString="0" containsNumber="1" containsInteger="1" minValue="224" maxValue="351"/>
    </cacheField>
    <cacheField name="Flipster Searches" numFmtId="0">
      <sharedItems containsSemiMixedTypes="0" containsString="0" containsNumber="1" containsInteger="1" minValue="0" maxValue="237"/>
    </cacheField>
    <cacheField name="Flipster Sessions" numFmtId="0">
      <sharedItems containsSemiMixedTypes="0" containsString="0" containsNumber="1" containsInteger="1" minValue="41" maxValue="111"/>
    </cacheField>
    <cacheField name="Gale eBooks" numFmtId="0">
      <sharedItems containsString="0" containsBlank="1" containsNumber="1" containsInteger="1" minValue="9" maxValue="9"/>
    </cacheField>
    <cacheField name="Gale Udemy" numFmtId="0">
      <sharedItems containsString="0" containsBlank="1" containsNumber="1" containsInteger="1" minValue="54" maxValue="139"/>
    </cacheField>
    <cacheField name="Infobase eBooks" numFmtId="0">
      <sharedItems containsNonDate="0" containsString="0" containsBlank="1" count="1">
        <m/>
      </sharedItems>
    </cacheField>
    <cacheField name="Infobase: The Mailbox Searches" numFmtId="0">
      <sharedItems containsSemiMixedTypes="0" containsString="0" containsNumber="1" containsInteger="1" minValue="1" maxValue="22"/>
    </cacheField>
    <cacheField name="Infobase: The Mailbox Sessions" numFmtId="0">
      <sharedItems containsSemiMixedTypes="0" containsString="0" containsNumber="1" containsInteger="1" minValue="1" maxValue="11"/>
    </cacheField>
    <cacheField name="Kanopy Plays" numFmtId="0">
      <sharedItems containsSemiMixedTypes="0" containsString="0" containsNumber="1" containsInteger="1" minValue="697" maxValue="1112"/>
    </cacheField>
    <cacheField name="Kanopy Sessions/Views" numFmtId="0">
      <sharedItems containsSemiMixedTypes="0" containsString="0" containsNumber="1" containsInteger="1" minValue="3662" maxValue="4189"/>
    </cacheField>
    <cacheField name="Library Aware: Newsletter Page Views" numFmtId="0">
      <sharedItems containsSemiMixedTypes="0" containsString="0" containsNumber="1" containsInteger="1" minValue="818" maxValue="989"/>
    </cacheField>
    <cacheField name="Library Aware: Newsletter Subscriptions" numFmtId="0">
      <sharedItems containsSemiMixedTypes="0" containsString="0" containsNumber="1" containsInteger="1" minValue="904" maxValue="1077"/>
    </cacheField>
    <cacheField name="Mango" numFmtId="0">
      <sharedItems containsSemiMixedTypes="0" containsString="0" containsNumber="1" containsInteger="1" minValue="228" maxValue="287"/>
    </cacheField>
    <cacheField name="hoopla Binge Passes" numFmtId="0">
      <sharedItems containsSemiMixedTypes="0" containsString="0" containsNumber="1" containsInteger="1" minValue="87" maxValue="142"/>
    </cacheField>
    <cacheField name="hoopla Comics" numFmtId="0">
      <sharedItems containsSemiMixedTypes="0" containsString="0" containsNumber="1" containsInteger="1" minValue="462" maxValue="608"/>
    </cacheField>
    <cacheField name="hoopla Flex eAudio" numFmtId="0">
      <sharedItems containsSemiMixedTypes="0" containsString="0" containsNumber="1" containsInteger="1" minValue="3697" maxValue="3994"/>
    </cacheField>
    <cacheField name="hoopla Flex eBook " numFmtId="0">
      <sharedItems containsSemiMixedTypes="0" containsString="0" containsNumber="1" containsInteger="1" minValue="756" maxValue="834"/>
    </cacheField>
    <cacheField name="hoopla Instant eAudio" numFmtId="0">
      <sharedItems containsSemiMixedTypes="0" containsString="0" containsNumber="1" containsInteger="1" minValue="9594" maxValue="9946"/>
    </cacheField>
    <cacheField name="hoopla Instant eBook" numFmtId="0">
      <sharedItems containsSemiMixedTypes="0" containsString="0" containsNumber="1" containsInteger="1" minValue="2520" maxValue="2638"/>
    </cacheField>
    <cacheField name="hoopla Movies" numFmtId="0">
      <sharedItems containsSemiMixedTypes="0" containsString="0" containsNumber="1" containsInteger="1" minValue="633" maxValue="707"/>
    </cacheField>
    <cacheField name="hoopla Music" numFmtId="0">
      <sharedItems containsSemiMixedTypes="0" containsString="0" containsNumber="1" containsInteger="1" minValue="397" maxValue="984"/>
    </cacheField>
    <cacheField name="hoopla TV" numFmtId="0">
      <sharedItems containsSemiMixedTypes="0" containsString="0" containsNumber="1" containsInteger="1" minValue="262" maxValue="344"/>
    </cacheField>
    <cacheField name="Newsbank Newspapers" numFmtId="0">
      <sharedItems containsString="0" containsBlank="1" containsNumber="1" containsInteger="1" minValue="1055" maxValue="1328"/>
    </cacheField>
    <cacheField name="Libby eAudio" numFmtId="0">
      <sharedItems containsSemiMixedTypes="0" containsString="0" containsNumber="1" containsInteger="1" minValue="7641" maxValue="8026"/>
    </cacheField>
    <cacheField name="Libby eBook" numFmtId="0">
      <sharedItems containsSemiMixedTypes="0" containsString="0" containsNumber="1" containsInteger="1" minValue="12972" maxValue="16003"/>
    </cacheField>
    <cacheField name="Libby Magazines " numFmtId="0">
      <sharedItems containsSemiMixedTypes="0" containsString="0" containsNumber="1" containsInteger="1" minValue="4024" maxValue="4388"/>
    </cacheField>
    <cacheField name="Libby Streaming" numFmtId="0">
      <sharedItems containsSemiMixedTypes="0" containsString="0" containsNumber="1" containsInteger="1" minValue="7" maxValue="9"/>
    </cacheField>
    <cacheField name="Proquest: Ancestry Library Edition" numFmtId="0">
      <sharedItems containsSemiMixedTypes="0" containsString="0" containsNumber="1" containsInteger="1" minValue="787" maxValue="1613"/>
    </cacheField>
    <cacheField name="Proquest: Fold3" numFmtId="0">
      <sharedItems containsSemiMixedTypes="0" containsString="0" containsNumber="1" containsInteger="1" minValue="47" maxValue="290"/>
    </cacheField>
    <cacheField name="Proquest: Heritage Quest Online" numFmtId="0">
      <sharedItems containsString="0" containsBlank="1" containsNumber="1" containsInteger="1" minValue="193" maxValue="923"/>
    </cacheField>
    <cacheField name="Salem eBooks" numFmtId="0">
      <sharedItems containsString="0" containsBlank="1" containsNumber="1" containsInteger="1" minValue="0" maxValue="3"/>
    </cacheField>
    <cacheField name="Tutor" numFmtId="0">
      <sharedItems containsSemiMixedTypes="0" containsString="0" containsNumber="1" containsInteger="1" minValue="18" maxValue="62"/>
    </cacheField>
    <cacheField name="ValueLine Searches" numFmtId="0">
      <sharedItems containsString="0" containsBlank="1" containsNumber="1" containsInteger="1" minValue="10246" maxValue="11475"/>
    </cacheField>
    <cacheField name="Weiss Page Views" numFmtId="0">
      <sharedItems containsSemiMixedTypes="0" containsString="0" containsNumber="1" containsInteger="1" minValue="11" maxValue="34"/>
    </cacheField>
    <cacheField name="Weiss Searches" numFmtId="0">
      <sharedItems containsSemiMixedTypes="0" containsString="0" containsNumber="1" containsInteger="1" minValue="0" maxValue="2"/>
    </cacheField>
    <cacheField name="Weiss Sessions" numFmtId="0">
      <sharedItems containsSemiMixedTypes="0" containsString="0" containsNumber="1" containsInteger="1" minValue="0" maxValue="44"/>
    </cacheField>
    <cacheField name="Lote4Kids - Stories Watched" numFmtId="0">
      <sharedItems containsSemiMixedTypes="0" containsString="0" containsNumber="1" containsInteger="1" minValue="5" maxValue="61"/>
    </cacheField>
    <cacheField name="Lote4Kids - Activities" numFmtId="0">
      <sharedItems containsSemiMixedTypes="0" containsString="0" containsNumber="1" containsInteger="1" minValue="0" maxValue="2"/>
    </cacheField>
    <cacheField name="Lote4Kids - Logins" numFmtId="0">
      <sharedItems containsSemiMixedTypes="0" containsString="0" containsNumber="1" containsInteger="1" minValue="6" maxValue="16"/>
    </cacheField>
    <cacheField name="DigitalLearn - Sessions" numFmtId="0">
      <sharedItems containsBlank="1" containsMixedTypes="1" containsNumber="1" containsInteger="1" minValue="13" maxValue="13"/>
    </cacheField>
    <cacheField name="DigitalLearn - Completed Courses" numFmtId="0">
      <sharedItems containsBlank="1" containsMixedTypes="1" containsNumber="1" containsInteger="1" minValue="0" maxValue="0"/>
    </cacheField>
    <cacheField name="Year" numFmtId="0">
      <sharedItems containsSemiMixedTypes="0" containsString="0" containsNumber="1" containsInteger="1" minValue="2025" maxValue="2025" count="1"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4675923" createdVersion="6" refreshedVersion="6" minRefreshableVersion="3" recordCount="15" xr:uid="{1DECEC1F-FB23-4ABB-B3A0-7899F5192BFF}">
  <cacheSource type="worksheet">
    <worksheetSource ref="C1:AY16" sheet="eResources"/>
  </cacheSource>
  <cacheFields count="49">
    <cacheField name="Select Month" numFmtId="0">
      <sharedItems containsBlank="1"/>
    </cacheField>
    <cacheField name="Select Branch" numFmtId="0">
      <sharedItems containsBlank="1"/>
    </cacheField>
    <cacheField name="&quot;Ask A Librarian&quot;  Questions" numFmtId="0">
      <sharedItems containsNonDate="0" containsString="0" containsBlank="1"/>
    </cacheField>
    <cacheField name="ABCmouse" numFmtId="0">
      <sharedItems containsString="0" containsBlank="1" containsNumber="1" containsInteger="1" minValue="187" maxValue="249"/>
    </cacheField>
    <cacheField name="Biblioboard Requests" numFmtId="0">
      <sharedItems containsString="0" containsBlank="1" containsNumber="1" containsInteger="1" minValue="0" maxValue="16"/>
    </cacheField>
    <cacheField name="Biblioboard Sessions" numFmtId="0">
      <sharedItems containsString="0" containsBlank="1" containsNumber="1" containsInteger="1" minValue="47" maxValue="129"/>
    </cacheField>
    <cacheField name="Brainfuse" numFmtId="0">
      <sharedItems containsString="0" containsBlank="1" containsNumber="1" containsInteger="1" minValue="5" maxValue="444"/>
    </cacheField>
    <cacheField name="Data Axle/Reference USA" numFmtId="0">
      <sharedItems containsString="0" containsBlank="1" containsNumber="1" containsInteger="1" minValue="224" maxValue="351"/>
    </cacheField>
    <cacheField name="Flipster Searches" numFmtId="0">
      <sharedItems containsString="0" containsBlank="1" containsNumber="1" containsInteger="1" minValue="0" maxValue="237"/>
    </cacheField>
    <cacheField name="Flipster Sessions" numFmtId="0">
      <sharedItems containsString="0" containsBlank="1" containsNumber="1" containsInteger="1" minValue="41" maxValue="111"/>
    </cacheField>
    <cacheField name="Gale eBooks" numFmtId="0">
      <sharedItems containsString="0" containsBlank="1" containsNumber="1" containsInteger="1" minValue="9" maxValue="9"/>
    </cacheField>
    <cacheField name="Gale Udemy" numFmtId="0">
      <sharedItems containsString="0" containsBlank="1" containsNumber="1" containsInteger="1" minValue="54" maxValue="139"/>
    </cacheField>
    <cacheField name="Infobase eBooks" numFmtId="0">
      <sharedItems containsNonDate="0" containsString="0" containsBlank="1"/>
    </cacheField>
    <cacheField name="Infobase: The Mailbox Searches" numFmtId="0">
      <sharedItems containsString="0" containsBlank="1" containsNumber="1" containsInteger="1" minValue="1" maxValue="22"/>
    </cacheField>
    <cacheField name="Infobase: The Mailbox Sessions" numFmtId="0">
      <sharedItems containsString="0" containsBlank="1" containsNumber="1" containsInteger="1" minValue="1" maxValue="11"/>
    </cacheField>
    <cacheField name="Kanopy Plays" numFmtId="0">
      <sharedItems containsString="0" containsBlank="1" containsNumber="1" containsInteger="1" minValue="697" maxValue="1112"/>
    </cacheField>
    <cacheField name="Kanopy Sessions/Views" numFmtId="0">
      <sharedItems containsString="0" containsBlank="1" containsNumber="1" containsInteger="1" minValue="3662" maxValue="4189"/>
    </cacheField>
    <cacheField name="Library Aware: Newsletter Page Views" numFmtId="0">
      <sharedItems containsString="0" containsBlank="1" containsNumber="1" containsInteger="1" minValue="818" maxValue="989"/>
    </cacheField>
    <cacheField name="Library Aware: Newsletter Subscriptions" numFmtId="0">
      <sharedItems containsString="0" containsBlank="1" containsNumber="1" containsInteger="1" minValue="904" maxValue="1077"/>
    </cacheField>
    <cacheField name="Mango" numFmtId="0">
      <sharedItems containsString="0" containsBlank="1" containsNumber="1" containsInteger="1" minValue="228" maxValue="287"/>
    </cacheField>
    <cacheField name="hoopla Binge Passes" numFmtId="0">
      <sharedItems containsString="0" containsBlank="1" containsNumber="1" containsInteger="1" minValue="87" maxValue="142"/>
    </cacheField>
    <cacheField name="hoopla Comics" numFmtId="0">
      <sharedItems containsString="0" containsBlank="1" containsNumber="1" containsInteger="1" minValue="462" maxValue="608"/>
    </cacheField>
    <cacheField name="hoopla Flex eAudio" numFmtId="0">
      <sharedItems containsString="0" containsBlank="1" containsNumber="1" containsInteger="1" minValue="3697" maxValue="3994"/>
    </cacheField>
    <cacheField name="hoopla Flex eBook " numFmtId="0">
      <sharedItems containsString="0" containsBlank="1" containsNumber="1" containsInteger="1" minValue="756" maxValue="834"/>
    </cacheField>
    <cacheField name="hoopla Instant eAudio" numFmtId="0">
      <sharedItems containsString="0" containsBlank="1" containsNumber="1" containsInteger="1" minValue="9594" maxValue="9946"/>
    </cacheField>
    <cacheField name="hoopla Instant eBook" numFmtId="0">
      <sharedItems containsString="0" containsBlank="1" containsNumber="1" containsInteger="1" minValue="2520" maxValue="2638"/>
    </cacheField>
    <cacheField name="hoopla Movies" numFmtId="0">
      <sharedItems containsString="0" containsBlank="1" containsNumber="1" containsInteger="1" minValue="633" maxValue="707"/>
    </cacheField>
    <cacheField name="hoopla Music" numFmtId="0">
      <sharedItems containsString="0" containsBlank="1" containsNumber="1" containsInteger="1" minValue="397" maxValue="984"/>
    </cacheField>
    <cacheField name="hoopla TV" numFmtId="0">
      <sharedItems containsString="0" containsBlank="1" containsNumber="1" containsInteger="1" minValue="262" maxValue="344"/>
    </cacheField>
    <cacheField name="Newsbank Newspapers" numFmtId="0">
      <sharedItems containsString="0" containsBlank="1" containsNumber="1" containsInteger="1" minValue="1055" maxValue="1328"/>
    </cacheField>
    <cacheField name="Libby eAudio" numFmtId="0">
      <sharedItems containsString="0" containsBlank="1" containsNumber="1" containsInteger="1" minValue="7641" maxValue="8026"/>
    </cacheField>
    <cacheField name="Libby eBook" numFmtId="0">
      <sharedItems containsString="0" containsBlank="1" containsNumber="1" containsInteger="1" minValue="12972" maxValue="16003"/>
    </cacheField>
    <cacheField name="Libby Magazines " numFmtId="0">
      <sharedItems containsString="0" containsBlank="1" containsNumber="1" containsInteger="1" minValue="4024" maxValue="4388"/>
    </cacheField>
    <cacheField name="Libby Streaming" numFmtId="0">
      <sharedItems containsString="0" containsBlank="1" containsNumber="1" containsInteger="1" minValue="7" maxValue="9"/>
    </cacheField>
    <cacheField name="Proquest: Ancestry Library Edition" numFmtId="0">
      <sharedItems containsString="0" containsBlank="1" containsNumber="1" containsInteger="1" minValue="787" maxValue="1613"/>
    </cacheField>
    <cacheField name="Proquest: Fold3" numFmtId="0">
      <sharedItems containsString="0" containsBlank="1" containsNumber="1" containsInteger="1" minValue="47" maxValue="290"/>
    </cacheField>
    <cacheField name="Proquest: Heritage Quest Online" numFmtId="0">
      <sharedItems containsString="0" containsBlank="1" containsNumber="1" containsInteger="1" minValue="193" maxValue="923"/>
    </cacheField>
    <cacheField name="Salem eBooks" numFmtId="0">
      <sharedItems containsString="0" containsBlank="1" containsNumber="1" containsInteger="1" minValue="0" maxValue="3"/>
    </cacheField>
    <cacheField name="Tutor" numFmtId="0">
      <sharedItems containsString="0" containsBlank="1" containsNumber="1" containsInteger="1" minValue="18" maxValue="62"/>
    </cacheField>
    <cacheField name="ValueLine Searches" numFmtId="0">
      <sharedItems containsString="0" containsBlank="1" containsNumber="1" containsInteger="1" minValue="10246" maxValue="11475"/>
    </cacheField>
    <cacheField name="Weiss Page Views" numFmtId="0">
      <sharedItems containsString="0" containsBlank="1" containsNumber="1" containsInteger="1" minValue="11" maxValue="34"/>
    </cacheField>
    <cacheField name="Weiss Searches" numFmtId="0">
      <sharedItems containsString="0" containsBlank="1" containsNumber="1" containsInteger="1" minValue="0" maxValue="2"/>
    </cacheField>
    <cacheField name="Weiss Sessions" numFmtId="0">
      <sharedItems containsString="0" containsBlank="1" containsNumber="1" containsInteger="1" minValue="0" maxValue="44"/>
    </cacheField>
    <cacheField name="Lote4Kids - Stories Watched" numFmtId="0">
      <sharedItems containsString="0" containsBlank="1" containsNumber="1" containsInteger="1" minValue="5" maxValue="61"/>
    </cacheField>
    <cacheField name="Lote4Kids - Activities" numFmtId="0">
      <sharedItems containsString="0" containsBlank="1" containsNumber="1" containsInteger="1" minValue="0" maxValue="2"/>
    </cacheField>
    <cacheField name="Lote4Kids - Logins" numFmtId="0">
      <sharedItems containsString="0" containsBlank="1" containsNumber="1" containsInteger="1" minValue="6" maxValue="16"/>
    </cacheField>
    <cacheField name="DigitalLearn - Sessions" numFmtId="0">
      <sharedItems containsBlank="1" containsMixedTypes="1" containsNumber="1" containsInteger="1" minValue="13" maxValue="13"/>
    </cacheField>
    <cacheField name="DigitalLearn - Completed Courses" numFmtId="0">
      <sharedItems containsBlank="1" containsMixedTypes="1" containsNumber="1" containsInteger="1" minValue="0" maxValue="0"/>
    </cacheField>
    <cacheField name="Year" numFmtId="0">
      <sharedItems containsString="0" containsBlank="1" containsNumber="1" containsInteger="1" minValue="2025" maxValue="2025" count="2">
        <n v="20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4907407" createdVersion="6" refreshedVersion="6" minRefreshableVersion="3" recordCount="49" xr:uid="{C06B3EF1-C4DF-4F80-924B-60A89578EE5C}">
  <cacheSource type="worksheet">
    <worksheetSource ref="A1:AY1048576" sheet="eResources"/>
  </cacheSource>
  <cacheFields count="51">
    <cacheField name="Timestamp" numFmtId="0">
      <sharedItems containsNonDate="0" containsDate="1" containsString="0" containsBlank="1" minDate="2025-09-06T16:17:32" maxDate="2025-11-04T10:39:33"/>
    </cacheField>
    <cacheField name="Email Address" numFmtId="0">
      <sharedItems containsBlank="1"/>
    </cacheField>
    <cacheField name="Select Month" numFmtId="0">
      <sharedItems containsBlank="1"/>
    </cacheField>
    <cacheField name="Select Branch" numFmtId="0">
      <sharedItems containsBlank="1"/>
    </cacheField>
    <cacheField name="&quot;Ask A Librarian&quot;  Questions" numFmtId="0">
      <sharedItems containsNonDate="0" containsString="0" containsBlank="1"/>
    </cacheField>
    <cacheField name="ABCmouse" numFmtId="0">
      <sharedItems containsString="0" containsBlank="1" containsNumber="1" containsInteger="1" minValue="187" maxValue="249"/>
    </cacheField>
    <cacheField name="Biblioboard Requests" numFmtId="0">
      <sharedItems containsString="0" containsBlank="1" containsNumber="1" containsInteger="1" minValue="0" maxValue="16"/>
    </cacheField>
    <cacheField name="Biblioboard Sessions" numFmtId="0">
      <sharedItems containsString="0" containsBlank="1" containsNumber="1" containsInteger="1" minValue="47" maxValue="129"/>
    </cacheField>
    <cacheField name="Brainfuse" numFmtId="0">
      <sharedItems containsString="0" containsBlank="1" containsNumber="1" containsInteger="1" minValue="5" maxValue="444"/>
    </cacheField>
    <cacheField name="Data Axle/Reference USA" numFmtId="0">
      <sharedItems containsString="0" containsBlank="1" containsNumber="1" containsInteger="1" minValue="224" maxValue="351"/>
    </cacheField>
    <cacheField name="Flipster Searches" numFmtId="0">
      <sharedItems containsString="0" containsBlank="1" containsNumber="1" containsInteger="1" minValue="0" maxValue="237"/>
    </cacheField>
    <cacheField name="Flipster Sessions" numFmtId="0">
      <sharedItems containsString="0" containsBlank="1" containsNumber="1" containsInteger="1" minValue="41" maxValue="111"/>
    </cacheField>
    <cacheField name="Gale eBooks" numFmtId="0">
      <sharedItems containsString="0" containsBlank="1" containsNumber="1" containsInteger="1" minValue="9" maxValue="9"/>
    </cacheField>
    <cacheField name="Gale Udemy" numFmtId="0">
      <sharedItems containsString="0" containsBlank="1" containsNumber="1" containsInteger="1" minValue="54" maxValue="139"/>
    </cacheField>
    <cacheField name="Infobase eBooks" numFmtId="0">
      <sharedItems containsNonDate="0" containsString="0" containsBlank="1"/>
    </cacheField>
    <cacheField name="Infobase: The Mailbox Searches" numFmtId="0">
      <sharedItems containsString="0" containsBlank="1" containsNumber="1" containsInteger="1" minValue="1" maxValue="22"/>
    </cacheField>
    <cacheField name="Infobase: The Mailbox Sessions" numFmtId="0">
      <sharedItems containsString="0" containsBlank="1" containsNumber="1" containsInteger="1" minValue="1" maxValue="11"/>
    </cacheField>
    <cacheField name="Kanopy Plays" numFmtId="0">
      <sharedItems containsString="0" containsBlank="1" containsNumber="1" containsInteger="1" minValue="697" maxValue="1112"/>
    </cacheField>
    <cacheField name="Kanopy Sessions/Views" numFmtId="0">
      <sharedItems containsString="0" containsBlank="1" containsNumber="1" containsInteger="1" minValue="3662" maxValue="4189"/>
    </cacheField>
    <cacheField name="Library Aware: Newsletter Page Views" numFmtId="0">
      <sharedItems containsString="0" containsBlank="1" containsNumber="1" containsInteger="1" minValue="818" maxValue="989"/>
    </cacheField>
    <cacheField name="Library Aware: Newsletter Subscriptions" numFmtId="0">
      <sharedItems containsString="0" containsBlank="1" containsNumber="1" containsInteger="1" minValue="904" maxValue="1077"/>
    </cacheField>
    <cacheField name="Mango" numFmtId="0">
      <sharedItems containsString="0" containsBlank="1" containsNumber="1" containsInteger="1" minValue="228" maxValue="287"/>
    </cacheField>
    <cacheField name="hoopla Binge Passes" numFmtId="0">
      <sharedItems containsString="0" containsBlank="1" containsNumber="1" containsInteger="1" minValue="87" maxValue="142"/>
    </cacheField>
    <cacheField name="hoopla Comics" numFmtId="0">
      <sharedItems containsString="0" containsBlank="1" containsNumber="1" containsInteger="1" minValue="462" maxValue="608"/>
    </cacheField>
    <cacheField name="hoopla Flex eAudio" numFmtId="0">
      <sharedItems containsString="0" containsBlank="1" containsNumber="1" containsInteger="1" minValue="3697" maxValue="3994"/>
    </cacheField>
    <cacheField name="hoopla Flex eBook " numFmtId="0">
      <sharedItems containsString="0" containsBlank="1" containsNumber="1" containsInteger="1" minValue="756" maxValue="834"/>
    </cacheField>
    <cacheField name="hoopla Instant eAudio" numFmtId="0">
      <sharedItems containsString="0" containsBlank="1" containsNumber="1" containsInteger="1" minValue="9594" maxValue="9946"/>
    </cacheField>
    <cacheField name="hoopla Instant eBook" numFmtId="0">
      <sharedItems containsString="0" containsBlank="1" containsNumber="1" containsInteger="1" minValue="2520" maxValue="2638"/>
    </cacheField>
    <cacheField name="hoopla Movies" numFmtId="0">
      <sharedItems containsString="0" containsBlank="1" containsNumber="1" containsInteger="1" minValue="633" maxValue="707"/>
    </cacheField>
    <cacheField name="hoopla Music" numFmtId="0">
      <sharedItems containsString="0" containsBlank="1" containsNumber="1" containsInteger="1" minValue="397" maxValue="984"/>
    </cacheField>
    <cacheField name="hoopla TV" numFmtId="0">
      <sharedItems containsString="0" containsBlank="1" containsNumber="1" containsInteger="1" minValue="262" maxValue="344"/>
    </cacheField>
    <cacheField name="Newsbank Newspapers" numFmtId="0">
      <sharedItems containsString="0" containsBlank="1" containsNumber="1" containsInteger="1" minValue="1055" maxValue="1328"/>
    </cacheField>
    <cacheField name="Libby eAudio" numFmtId="0">
      <sharedItems containsString="0" containsBlank="1" containsNumber="1" containsInteger="1" minValue="7641" maxValue="8026"/>
    </cacheField>
    <cacheField name="Libby eBook" numFmtId="0">
      <sharedItems containsString="0" containsBlank="1" containsNumber="1" containsInteger="1" minValue="12972" maxValue="16003"/>
    </cacheField>
    <cacheField name="Libby Magazines " numFmtId="0">
      <sharedItems containsString="0" containsBlank="1" containsNumber="1" containsInteger="1" minValue="4024" maxValue="4388"/>
    </cacheField>
    <cacheField name="Libby Streaming" numFmtId="0">
      <sharedItems containsString="0" containsBlank="1" containsNumber="1" containsInteger="1" minValue="7" maxValue="9"/>
    </cacheField>
    <cacheField name="Proquest: Ancestry Library Edition" numFmtId="0">
      <sharedItems containsString="0" containsBlank="1" containsNumber="1" containsInteger="1" minValue="787" maxValue="1613"/>
    </cacheField>
    <cacheField name="Proquest: Fold3" numFmtId="0">
      <sharedItems containsString="0" containsBlank="1" containsNumber="1" containsInteger="1" minValue="47" maxValue="290"/>
    </cacheField>
    <cacheField name="Proquest: Heritage Quest Online" numFmtId="0">
      <sharedItems containsString="0" containsBlank="1" containsNumber="1" containsInteger="1" minValue="193" maxValue="923"/>
    </cacheField>
    <cacheField name="Salem eBooks" numFmtId="0">
      <sharedItems containsString="0" containsBlank="1" containsNumber="1" containsInteger="1" minValue="0" maxValue="3"/>
    </cacheField>
    <cacheField name="Tutor" numFmtId="0">
      <sharedItems containsString="0" containsBlank="1" containsNumber="1" containsInteger="1" minValue="18" maxValue="62"/>
    </cacheField>
    <cacheField name="ValueLine Searches" numFmtId="0">
      <sharedItems containsString="0" containsBlank="1" containsNumber="1" containsInteger="1" minValue="10246" maxValue="11475"/>
    </cacheField>
    <cacheField name="Weiss Page Views" numFmtId="0">
      <sharedItems containsString="0" containsBlank="1" containsNumber="1" containsInteger="1" minValue="11" maxValue="34"/>
    </cacheField>
    <cacheField name="Weiss Searches" numFmtId="0">
      <sharedItems containsString="0" containsBlank="1" containsNumber="1" containsInteger="1" minValue="0" maxValue="2"/>
    </cacheField>
    <cacheField name="Weiss Sessions" numFmtId="0">
      <sharedItems containsString="0" containsBlank="1" containsNumber="1" containsInteger="1" minValue="0" maxValue="44"/>
    </cacheField>
    <cacheField name="Lote4Kids - Stories Watched" numFmtId="0">
      <sharedItems containsString="0" containsBlank="1" containsNumber="1" containsInteger="1" minValue="5" maxValue="61"/>
    </cacheField>
    <cacheField name="Lote4Kids - Activities" numFmtId="0">
      <sharedItems containsString="0" containsBlank="1" containsNumber="1" containsInteger="1" minValue="0" maxValue="2"/>
    </cacheField>
    <cacheField name="Lote4Kids - Logins" numFmtId="0">
      <sharedItems containsString="0" containsBlank="1" containsNumber="1" containsInteger="1" minValue="6" maxValue="16"/>
    </cacheField>
    <cacheField name="DigitalLearn - Sessions" numFmtId="0">
      <sharedItems containsBlank="1" containsMixedTypes="1" containsNumber="1" containsInteger="1" minValue="13" maxValue="13"/>
    </cacheField>
    <cacheField name="DigitalLearn - Completed Courses" numFmtId="0">
      <sharedItems containsBlank="1" containsMixedTypes="1" containsNumber="1" containsInteger="1" minValue="0" maxValue="0"/>
    </cacheField>
    <cacheField name="Year" numFmtId="0">
      <sharedItems containsString="0" containsBlank="1" containsNumber="1" containsInteger="1" minValue="2025" maxValue="2025" count="2">
        <n v="20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5138892" createdVersion="6" refreshedVersion="6" minRefreshableVersion="3" recordCount="9" xr:uid="{EC5D4B77-94C9-4021-AC23-4F072F835E26}">
  <cacheSource type="worksheet">
    <worksheetSource ref="C1:AY10" sheet="eResources"/>
  </cacheSource>
  <cacheFields count="49">
    <cacheField name="Select Month" numFmtId="0">
      <sharedItems containsBlank="1"/>
    </cacheField>
    <cacheField name="Select Branch" numFmtId="0">
      <sharedItems containsBlank="1"/>
    </cacheField>
    <cacheField name="&quot;Ask A Librarian&quot;  Questions" numFmtId="0">
      <sharedItems containsNonDate="0" containsString="0" containsBlank="1"/>
    </cacheField>
    <cacheField name="ABCmouse" numFmtId="0">
      <sharedItems containsString="0" containsBlank="1" containsNumber="1" containsInteger="1" minValue="187" maxValue="249"/>
    </cacheField>
    <cacheField name="Biblioboard Requests" numFmtId="0">
      <sharedItems containsString="0" containsBlank="1" containsNumber="1" containsInteger="1" minValue="0" maxValue="16"/>
    </cacheField>
    <cacheField name="Biblioboard Sessions" numFmtId="0">
      <sharedItems containsString="0" containsBlank="1" containsNumber="1" containsInteger="1" minValue="47" maxValue="129"/>
    </cacheField>
    <cacheField name="Brainfuse" numFmtId="0">
      <sharedItems containsString="0" containsBlank="1" containsNumber="1" containsInteger="1" minValue="5" maxValue="444"/>
    </cacheField>
    <cacheField name="Data Axle/Reference USA" numFmtId="0">
      <sharedItems containsString="0" containsBlank="1" containsNumber="1" containsInteger="1" minValue="224" maxValue="351"/>
    </cacheField>
    <cacheField name="Flipster Searches" numFmtId="0">
      <sharedItems containsString="0" containsBlank="1" containsNumber="1" containsInteger="1" minValue="0" maxValue="237"/>
    </cacheField>
    <cacheField name="Flipster Sessions" numFmtId="0">
      <sharedItems containsString="0" containsBlank="1" containsNumber="1" containsInteger="1" minValue="41" maxValue="111"/>
    </cacheField>
    <cacheField name="Gale eBooks" numFmtId="0">
      <sharedItems containsString="0" containsBlank="1" containsNumber="1" containsInteger="1" minValue="9" maxValue="9"/>
    </cacheField>
    <cacheField name="Gale Udemy" numFmtId="0">
      <sharedItems containsString="0" containsBlank="1" containsNumber="1" containsInteger="1" minValue="54" maxValue="139"/>
    </cacheField>
    <cacheField name="Infobase eBooks" numFmtId="0">
      <sharedItems containsNonDate="0" containsString="0" containsBlank="1"/>
    </cacheField>
    <cacheField name="Infobase: The Mailbox Searches" numFmtId="0">
      <sharedItems containsString="0" containsBlank="1" containsNumber="1" containsInteger="1" minValue="1" maxValue="22"/>
    </cacheField>
    <cacheField name="Infobase: The Mailbox Sessions" numFmtId="0">
      <sharedItems containsString="0" containsBlank="1" containsNumber="1" containsInteger="1" minValue="1" maxValue="11"/>
    </cacheField>
    <cacheField name="Kanopy Plays" numFmtId="0">
      <sharedItems containsString="0" containsBlank="1" containsNumber="1" containsInteger="1" minValue="697" maxValue="1112"/>
    </cacheField>
    <cacheField name="Kanopy Sessions/Views" numFmtId="0">
      <sharedItems containsString="0" containsBlank="1" containsNumber="1" containsInteger="1" minValue="3662" maxValue="4189"/>
    </cacheField>
    <cacheField name="Library Aware: Newsletter Page Views" numFmtId="0">
      <sharedItems containsString="0" containsBlank="1" containsNumber="1" containsInteger="1" minValue="818" maxValue="989"/>
    </cacheField>
    <cacheField name="Library Aware: Newsletter Subscriptions" numFmtId="0">
      <sharedItems containsString="0" containsBlank="1" containsNumber="1" containsInteger="1" minValue="904" maxValue="1077"/>
    </cacheField>
    <cacheField name="Mango" numFmtId="0">
      <sharedItems containsString="0" containsBlank="1" containsNumber="1" containsInteger="1" minValue="228" maxValue="287"/>
    </cacheField>
    <cacheField name="hoopla Binge Passes" numFmtId="0">
      <sharedItems containsString="0" containsBlank="1" containsNumber="1" containsInteger="1" minValue="87" maxValue="142"/>
    </cacheField>
    <cacheField name="hoopla Comics" numFmtId="0">
      <sharedItems containsString="0" containsBlank="1" containsNumber="1" containsInteger="1" minValue="462" maxValue="608"/>
    </cacheField>
    <cacheField name="hoopla Flex eAudio" numFmtId="0">
      <sharedItems containsString="0" containsBlank="1" containsNumber="1" containsInteger="1" minValue="3697" maxValue="3994"/>
    </cacheField>
    <cacheField name="hoopla Flex eBook " numFmtId="0">
      <sharedItems containsString="0" containsBlank="1" containsNumber="1" containsInteger="1" minValue="756" maxValue="834"/>
    </cacheField>
    <cacheField name="hoopla Instant eAudio" numFmtId="0">
      <sharedItems containsString="0" containsBlank="1" containsNumber="1" containsInteger="1" minValue="9594" maxValue="9946"/>
    </cacheField>
    <cacheField name="hoopla Instant eBook" numFmtId="0">
      <sharedItems containsString="0" containsBlank="1" containsNumber="1" containsInteger="1" minValue="2520" maxValue="2638"/>
    </cacheField>
    <cacheField name="hoopla Movies" numFmtId="0">
      <sharedItems containsString="0" containsBlank="1" containsNumber="1" containsInteger="1" minValue="633" maxValue="707"/>
    </cacheField>
    <cacheField name="hoopla Music" numFmtId="0">
      <sharedItems containsString="0" containsBlank="1" containsNumber="1" containsInteger="1" minValue="397" maxValue="984"/>
    </cacheField>
    <cacheField name="hoopla TV" numFmtId="0">
      <sharedItems containsString="0" containsBlank="1" containsNumber="1" containsInteger="1" minValue="262" maxValue="344"/>
    </cacheField>
    <cacheField name="Newsbank Newspapers" numFmtId="0">
      <sharedItems containsString="0" containsBlank="1" containsNumber="1" containsInteger="1" minValue="1055" maxValue="1328"/>
    </cacheField>
    <cacheField name="Libby eAudio" numFmtId="0">
      <sharedItems containsString="0" containsBlank="1" containsNumber="1" containsInteger="1" minValue="7641" maxValue="8026"/>
    </cacheField>
    <cacheField name="Libby eBook" numFmtId="0">
      <sharedItems containsString="0" containsBlank="1" containsNumber="1" containsInteger="1" minValue="12972" maxValue="16003"/>
    </cacheField>
    <cacheField name="Libby Magazines " numFmtId="0">
      <sharedItems containsString="0" containsBlank="1" containsNumber="1" containsInteger="1" minValue="4024" maxValue="4388"/>
    </cacheField>
    <cacheField name="Libby Streaming" numFmtId="0">
      <sharedItems containsString="0" containsBlank="1" containsNumber="1" containsInteger="1" minValue="7" maxValue="9"/>
    </cacheField>
    <cacheField name="Proquest: Ancestry Library Edition" numFmtId="0">
      <sharedItems containsString="0" containsBlank="1" containsNumber="1" containsInteger="1" minValue="787" maxValue="1613"/>
    </cacheField>
    <cacheField name="Proquest: Fold3" numFmtId="0">
      <sharedItems containsString="0" containsBlank="1" containsNumber="1" containsInteger="1" minValue="47" maxValue="290"/>
    </cacheField>
    <cacheField name="Proquest: Heritage Quest Online" numFmtId="0">
      <sharedItems containsString="0" containsBlank="1" containsNumber="1" containsInteger="1" minValue="193" maxValue="923"/>
    </cacheField>
    <cacheField name="Salem eBooks" numFmtId="0">
      <sharedItems containsString="0" containsBlank="1" containsNumber="1" containsInteger="1" minValue="0" maxValue="3"/>
    </cacheField>
    <cacheField name="Tutor" numFmtId="0">
      <sharedItems containsString="0" containsBlank="1" containsNumber="1" containsInteger="1" minValue="18" maxValue="62"/>
    </cacheField>
    <cacheField name="ValueLine Searches" numFmtId="0">
      <sharedItems containsString="0" containsBlank="1" containsNumber="1" containsInteger="1" minValue="10246" maxValue="11475"/>
    </cacheField>
    <cacheField name="Weiss Page Views" numFmtId="0">
      <sharedItems containsString="0" containsBlank="1" containsNumber="1" containsInteger="1" minValue="11" maxValue="34"/>
    </cacheField>
    <cacheField name="Weiss Searches" numFmtId="0">
      <sharedItems containsString="0" containsBlank="1" containsNumber="1" containsInteger="1" minValue="0" maxValue="2"/>
    </cacheField>
    <cacheField name="Weiss Sessions" numFmtId="0">
      <sharedItems containsString="0" containsBlank="1" containsNumber="1" containsInteger="1" minValue="0" maxValue="44"/>
    </cacheField>
    <cacheField name="Lote4Kids - Stories Watched" numFmtId="0">
      <sharedItems containsString="0" containsBlank="1" containsNumber="1" containsInteger="1" minValue="5" maxValue="61"/>
    </cacheField>
    <cacheField name="Lote4Kids - Activities" numFmtId="0">
      <sharedItems containsString="0" containsBlank="1" containsNumber="1" containsInteger="1" minValue="0" maxValue="2"/>
    </cacheField>
    <cacheField name="Lote4Kids - Logins" numFmtId="0">
      <sharedItems containsString="0" containsBlank="1" containsNumber="1" containsInteger="1" minValue="6" maxValue="16"/>
    </cacheField>
    <cacheField name="DigitalLearn - Sessions" numFmtId="0">
      <sharedItems containsBlank="1" containsMixedTypes="1" containsNumber="1" containsInteger="1" minValue="13" maxValue="13"/>
    </cacheField>
    <cacheField name="DigitalLearn - Completed Courses" numFmtId="0">
      <sharedItems containsBlank="1" containsMixedTypes="1" containsNumber="1" containsInteger="1" minValue="0" maxValue="0"/>
    </cacheField>
    <cacheField name="Year" numFmtId="0">
      <sharedItems containsString="0" containsBlank="1" containsNumber="1" containsInteger="1" minValue="2025" maxValue="2025" count="2">
        <n v="20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5138892" createdVersion="6" refreshedVersion="6" minRefreshableVersion="3" recordCount="19" xr:uid="{8547EC6A-BAD9-438C-8BB2-1CA24A720348}">
  <cacheSource type="worksheet">
    <worksheetSource ref="C1:AY20" sheet="eResources"/>
  </cacheSource>
  <cacheFields count="49">
    <cacheField name="Select Month" numFmtId="0">
      <sharedItems containsBlank="1"/>
    </cacheField>
    <cacheField name="Select Branch" numFmtId="0">
      <sharedItems containsBlank="1"/>
    </cacheField>
    <cacheField name="&quot;Ask A Librarian&quot;  Questions" numFmtId="0">
      <sharedItems containsNonDate="0" containsString="0" containsBlank="1"/>
    </cacheField>
    <cacheField name="ABCmouse" numFmtId="0">
      <sharedItems containsString="0" containsBlank="1" containsNumber="1" containsInteger="1" minValue="187" maxValue="249"/>
    </cacheField>
    <cacheField name="Biblioboard Requests" numFmtId="0">
      <sharedItems containsString="0" containsBlank="1" containsNumber="1" containsInteger="1" minValue="0" maxValue="16"/>
    </cacheField>
    <cacheField name="Biblioboard Sessions" numFmtId="0">
      <sharedItems containsString="0" containsBlank="1" containsNumber="1" containsInteger="1" minValue="47" maxValue="129"/>
    </cacheField>
    <cacheField name="Brainfuse" numFmtId="0">
      <sharedItems containsString="0" containsBlank="1" containsNumber="1" containsInteger="1" minValue="5" maxValue="444"/>
    </cacheField>
    <cacheField name="Data Axle/Reference USA" numFmtId="0">
      <sharedItems containsString="0" containsBlank="1" containsNumber="1" containsInteger="1" minValue="224" maxValue="351"/>
    </cacheField>
    <cacheField name="Flipster Searches" numFmtId="0">
      <sharedItems containsString="0" containsBlank="1" containsNumber="1" containsInteger="1" minValue="0" maxValue="237"/>
    </cacheField>
    <cacheField name="Flipster Sessions" numFmtId="0">
      <sharedItems containsString="0" containsBlank="1" containsNumber="1" containsInteger="1" minValue="41" maxValue="111"/>
    </cacheField>
    <cacheField name="Gale eBooks" numFmtId="0">
      <sharedItems containsString="0" containsBlank="1" containsNumber="1" containsInteger="1" minValue="9" maxValue="9"/>
    </cacheField>
    <cacheField name="Gale Udemy" numFmtId="0">
      <sharedItems containsString="0" containsBlank="1" containsNumber="1" containsInteger="1" minValue="54" maxValue="139"/>
    </cacheField>
    <cacheField name="Infobase eBooks" numFmtId="0">
      <sharedItems containsNonDate="0" containsString="0" containsBlank="1"/>
    </cacheField>
    <cacheField name="Infobase: The Mailbox Searches" numFmtId="0">
      <sharedItems containsString="0" containsBlank="1" containsNumber="1" containsInteger="1" minValue="1" maxValue="22"/>
    </cacheField>
    <cacheField name="Infobase: The Mailbox Sessions" numFmtId="0">
      <sharedItems containsString="0" containsBlank="1" containsNumber="1" containsInteger="1" minValue="1" maxValue="11"/>
    </cacheField>
    <cacheField name="Kanopy Plays" numFmtId="0">
      <sharedItems containsString="0" containsBlank="1" containsNumber="1" containsInteger="1" minValue="697" maxValue="1112"/>
    </cacheField>
    <cacheField name="Kanopy Sessions/Views" numFmtId="0">
      <sharedItems containsString="0" containsBlank="1" containsNumber="1" containsInteger="1" minValue="3662" maxValue="4189"/>
    </cacheField>
    <cacheField name="Library Aware: Newsletter Page Views" numFmtId="0">
      <sharedItems containsString="0" containsBlank="1" containsNumber="1" containsInteger="1" minValue="818" maxValue="989"/>
    </cacheField>
    <cacheField name="Library Aware: Newsletter Subscriptions" numFmtId="0">
      <sharedItems containsString="0" containsBlank="1" containsNumber="1" containsInteger="1" minValue="904" maxValue="1077"/>
    </cacheField>
    <cacheField name="Mango" numFmtId="0">
      <sharedItems containsString="0" containsBlank="1" containsNumber="1" containsInteger="1" minValue="228" maxValue="287"/>
    </cacheField>
    <cacheField name="hoopla Binge Passes" numFmtId="0">
      <sharedItems containsString="0" containsBlank="1" containsNumber="1" containsInteger="1" minValue="87" maxValue="142"/>
    </cacheField>
    <cacheField name="hoopla Comics" numFmtId="0">
      <sharedItems containsString="0" containsBlank="1" containsNumber="1" containsInteger="1" minValue="462" maxValue="608"/>
    </cacheField>
    <cacheField name="hoopla Flex eAudio" numFmtId="0">
      <sharedItems containsString="0" containsBlank="1" containsNumber="1" containsInteger="1" minValue="3697" maxValue="3994"/>
    </cacheField>
    <cacheField name="hoopla Flex eBook " numFmtId="0">
      <sharedItems containsString="0" containsBlank="1" containsNumber="1" containsInteger="1" minValue="756" maxValue="834"/>
    </cacheField>
    <cacheField name="hoopla Instant eAudio" numFmtId="0">
      <sharedItems containsString="0" containsBlank="1" containsNumber="1" containsInteger="1" minValue="9594" maxValue="9946"/>
    </cacheField>
    <cacheField name="hoopla Instant eBook" numFmtId="0">
      <sharedItems containsString="0" containsBlank="1" containsNumber="1" containsInteger="1" minValue="2520" maxValue="2638"/>
    </cacheField>
    <cacheField name="hoopla Movies" numFmtId="0">
      <sharedItems containsString="0" containsBlank="1" containsNumber="1" containsInteger="1" minValue="633" maxValue="707"/>
    </cacheField>
    <cacheField name="hoopla Music" numFmtId="0">
      <sharedItems containsString="0" containsBlank="1" containsNumber="1" containsInteger="1" minValue="397" maxValue="984"/>
    </cacheField>
    <cacheField name="hoopla TV" numFmtId="0">
      <sharedItems containsString="0" containsBlank="1" containsNumber="1" containsInteger="1" minValue="262" maxValue="344"/>
    </cacheField>
    <cacheField name="Newsbank Newspapers" numFmtId="0">
      <sharedItems containsString="0" containsBlank="1" containsNumber="1" containsInteger="1" minValue="1055" maxValue="1328"/>
    </cacheField>
    <cacheField name="Libby eAudio" numFmtId="0">
      <sharedItems containsString="0" containsBlank="1" containsNumber="1" containsInteger="1" minValue="7641" maxValue="8026"/>
    </cacheField>
    <cacheField name="Libby eBook" numFmtId="0">
      <sharedItems containsString="0" containsBlank="1" containsNumber="1" containsInteger="1" minValue="12972" maxValue="16003"/>
    </cacheField>
    <cacheField name="Libby Magazines " numFmtId="0">
      <sharedItems containsString="0" containsBlank="1" containsNumber="1" containsInteger="1" minValue="4024" maxValue="4388"/>
    </cacheField>
    <cacheField name="Libby Streaming" numFmtId="0">
      <sharedItems containsString="0" containsBlank="1" containsNumber="1" containsInteger="1" minValue="7" maxValue="9"/>
    </cacheField>
    <cacheField name="Proquest: Ancestry Library Edition" numFmtId="0">
      <sharedItems containsString="0" containsBlank="1" containsNumber="1" containsInteger="1" minValue="787" maxValue="1613"/>
    </cacheField>
    <cacheField name="Proquest: Fold3" numFmtId="0">
      <sharedItems containsString="0" containsBlank="1" containsNumber="1" containsInteger="1" minValue="47" maxValue="290"/>
    </cacheField>
    <cacheField name="Proquest: Heritage Quest Online" numFmtId="0">
      <sharedItems containsString="0" containsBlank="1" containsNumber="1" containsInteger="1" minValue="193" maxValue="923"/>
    </cacheField>
    <cacheField name="Salem eBooks" numFmtId="0">
      <sharedItems containsString="0" containsBlank="1" containsNumber="1" containsInteger="1" minValue="0" maxValue="3"/>
    </cacheField>
    <cacheField name="Tutor" numFmtId="0">
      <sharedItems containsString="0" containsBlank="1" containsNumber="1" containsInteger="1" minValue="18" maxValue="62"/>
    </cacheField>
    <cacheField name="ValueLine Searches" numFmtId="0">
      <sharedItems containsString="0" containsBlank="1" containsNumber="1" containsInteger="1" minValue="10246" maxValue="11475"/>
    </cacheField>
    <cacheField name="Weiss Page Views" numFmtId="0">
      <sharedItems containsString="0" containsBlank="1" containsNumber="1" containsInteger="1" minValue="11" maxValue="34"/>
    </cacheField>
    <cacheField name="Weiss Searches" numFmtId="0">
      <sharedItems containsString="0" containsBlank="1" containsNumber="1" containsInteger="1" minValue="0" maxValue="2"/>
    </cacheField>
    <cacheField name="Weiss Sessions" numFmtId="0">
      <sharedItems containsString="0" containsBlank="1" containsNumber="1" containsInteger="1" minValue="0" maxValue="44"/>
    </cacheField>
    <cacheField name="Lote4Kids - Stories Watched" numFmtId="0">
      <sharedItems containsString="0" containsBlank="1" containsNumber="1" containsInteger="1" minValue="5" maxValue="61"/>
    </cacheField>
    <cacheField name="Lote4Kids - Activities" numFmtId="0">
      <sharedItems containsString="0" containsBlank="1" containsNumber="1" containsInteger="1" minValue="0" maxValue="2"/>
    </cacheField>
    <cacheField name="Lote4Kids - Logins" numFmtId="0">
      <sharedItems containsString="0" containsBlank="1" containsNumber="1" containsInteger="1" minValue="6" maxValue="16"/>
    </cacheField>
    <cacheField name="DigitalLearn - Sessions" numFmtId="0">
      <sharedItems containsBlank="1" containsMixedTypes="1" containsNumber="1" containsInteger="1" minValue="13" maxValue="13"/>
    </cacheField>
    <cacheField name="DigitalLearn - Completed Courses" numFmtId="0">
      <sharedItems containsBlank="1" containsMixedTypes="1" containsNumber="1" containsInteger="1" minValue="0" maxValue="0"/>
    </cacheField>
    <cacheField name="Year" numFmtId="0">
      <sharedItems containsString="0" containsBlank="1" containsNumber="1" containsInteger="1" minValue="2025" maxValue="2025" count="2">
        <n v="20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5254631" createdVersion="6" refreshedVersion="6" minRefreshableVersion="3" recordCount="8" xr:uid="{38C68902-95D6-4EB3-BB48-F3381CAC1AEF}">
  <cacheSource type="worksheet">
    <worksheetSource ref="C1:AY9" sheet="eResources"/>
  </cacheSource>
  <cacheFields count="49">
    <cacheField name="Select Month" numFmtId="0">
      <sharedItems containsBlank="1"/>
    </cacheField>
    <cacheField name="Select Branch" numFmtId="0">
      <sharedItems containsBlank="1"/>
    </cacheField>
    <cacheField name="&quot;Ask A Librarian&quot;  Questions" numFmtId="0">
      <sharedItems containsNonDate="0" containsString="0" containsBlank="1"/>
    </cacheField>
    <cacheField name="ABCmouse" numFmtId="0">
      <sharedItems containsString="0" containsBlank="1" containsNumber="1" containsInteger="1" minValue="187" maxValue="249"/>
    </cacheField>
    <cacheField name="Biblioboard Requests" numFmtId="0">
      <sharedItems containsString="0" containsBlank="1" containsNumber="1" containsInteger="1" minValue="0" maxValue="16"/>
    </cacheField>
    <cacheField name="Biblioboard Sessions" numFmtId="0">
      <sharedItems containsString="0" containsBlank="1" containsNumber="1" containsInteger="1" minValue="47" maxValue="129"/>
    </cacheField>
    <cacheField name="Brainfuse" numFmtId="0">
      <sharedItems containsString="0" containsBlank="1" containsNumber="1" containsInteger="1" minValue="5" maxValue="444"/>
    </cacheField>
    <cacheField name="Data Axle/Reference USA" numFmtId="0">
      <sharedItems containsString="0" containsBlank="1" containsNumber="1" containsInteger="1" minValue="224" maxValue="351"/>
    </cacheField>
    <cacheField name="Flipster Searches" numFmtId="0">
      <sharedItems containsString="0" containsBlank="1" containsNumber="1" containsInteger="1" minValue="0" maxValue="237"/>
    </cacheField>
    <cacheField name="Flipster Sessions" numFmtId="0">
      <sharedItems containsString="0" containsBlank="1" containsNumber="1" containsInteger="1" minValue="41" maxValue="111"/>
    </cacheField>
    <cacheField name="Gale eBooks" numFmtId="0">
      <sharedItems containsString="0" containsBlank="1" containsNumber="1" containsInteger="1" minValue="9" maxValue="9"/>
    </cacheField>
    <cacheField name="Gale Udemy" numFmtId="0">
      <sharedItems containsString="0" containsBlank="1" containsNumber="1" containsInteger="1" minValue="54" maxValue="139"/>
    </cacheField>
    <cacheField name="Infobase eBooks" numFmtId="0">
      <sharedItems containsNonDate="0" containsString="0" containsBlank="1"/>
    </cacheField>
    <cacheField name="Infobase: The Mailbox Searches" numFmtId="0">
      <sharedItems containsString="0" containsBlank="1" containsNumber="1" containsInteger="1" minValue="1" maxValue="22"/>
    </cacheField>
    <cacheField name="Infobase: The Mailbox Sessions" numFmtId="0">
      <sharedItems containsString="0" containsBlank="1" containsNumber="1" containsInteger="1" minValue="1" maxValue="11"/>
    </cacheField>
    <cacheField name="Kanopy Plays" numFmtId="0">
      <sharedItems containsString="0" containsBlank="1" containsNumber="1" containsInteger="1" minValue="697" maxValue="1112"/>
    </cacheField>
    <cacheField name="Kanopy Sessions/Views" numFmtId="0">
      <sharedItems containsString="0" containsBlank="1" containsNumber="1" containsInteger="1" minValue="3662" maxValue="4189"/>
    </cacheField>
    <cacheField name="Library Aware: Newsletter Page Views" numFmtId="0">
      <sharedItems containsString="0" containsBlank="1" containsNumber="1" containsInteger="1" minValue="818" maxValue="989"/>
    </cacheField>
    <cacheField name="Library Aware: Newsletter Subscriptions" numFmtId="0">
      <sharedItems containsString="0" containsBlank="1" containsNumber="1" containsInteger="1" minValue="904" maxValue="1077"/>
    </cacheField>
    <cacheField name="Mango" numFmtId="0">
      <sharedItems containsString="0" containsBlank="1" containsNumber="1" containsInteger="1" minValue="228" maxValue="287"/>
    </cacheField>
    <cacheField name="hoopla Binge Passes" numFmtId="0">
      <sharedItems containsString="0" containsBlank="1" containsNumber="1" containsInteger="1" minValue="87" maxValue="142"/>
    </cacheField>
    <cacheField name="hoopla Comics" numFmtId="0">
      <sharedItems containsString="0" containsBlank="1" containsNumber="1" containsInteger="1" minValue="462" maxValue="608"/>
    </cacheField>
    <cacheField name="hoopla Flex eAudio" numFmtId="0">
      <sharedItems containsString="0" containsBlank="1" containsNumber="1" containsInteger="1" minValue="3697" maxValue="3994"/>
    </cacheField>
    <cacheField name="hoopla Flex eBook " numFmtId="0">
      <sharedItems containsString="0" containsBlank="1" containsNumber="1" containsInteger="1" minValue="756" maxValue="834"/>
    </cacheField>
    <cacheField name="hoopla Instant eAudio" numFmtId="0">
      <sharedItems containsString="0" containsBlank="1" containsNumber="1" containsInteger="1" minValue="9594" maxValue="9946"/>
    </cacheField>
    <cacheField name="hoopla Instant eBook" numFmtId="0">
      <sharedItems containsString="0" containsBlank="1" containsNumber="1" containsInteger="1" minValue="2520" maxValue="2638"/>
    </cacheField>
    <cacheField name="hoopla Movies" numFmtId="0">
      <sharedItems containsString="0" containsBlank="1" containsNumber="1" containsInteger="1" minValue="633" maxValue="707"/>
    </cacheField>
    <cacheField name="hoopla Music" numFmtId="0">
      <sharedItems containsString="0" containsBlank="1" containsNumber="1" containsInteger="1" minValue="397" maxValue="984"/>
    </cacheField>
    <cacheField name="hoopla TV" numFmtId="0">
      <sharedItems containsString="0" containsBlank="1" containsNumber="1" containsInteger="1" minValue="262" maxValue="344"/>
    </cacheField>
    <cacheField name="Newsbank Newspapers" numFmtId="0">
      <sharedItems containsString="0" containsBlank="1" containsNumber="1" containsInteger="1" minValue="1055" maxValue="1328"/>
    </cacheField>
    <cacheField name="Libby eAudio" numFmtId="0">
      <sharedItems containsString="0" containsBlank="1" containsNumber="1" containsInteger="1" minValue="7641" maxValue="8026"/>
    </cacheField>
    <cacheField name="Libby eBook" numFmtId="0">
      <sharedItems containsString="0" containsBlank="1" containsNumber="1" containsInteger="1" minValue="12972" maxValue="16003"/>
    </cacheField>
    <cacheField name="Libby Magazines " numFmtId="0">
      <sharedItems containsString="0" containsBlank="1" containsNumber="1" containsInteger="1" minValue="4024" maxValue="4388"/>
    </cacheField>
    <cacheField name="Libby Streaming" numFmtId="0">
      <sharedItems containsString="0" containsBlank="1" containsNumber="1" containsInteger="1" minValue="7" maxValue="9"/>
    </cacheField>
    <cacheField name="Proquest: Ancestry Library Edition" numFmtId="0">
      <sharedItems containsString="0" containsBlank="1" containsNumber="1" containsInteger="1" minValue="787" maxValue="1613"/>
    </cacheField>
    <cacheField name="Proquest: Fold3" numFmtId="0">
      <sharedItems containsString="0" containsBlank="1" containsNumber="1" containsInteger="1" minValue="47" maxValue="290"/>
    </cacheField>
    <cacheField name="Proquest: Heritage Quest Online" numFmtId="0">
      <sharedItems containsString="0" containsBlank="1" containsNumber="1" containsInteger="1" minValue="193" maxValue="923"/>
    </cacheField>
    <cacheField name="Salem eBooks" numFmtId="0">
      <sharedItems containsString="0" containsBlank="1" containsNumber="1" containsInteger="1" minValue="0" maxValue="3"/>
    </cacheField>
    <cacheField name="Tutor" numFmtId="0">
      <sharedItems containsString="0" containsBlank="1" containsNumber="1" containsInteger="1" minValue="18" maxValue="62"/>
    </cacheField>
    <cacheField name="ValueLine Searches" numFmtId="0">
      <sharedItems containsString="0" containsBlank="1" containsNumber="1" containsInteger="1" minValue="10246" maxValue="11475"/>
    </cacheField>
    <cacheField name="Weiss Page Views" numFmtId="0">
      <sharedItems containsString="0" containsBlank="1" containsNumber="1" containsInteger="1" minValue="11" maxValue="34"/>
    </cacheField>
    <cacheField name="Weiss Searches" numFmtId="0">
      <sharedItems containsString="0" containsBlank="1" containsNumber="1" containsInteger="1" minValue="0" maxValue="2"/>
    </cacheField>
    <cacheField name="Weiss Sessions" numFmtId="0">
      <sharedItems containsString="0" containsBlank="1" containsNumber="1" containsInteger="1" minValue="0" maxValue="44"/>
    </cacheField>
    <cacheField name="Lote4Kids - Stories Watched" numFmtId="0">
      <sharedItems containsString="0" containsBlank="1" containsNumber="1" containsInteger="1" minValue="5" maxValue="61"/>
    </cacheField>
    <cacheField name="Lote4Kids - Activities" numFmtId="0">
      <sharedItems containsString="0" containsBlank="1" containsNumber="1" containsInteger="1" minValue="0" maxValue="2"/>
    </cacheField>
    <cacheField name="Lote4Kids - Logins" numFmtId="0">
      <sharedItems containsString="0" containsBlank="1" containsNumber="1" containsInteger="1" minValue="6" maxValue="16"/>
    </cacheField>
    <cacheField name="DigitalLearn - Sessions" numFmtId="0">
      <sharedItems containsBlank="1" containsMixedTypes="1" containsNumber="1" containsInteger="1" minValue="13" maxValue="13"/>
    </cacheField>
    <cacheField name="DigitalLearn - Completed Courses" numFmtId="0">
      <sharedItems containsBlank="1" containsMixedTypes="1" containsNumber="1" containsInteger="1" minValue="0" maxValue="0"/>
    </cacheField>
    <cacheField name="Year" numFmtId="0">
      <sharedItems containsString="0" containsBlank="1" containsNumber="1" containsInteger="1" minValue="2025" maxValue="2025" count="2">
        <n v="20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5486108" createdVersion="6" refreshedVersion="6" minRefreshableVersion="3" recordCount="16" xr:uid="{9B5AB84E-3E22-4829-9A4B-E1248A869F60}">
  <cacheSource type="worksheet">
    <worksheetSource ref="C1:AY17" sheet="eResources"/>
  </cacheSource>
  <cacheFields count="49">
    <cacheField name="Select Month" numFmtId="0">
      <sharedItems containsBlank="1"/>
    </cacheField>
    <cacheField name="Select Branch" numFmtId="0">
      <sharedItems containsBlank="1"/>
    </cacheField>
    <cacheField name="&quot;Ask A Librarian&quot;  Questions" numFmtId="0">
      <sharedItems containsNonDate="0" containsString="0" containsBlank="1"/>
    </cacheField>
    <cacheField name="ABCmouse" numFmtId="0">
      <sharedItems containsString="0" containsBlank="1" containsNumber="1" containsInteger="1" minValue="187" maxValue="249"/>
    </cacheField>
    <cacheField name="Biblioboard Requests" numFmtId="0">
      <sharedItems containsString="0" containsBlank="1" containsNumber="1" containsInteger="1" minValue="0" maxValue="16"/>
    </cacheField>
    <cacheField name="Biblioboard Sessions" numFmtId="0">
      <sharedItems containsString="0" containsBlank="1" containsNumber="1" containsInteger="1" minValue="47" maxValue="129"/>
    </cacheField>
    <cacheField name="Brainfuse" numFmtId="0">
      <sharedItems containsString="0" containsBlank="1" containsNumber="1" containsInteger="1" minValue="5" maxValue="444"/>
    </cacheField>
    <cacheField name="Data Axle/Reference USA" numFmtId="0">
      <sharedItems containsString="0" containsBlank="1" containsNumber="1" containsInteger="1" minValue="224" maxValue="351"/>
    </cacheField>
    <cacheField name="Flipster Searches" numFmtId="0">
      <sharedItems containsString="0" containsBlank="1" containsNumber="1" containsInteger="1" minValue="0" maxValue="237"/>
    </cacheField>
    <cacheField name="Flipster Sessions" numFmtId="0">
      <sharedItems containsString="0" containsBlank="1" containsNumber="1" containsInteger="1" minValue="41" maxValue="111"/>
    </cacheField>
    <cacheField name="Gale eBooks" numFmtId="0">
      <sharedItems containsString="0" containsBlank="1" containsNumber="1" containsInteger="1" minValue="9" maxValue="9"/>
    </cacheField>
    <cacheField name="Gale Udemy" numFmtId="0">
      <sharedItems containsString="0" containsBlank="1" containsNumber="1" containsInteger="1" minValue="54" maxValue="139"/>
    </cacheField>
    <cacheField name="Infobase eBooks" numFmtId="0">
      <sharedItems containsNonDate="0" containsString="0" containsBlank="1"/>
    </cacheField>
    <cacheField name="Infobase: The Mailbox Searches" numFmtId="0">
      <sharedItems containsString="0" containsBlank="1" containsNumber="1" containsInteger="1" minValue="1" maxValue="22"/>
    </cacheField>
    <cacheField name="Infobase: The Mailbox Sessions" numFmtId="0">
      <sharedItems containsString="0" containsBlank="1" containsNumber="1" containsInteger="1" minValue="1" maxValue="11"/>
    </cacheField>
    <cacheField name="Kanopy Plays" numFmtId="0">
      <sharedItems containsString="0" containsBlank="1" containsNumber="1" containsInteger="1" minValue="697" maxValue="1112"/>
    </cacheField>
    <cacheField name="Kanopy Sessions/Views" numFmtId="0">
      <sharedItems containsString="0" containsBlank="1" containsNumber="1" containsInteger="1" minValue="3662" maxValue="4189"/>
    </cacheField>
    <cacheField name="Library Aware: Newsletter Page Views" numFmtId="0">
      <sharedItems containsString="0" containsBlank="1" containsNumber="1" containsInteger="1" minValue="818" maxValue="989"/>
    </cacheField>
    <cacheField name="Library Aware: Newsletter Subscriptions" numFmtId="0">
      <sharedItems containsString="0" containsBlank="1" containsNumber="1" containsInteger="1" minValue="904" maxValue="1077"/>
    </cacheField>
    <cacheField name="Mango" numFmtId="0">
      <sharedItems containsString="0" containsBlank="1" containsNumber="1" containsInteger="1" minValue="228" maxValue="287"/>
    </cacheField>
    <cacheField name="hoopla Binge Passes" numFmtId="0">
      <sharedItems containsString="0" containsBlank="1" containsNumber="1" containsInteger="1" minValue="87" maxValue="142"/>
    </cacheField>
    <cacheField name="hoopla Comics" numFmtId="0">
      <sharedItems containsString="0" containsBlank="1" containsNumber="1" containsInteger="1" minValue="462" maxValue="608"/>
    </cacheField>
    <cacheField name="hoopla Flex eAudio" numFmtId="0">
      <sharedItems containsString="0" containsBlank="1" containsNumber="1" containsInteger="1" minValue="3697" maxValue="3994"/>
    </cacheField>
    <cacheField name="hoopla Flex eBook " numFmtId="0">
      <sharedItems containsString="0" containsBlank="1" containsNumber="1" containsInteger="1" minValue="756" maxValue="834"/>
    </cacheField>
    <cacheField name="hoopla Instant eAudio" numFmtId="0">
      <sharedItems containsString="0" containsBlank="1" containsNumber="1" containsInteger="1" minValue="9594" maxValue="9946"/>
    </cacheField>
    <cacheField name="hoopla Instant eBook" numFmtId="0">
      <sharedItems containsString="0" containsBlank="1" containsNumber="1" containsInteger="1" minValue="2520" maxValue="2638"/>
    </cacheField>
    <cacheField name="hoopla Movies" numFmtId="0">
      <sharedItems containsString="0" containsBlank="1" containsNumber="1" containsInteger="1" minValue="633" maxValue="707"/>
    </cacheField>
    <cacheField name="hoopla Music" numFmtId="0">
      <sharedItems containsString="0" containsBlank="1" containsNumber="1" containsInteger="1" minValue="397" maxValue="984"/>
    </cacheField>
    <cacheField name="hoopla TV" numFmtId="0">
      <sharedItems containsString="0" containsBlank="1" containsNumber="1" containsInteger="1" minValue="262" maxValue="344"/>
    </cacheField>
    <cacheField name="Newsbank Newspapers" numFmtId="0">
      <sharedItems containsString="0" containsBlank="1" containsNumber="1" containsInteger="1" minValue="1055" maxValue="1328"/>
    </cacheField>
    <cacheField name="Libby eAudio" numFmtId="0">
      <sharedItems containsString="0" containsBlank="1" containsNumber="1" containsInteger="1" minValue="7641" maxValue="8026"/>
    </cacheField>
    <cacheField name="Libby eBook" numFmtId="0">
      <sharedItems containsString="0" containsBlank="1" containsNumber="1" containsInteger="1" minValue="12972" maxValue="16003"/>
    </cacheField>
    <cacheField name="Libby Magazines " numFmtId="0">
      <sharedItems containsString="0" containsBlank="1" containsNumber="1" containsInteger="1" minValue="4024" maxValue="4388"/>
    </cacheField>
    <cacheField name="Libby Streaming" numFmtId="0">
      <sharedItems containsString="0" containsBlank="1" containsNumber="1" containsInteger="1" minValue="7" maxValue="9"/>
    </cacheField>
    <cacheField name="Proquest: Ancestry Library Edition" numFmtId="0">
      <sharedItems containsString="0" containsBlank="1" containsNumber="1" containsInteger="1" minValue="787" maxValue="1613"/>
    </cacheField>
    <cacheField name="Proquest: Fold3" numFmtId="0">
      <sharedItems containsString="0" containsBlank="1" containsNumber="1" containsInteger="1" minValue="47" maxValue="290"/>
    </cacheField>
    <cacheField name="Proquest: Heritage Quest Online" numFmtId="0">
      <sharedItems containsString="0" containsBlank="1" containsNumber="1" containsInteger="1" minValue="193" maxValue="923"/>
    </cacheField>
    <cacheField name="Salem eBooks" numFmtId="0">
      <sharedItems containsString="0" containsBlank="1" containsNumber="1" containsInteger="1" minValue="0" maxValue="3"/>
    </cacheField>
    <cacheField name="Tutor" numFmtId="0">
      <sharedItems containsString="0" containsBlank="1" containsNumber="1" containsInteger="1" minValue="18" maxValue="62"/>
    </cacheField>
    <cacheField name="ValueLine Searches" numFmtId="0">
      <sharedItems containsString="0" containsBlank="1" containsNumber="1" containsInteger="1" minValue="10246" maxValue="11475"/>
    </cacheField>
    <cacheField name="Weiss Page Views" numFmtId="0">
      <sharedItems containsString="0" containsBlank="1" containsNumber="1" containsInteger="1" minValue="11" maxValue="34"/>
    </cacheField>
    <cacheField name="Weiss Searches" numFmtId="0">
      <sharedItems containsString="0" containsBlank="1" containsNumber="1" containsInteger="1" minValue="0" maxValue="2"/>
    </cacheField>
    <cacheField name="Weiss Sessions" numFmtId="0">
      <sharedItems containsString="0" containsBlank="1" containsNumber="1" containsInteger="1" minValue="0" maxValue="44"/>
    </cacheField>
    <cacheField name="Lote4Kids - Stories Watched" numFmtId="0">
      <sharedItems containsString="0" containsBlank="1" containsNumber="1" containsInteger="1" minValue="5" maxValue="61"/>
    </cacheField>
    <cacheField name="Lote4Kids - Activities" numFmtId="0">
      <sharedItems containsString="0" containsBlank="1" containsNumber="1" containsInteger="1" minValue="0" maxValue="2"/>
    </cacheField>
    <cacheField name="Lote4Kids - Logins" numFmtId="0">
      <sharedItems containsString="0" containsBlank="1" containsNumber="1" containsInteger="1" minValue="6" maxValue="16"/>
    </cacheField>
    <cacheField name="DigitalLearn - Sessions" numFmtId="0">
      <sharedItems containsBlank="1" containsMixedTypes="1" containsNumber="1" containsInteger="1" minValue="13" maxValue="13"/>
    </cacheField>
    <cacheField name="DigitalLearn - Completed Courses" numFmtId="0">
      <sharedItems containsBlank="1" containsMixedTypes="1" containsNumber="1" containsInteger="1" minValue="0" maxValue="0"/>
    </cacheField>
    <cacheField name="Year" numFmtId="0">
      <sharedItems containsString="0" containsBlank="1" containsNumber="1" containsInteger="1" minValue="2025" maxValue="2025" count="2">
        <n v="20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5601854" createdVersion="6" refreshedVersion="6" minRefreshableVersion="3" recordCount="49" xr:uid="{537ADD88-271B-4C32-B693-651E8A6EFB51}">
  <cacheSource type="worksheet">
    <worksheetSource ref="C1:AY1048576" sheet="eResources"/>
  </cacheSource>
  <cacheFields count="49">
    <cacheField name="Select Month" numFmtId="0">
      <sharedItems containsBlank="1"/>
    </cacheField>
    <cacheField name="Select Branch" numFmtId="0">
      <sharedItems containsBlank="1"/>
    </cacheField>
    <cacheField name="&quot;Ask A Librarian&quot;  Questions" numFmtId="0">
      <sharedItems containsNonDate="0" containsString="0" containsBlank="1"/>
    </cacheField>
    <cacheField name="ABCmouse" numFmtId="0">
      <sharedItems containsString="0" containsBlank="1" containsNumber="1" containsInteger="1" minValue="187" maxValue="249"/>
    </cacheField>
    <cacheField name="Biblioboard Requests" numFmtId="0">
      <sharedItems containsString="0" containsBlank="1" containsNumber="1" containsInteger="1" minValue="0" maxValue="16"/>
    </cacheField>
    <cacheField name="Biblioboard Sessions" numFmtId="0">
      <sharedItems containsString="0" containsBlank="1" containsNumber="1" containsInteger="1" minValue="47" maxValue="129"/>
    </cacheField>
    <cacheField name="Brainfuse" numFmtId="0">
      <sharedItems containsString="0" containsBlank="1" containsNumber="1" containsInteger="1" minValue="5" maxValue="444"/>
    </cacheField>
    <cacheField name="Data Axle/Reference USA" numFmtId="0">
      <sharedItems containsString="0" containsBlank="1" containsNumber="1" containsInteger="1" minValue="224" maxValue="351"/>
    </cacheField>
    <cacheField name="Flipster Searches" numFmtId="0">
      <sharedItems containsString="0" containsBlank="1" containsNumber="1" containsInteger="1" minValue="0" maxValue="237"/>
    </cacheField>
    <cacheField name="Flipster Sessions" numFmtId="0">
      <sharedItems containsString="0" containsBlank="1" containsNumber="1" containsInteger="1" minValue="41" maxValue="111"/>
    </cacheField>
    <cacheField name="Gale eBooks" numFmtId="0">
      <sharedItems containsString="0" containsBlank="1" containsNumber="1" containsInteger="1" minValue="9" maxValue="9"/>
    </cacheField>
    <cacheField name="Gale Udemy" numFmtId="0">
      <sharedItems containsString="0" containsBlank="1" containsNumber="1" containsInteger="1" minValue="54" maxValue="139"/>
    </cacheField>
    <cacheField name="Infobase eBooks" numFmtId="0">
      <sharedItems containsNonDate="0" containsString="0" containsBlank="1"/>
    </cacheField>
    <cacheField name="Infobase: The Mailbox Searches" numFmtId="0">
      <sharedItems containsString="0" containsBlank="1" containsNumber="1" containsInteger="1" minValue="1" maxValue="22"/>
    </cacheField>
    <cacheField name="Infobase: The Mailbox Sessions" numFmtId="0">
      <sharedItems containsString="0" containsBlank="1" containsNumber="1" containsInteger="1" minValue="1" maxValue="11"/>
    </cacheField>
    <cacheField name="Kanopy Plays" numFmtId="0">
      <sharedItems containsString="0" containsBlank="1" containsNumber="1" containsInteger="1" minValue="697" maxValue="1112"/>
    </cacheField>
    <cacheField name="Kanopy Sessions/Views" numFmtId="0">
      <sharedItems containsString="0" containsBlank="1" containsNumber="1" containsInteger="1" minValue="3662" maxValue="4189"/>
    </cacheField>
    <cacheField name="Library Aware: Newsletter Page Views" numFmtId="0">
      <sharedItems containsString="0" containsBlank="1" containsNumber="1" containsInteger="1" minValue="818" maxValue="989"/>
    </cacheField>
    <cacheField name="Library Aware: Newsletter Subscriptions" numFmtId="0">
      <sharedItems containsString="0" containsBlank="1" containsNumber="1" containsInteger="1" minValue="904" maxValue="1077"/>
    </cacheField>
    <cacheField name="Mango" numFmtId="0">
      <sharedItems containsString="0" containsBlank="1" containsNumber="1" containsInteger="1" minValue="228" maxValue="287"/>
    </cacheField>
    <cacheField name="hoopla Binge Passes" numFmtId="0">
      <sharedItems containsString="0" containsBlank="1" containsNumber="1" containsInteger="1" minValue="87" maxValue="142"/>
    </cacheField>
    <cacheField name="hoopla Comics" numFmtId="0">
      <sharedItems containsString="0" containsBlank="1" containsNumber="1" containsInteger="1" minValue="462" maxValue="608"/>
    </cacheField>
    <cacheField name="hoopla Flex eAudio" numFmtId="0">
      <sharedItems containsString="0" containsBlank="1" containsNumber="1" containsInteger="1" minValue="3697" maxValue="3994"/>
    </cacheField>
    <cacheField name="hoopla Flex eBook " numFmtId="0">
      <sharedItems containsString="0" containsBlank="1" containsNumber="1" containsInteger="1" minValue="756" maxValue="834"/>
    </cacheField>
    <cacheField name="hoopla Instant eAudio" numFmtId="0">
      <sharedItems containsString="0" containsBlank="1" containsNumber="1" containsInteger="1" minValue="9594" maxValue="9946"/>
    </cacheField>
    <cacheField name="hoopla Instant eBook" numFmtId="0">
      <sharedItems containsString="0" containsBlank="1" containsNumber="1" containsInteger="1" minValue="2520" maxValue="2638"/>
    </cacheField>
    <cacheField name="hoopla Movies" numFmtId="0">
      <sharedItems containsString="0" containsBlank="1" containsNumber="1" containsInteger="1" minValue="633" maxValue="707"/>
    </cacheField>
    <cacheField name="hoopla Music" numFmtId="0">
      <sharedItems containsString="0" containsBlank="1" containsNumber="1" containsInteger="1" minValue="397" maxValue="984"/>
    </cacheField>
    <cacheField name="hoopla TV" numFmtId="0">
      <sharedItems containsString="0" containsBlank="1" containsNumber="1" containsInteger="1" minValue="262" maxValue="344"/>
    </cacheField>
    <cacheField name="Newsbank Newspapers" numFmtId="0">
      <sharedItems containsString="0" containsBlank="1" containsNumber="1" containsInteger="1" minValue="1055" maxValue="1328"/>
    </cacheField>
    <cacheField name="Libby eAudio" numFmtId="0">
      <sharedItems containsString="0" containsBlank="1" containsNumber="1" containsInteger="1" minValue="7641" maxValue="8026"/>
    </cacheField>
    <cacheField name="Libby eBook" numFmtId="0">
      <sharedItems containsString="0" containsBlank="1" containsNumber="1" containsInteger="1" minValue="12972" maxValue="16003"/>
    </cacheField>
    <cacheField name="Libby Magazines " numFmtId="0">
      <sharedItems containsString="0" containsBlank="1" containsNumber="1" containsInteger="1" minValue="4024" maxValue="4388"/>
    </cacheField>
    <cacheField name="Libby Streaming" numFmtId="0">
      <sharedItems containsString="0" containsBlank="1" containsNumber="1" containsInteger="1" minValue="7" maxValue="9"/>
    </cacheField>
    <cacheField name="Proquest: Ancestry Library Edition" numFmtId="0">
      <sharedItems containsString="0" containsBlank="1" containsNumber="1" containsInteger="1" minValue="787" maxValue="1613"/>
    </cacheField>
    <cacheField name="Proquest: Fold3" numFmtId="0">
      <sharedItems containsString="0" containsBlank="1" containsNumber="1" containsInteger="1" minValue="47" maxValue="290"/>
    </cacheField>
    <cacheField name="Proquest: Heritage Quest Online" numFmtId="0">
      <sharedItems containsString="0" containsBlank="1" containsNumber="1" containsInteger="1" minValue="193" maxValue="923"/>
    </cacheField>
    <cacheField name="Salem eBooks" numFmtId="0">
      <sharedItems containsString="0" containsBlank="1" containsNumber="1" containsInteger="1" minValue="0" maxValue="3"/>
    </cacheField>
    <cacheField name="Tutor" numFmtId="0">
      <sharedItems containsString="0" containsBlank="1" containsNumber="1" containsInteger="1" minValue="18" maxValue="62"/>
    </cacheField>
    <cacheField name="ValueLine Searches" numFmtId="0">
      <sharedItems containsString="0" containsBlank="1" containsNumber="1" containsInteger="1" minValue="10246" maxValue="11475"/>
    </cacheField>
    <cacheField name="Weiss Page Views" numFmtId="0">
      <sharedItems containsString="0" containsBlank="1" containsNumber="1" containsInteger="1" minValue="11" maxValue="34"/>
    </cacheField>
    <cacheField name="Weiss Searches" numFmtId="0">
      <sharedItems containsString="0" containsBlank="1" containsNumber="1" containsInteger="1" minValue="0" maxValue="2"/>
    </cacheField>
    <cacheField name="Weiss Sessions" numFmtId="0">
      <sharedItems containsString="0" containsBlank="1" containsNumber="1" containsInteger="1" minValue="0" maxValue="44"/>
    </cacheField>
    <cacheField name="Lote4Kids - Stories Watched" numFmtId="0">
      <sharedItems containsString="0" containsBlank="1" containsNumber="1" containsInteger="1" minValue="5" maxValue="61"/>
    </cacheField>
    <cacheField name="Lote4Kids - Activities" numFmtId="0">
      <sharedItems containsString="0" containsBlank="1" containsNumber="1" containsInteger="1" minValue="0" maxValue="2"/>
    </cacheField>
    <cacheField name="Lote4Kids - Logins" numFmtId="0">
      <sharedItems containsString="0" containsBlank="1" containsNumber="1" containsInteger="1" minValue="6" maxValue="16"/>
    </cacheField>
    <cacheField name="DigitalLearn - Sessions" numFmtId="0">
      <sharedItems containsBlank="1" containsMixedTypes="1" containsNumber="1" containsInteger="1" minValue="13" maxValue="13"/>
    </cacheField>
    <cacheField name="DigitalLearn - Completed Courses" numFmtId="0">
      <sharedItems containsBlank="1" containsMixedTypes="1" containsNumber="1" containsInteger="1" minValue="0" maxValue="0"/>
    </cacheField>
    <cacheField name="Year" numFmtId="0">
      <sharedItems containsString="0" containsBlank="1" containsNumber="1" containsInteger="1" minValue="2025" maxValue="2025" count="2">
        <n v="20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5833331" createdVersion="6" refreshedVersion="6" minRefreshableVersion="3" recordCount="161" xr:uid="{89BC3DD0-1715-4166-94EA-4AE07B70BA0A}">
  <cacheSource type="worksheet">
    <worksheetSource ref="J3:J8" sheet="Branch Stats"/>
  </cacheSource>
  <cacheFields count="54">
    <cacheField name="Month" numFmtId="0">
      <sharedItems count="24">
        <s v="04-April"/>
        <s v="08-August"/>
        <s v="12-December"/>
        <s v="02-February"/>
        <s v="01-January"/>
        <s v="07-July"/>
        <s v="03-March"/>
        <s v="05-May"/>
        <s v="11-November"/>
        <s v="10-October"/>
        <s v="09-September"/>
        <s v="06-June"/>
        <s v="August" u="1"/>
        <s v="May" u="1"/>
        <s v="April" u="1"/>
        <s v="October" u="1"/>
        <s v="February" u="1"/>
        <s v="November" u="1"/>
        <s v="December" u="1"/>
        <s v="September" u="1"/>
        <s v="June" u="1"/>
        <s v="March" u="1"/>
        <s v="July" u="1"/>
        <s v="January" u="1"/>
      </sharedItems>
    </cacheField>
    <cacheField name="BRANCH" numFmtId="0">
      <sharedItems count="8">
        <s v="ROCK HILL"/>
        <s v="CLOVER"/>
        <s v="FORT MILL"/>
        <s v="LAKE WYLIE"/>
        <s v="YORK"/>
        <s v="OUTREACH/BOOKMOBILE"/>
        <s v="YCL (System Wide)"/>
        <s v="OUTREACH / BOOKMOBILE"/>
      </sharedItems>
    </cacheField>
    <cacheField name="New Library Card Registrations, Adult (includes YA)" numFmtId="0">
      <sharedItems containsString="0" containsBlank="1" containsNumber="1" containsInteger="1" minValue="19" maxValue="329"/>
    </cacheField>
    <cacheField name="New Library Card Registrations, Juvenile" numFmtId="0">
      <sharedItems containsString="0" containsBlank="1" containsNumber="1" containsInteger="1" minValue="4" maxValue="846"/>
    </cacheField>
    <cacheField name="Gate Count" numFmtId="0">
      <sharedItems containsString="0" containsBlank="1" containsNumber="1" containsInteger="1" minValue="507" maxValue="19042"/>
    </cacheField>
    <cacheField name="PC Reservations" numFmtId="0">
      <sharedItems containsString="0" containsBlank="1" containsNumber="1" containsInteger="1" minValue="138" maxValue="2125"/>
    </cacheField>
    <cacheField name="WiFi - Unique Sessions" numFmtId="0">
      <sharedItems containsString="0" containsBlank="1" containsNumber="1" containsInteger="1" minValue="0" maxValue="3639"/>
    </cacheField>
    <cacheField name="External Party Library Room Use" numFmtId="0">
      <sharedItems containsString="0" containsBlank="1" containsNumber="1" containsInteger="1" minValue="0" maxValue="14"/>
    </cacheField>
    <cacheField name="Total Branch Circulation" numFmtId="0">
      <sharedItems containsString="0" containsBlank="1" containsNumber="1" containsInteger="1" minValue="1542" maxValue="171619"/>
    </cacheField>
    <cacheField name="Hotspots Circulation" numFmtId="0">
      <sharedItems containsString="0" containsBlank="1" containsNumber="1" containsInteger="1" minValue="0" maxValue="380"/>
    </cacheField>
    <cacheField name="Curbside" numFmtId="0">
      <sharedItems containsString="0" containsBlank="1" containsNumber="1" containsInteger="1" minValue="0" maxValue="42"/>
    </cacheField>
    <cacheField name="ILL - Sent (Main ONLY)" numFmtId="0">
      <sharedItems containsString="0" containsBlank="1" containsNumber="1" containsInteger="1" minValue="0" maxValue="122"/>
    </cacheField>
    <cacheField name="ILL - Received (Main ONLY)" numFmtId="0">
      <sharedItems containsString="0" containsBlank="1" containsNumber="1" containsInteger="1" minValue="0" maxValue="139"/>
    </cacheField>
    <cacheField name="ICLs - Sent (MAIN ONLY)" numFmtId="0">
      <sharedItems containsString="0" containsBlank="1" containsNumber="1" containsInteger="1" minValue="15" maxValue="9611"/>
    </cacheField>
    <cacheField name="ICLs - Received (MAIN ONLY)" numFmtId="0">
      <sharedItems containsString="0" containsBlank="1" containsNumber="1" containsInteger="1" minValue="397" maxValue="23150"/>
    </cacheField>
    <cacheField name="Total Prints per Month" numFmtId="0">
      <sharedItems containsString="0" containsBlank="1" containsNumber="1" containsInteger="1" minValue="107" maxValue="6526"/>
    </cacheField>
    <cacheField name="I2:  ONSITE Sessions 0-5" numFmtId="0">
      <sharedItems containsString="0" containsBlank="1" containsNumber="1" containsInteger="1" minValue="0" maxValue="40"/>
    </cacheField>
    <cacheField name="I3:   ONSITE Sessions 6-11" numFmtId="0">
      <sharedItems containsString="0" containsBlank="1" containsNumber="1" containsInteger="1" minValue="0" maxValue="73"/>
    </cacheField>
    <cacheField name="I4: ONSITE Sessions 12-18" numFmtId="0">
      <sharedItems containsString="0" containsBlank="1" containsNumber="1" containsInteger="1" minValue="0" maxValue="25"/>
    </cacheField>
    <cacheField name="I5:   ONSITE Sessions 19+" numFmtId="0">
      <sharedItems containsString="0" containsBlank="1" containsNumber="1" containsInteger="1" minValue="0" maxValue="29"/>
    </cacheField>
    <cacheField name="I6:  ONSITE Sessions GENERAL INTEREST" numFmtId="0">
      <sharedItems containsString="0" containsBlank="1" containsNumber="1" containsInteger="1" minValue="0" maxValue="17"/>
    </cacheField>
    <cacheField name="ONSITE Attendance 0-5" numFmtId="0">
      <sharedItems containsString="0" containsBlank="1" containsNumber="1" containsInteger="1" minValue="0" maxValue="1188"/>
    </cacheField>
    <cacheField name="ONSITE Attendance 6-11" numFmtId="0">
      <sharedItems containsString="0" containsBlank="1" containsNumber="1" containsInteger="1" minValue="0" maxValue="1357"/>
    </cacheField>
    <cacheField name="ONSITE Attendance 12-18" numFmtId="0">
      <sharedItems containsString="0" containsBlank="1" containsNumber="1" containsInteger="1" minValue="0" maxValue="1719"/>
    </cacheField>
    <cacheField name="ONSITE Attendance 19+" numFmtId="0">
      <sharedItems containsString="0" containsBlank="1" containsNumber="1" containsInteger="1" minValue="0" maxValue="292"/>
    </cacheField>
    <cacheField name="ONSITE Attendance General Interest" numFmtId="0">
      <sharedItems containsString="0" containsBlank="1" containsNumber="1" containsInteger="1" minValue="0" maxValue="1644"/>
    </cacheField>
    <cacheField name="OFFSITE Sessions 0-5" numFmtId="0">
      <sharedItems containsString="0" containsBlank="1" containsNumber="1" containsInteger="1" minValue="0" maxValue="0"/>
    </cacheField>
    <cacheField name="OFFSITE Sessions 6-11" numFmtId="0">
      <sharedItems containsString="0" containsBlank="1" containsNumber="1" containsInteger="1" minValue="0" maxValue="8"/>
    </cacheField>
    <cacheField name="OFFSITE Sessions 12-18" numFmtId="0">
      <sharedItems containsString="0" containsBlank="1" containsNumber="1" containsInteger="1" minValue="0" maxValue="0"/>
    </cacheField>
    <cacheField name="OFFSITE Sessions 19+" numFmtId="0">
      <sharedItems containsString="0" containsBlank="1" containsNumber="1" containsInteger="1" minValue="0" maxValue="2"/>
    </cacheField>
    <cacheField name="OFFSITE Sessions General Interest" numFmtId="0">
      <sharedItems containsString="0" containsBlank="1" containsNumber="1" containsInteger="1" minValue="0" maxValue="0"/>
    </cacheField>
    <cacheField name="OFFSITE Attendance 0-5" numFmtId="0">
      <sharedItems containsString="0" containsBlank="1" containsNumber="1" containsInteger="1" minValue="0" maxValue="0"/>
    </cacheField>
    <cacheField name="OFFSITE Attendance 6-11" numFmtId="0">
      <sharedItems containsString="0" containsBlank="1" containsNumber="1" containsInteger="1" minValue="0" maxValue="2010"/>
    </cacheField>
    <cacheField name="OFFSITE Attendance 12-18" numFmtId="0">
      <sharedItems containsString="0" containsBlank="1" containsNumber="1" containsInteger="1" minValue="0" maxValue="0"/>
    </cacheField>
    <cacheField name="OFFSITE Attendance 19+" numFmtId="0">
      <sharedItems containsString="0" containsBlank="1" containsNumber="1" containsInteger="1" minValue="0" maxValue="20"/>
    </cacheField>
    <cacheField name="OFFSITE Attendance General Interest" numFmtId="0">
      <sharedItems containsString="0" containsBlank="1" containsNumber="1" containsInteger="1" minValue="0" maxValue="0"/>
    </cacheField>
    <cacheField name="VIRTUAL Sessions 0-5" numFmtId="0">
      <sharedItems containsString="0" containsBlank="1" containsNumber="1" containsInteger="1" minValue="0" maxValue="0"/>
    </cacheField>
    <cacheField name="VIRTUAL Sessions 6-11" numFmtId="0">
      <sharedItems containsString="0" containsBlank="1" containsNumber="1" containsInteger="1" minValue="0" maxValue="0"/>
    </cacheField>
    <cacheField name="VIRTUAL Sessions 12-18" numFmtId="0">
      <sharedItems containsString="0" containsBlank="1" containsNumber="1" containsInteger="1" minValue="0" maxValue="1"/>
    </cacheField>
    <cacheField name="VIRTUAL Sessions 19+" numFmtId="0">
      <sharedItems containsString="0" containsBlank="1" containsNumber="1" containsInteger="1" minValue="0" maxValue="2"/>
    </cacheField>
    <cacheField name="VIRTUAL Sessions General Interest" numFmtId="0">
      <sharedItems containsString="0" containsBlank="1" containsNumber="1" containsInteger="1" minValue="0" maxValue="0"/>
    </cacheField>
    <cacheField name="VIRTUAL Attendance 0-5" numFmtId="0">
      <sharedItems containsString="0" containsBlank="1" containsNumber="1" containsInteger="1" minValue="0" maxValue="0"/>
    </cacheField>
    <cacheField name="VIRTUAL Attendance 6-11" numFmtId="0">
      <sharedItems containsString="0" containsBlank="1" containsNumber="1" containsInteger="1" minValue="0" maxValue="0"/>
    </cacheField>
    <cacheField name="VIRTUAL Attendance 12-18" numFmtId="0">
      <sharedItems containsString="0" containsBlank="1" containsNumber="1" containsInteger="1" minValue="0" maxValue="5"/>
    </cacheField>
    <cacheField name="VIRTUAL Attendance 19+" numFmtId="0">
      <sharedItems containsString="0" containsBlank="1" containsNumber="1" containsInteger="1" minValue="0" maxValue="35"/>
    </cacheField>
    <cacheField name="VIRTUAL Attendance General Interest" numFmtId="0">
      <sharedItems containsString="0" containsBlank="1" containsNumber="1" containsInteger="1" minValue="0" maxValue="0"/>
    </cacheField>
    <cacheField name="I21: NUMBER OF OUTREACH ACTIVITIES Conducted" numFmtId="0">
      <sharedItems containsString="0" containsBlank="1" containsNumber="1" containsInteger="1" minValue="0" maxValue="3"/>
    </cacheField>
    <cacheField name="Outreach Attendance (YCL Internal)" numFmtId="0">
      <sharedItems containsString="0" containsBlank="1" containsNumber="1" containsInteger="1" minValue="0" maxValue="184"/>
    </cacheField>
    <cacheField name="I22: TOTAL # TAKE &amp; MAKES and OTHER PASSIVE PROGRAM PARTICIPANTS_x000a_" numFmtId="0">
      <sharedItems containsString="0" containsBlank="1" containsNumber="1" containsInteger="1" minValue="0" maxValue="988"/>
    </cacheField>
    <cacheField name="I23: NUMBER OF STAFF TAKING TRAINING" numFmtId="0">
      <sharedItems containsString="0" containsBlank="1" containsNumber="1" containsInteger="1" minValue="0" maxValue="50"/>
    </cacheField>
    <cacheField name="I24: NUMBER OF HOURS STAFF ATTENDED TRAINING" numFmtId="0">
      <sharedItems containsString="0" containsBlank="1" containsNumber="1" minValue="0" maxValue="375"/>
    </cacheField>
    <cacheField name="1-on-1 Total for Month" numFmtId="0">
      <sharedItems containsString="0" containsBlank="1" containsNumber="1" containsInteger="1" minValue="0" maxValue="21"/>
    </cacheField>
    <cacheField name="Email Address" numFmtId="0">
      <sharedItems containsNonDate="0" containsString="0" containsBlank="1"/>
    </cacheField>
    <cacheField name="Year" numFmtId="0">
      <sharedItems containsSemiMixedTypes="0" containsString="0" containsNumber="1" containsInteger="1" minValue="2024" maxValue="2026" count="3">
        <n v="2024"/>
        <n v="2025"/>
        <n v="2026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6180555" createdVersion="6" refreshedVersion="6" minRefreshableVersion="3" recordCount="23" xr:uid="{EE1DCA26-4502-4993-A9CD-EF25455FC6B7}">
  <cacheSource type="worksheet">
    <worksheetSource ref="A1:AB24" sheet="Online Stats"/>
  </cacheSource>
  <cacheFields count="27">
    <cacheField name="Month" numFmtId="16">
      <sharedItems containsNonDate="0" containsDate="1" containsMixedTypes="1" minDate="2026-01-01T00:00:00" maxDate="2026-12-13T00:00:00" count="24">
        <d v="2026-07-07T00:00:00"/>
        <d v="2026-08-08T00:00:00"/>
        <d v="2026-10-10T00:00:00"/>
        <d v="2026-09-09T00:00:00"/>
        <d v="2026-11-11T00:00:00"/>
        <d v="2026-12-12T00:00:00"/>
        <d v="2026-01-01T00:00:00"/>
        <d v="2026-02-02T00:00:00"/>
        <d v="2026-03-03T00:00:00"/>
        <d v="2026-04-04T00:00:00"/>
        <d v="2026-05-05T00:00:00"/>
        <d v="2026-06-06T00:00:00"/>
        <s v="August" u="1"/>
        <s v="May" u="1"/>
        <s v="April" u="1"/>
        <s v="October" u="1"/>
        <s v="February" u="1"/>
        <s v="November" u="1"/>
        <s v="December" u="1"/>
        <s v="September" u="1"/>
        <s v="June" u="1"/>
        <s v="March" u="1"/>
        <s v="July" u="1"/>
        <s v="January" u="1"/>
      </sharedItems>
    </cacheField>
    <cacheField name="yclibrary.org - web sessions" numFmtId="0">
      <sharedItems containsString="0" containsBlank="1" containsNumber="1" containsInteger="1" minValue="23158" maxValue="44243"/>
    </cacheField>
    <cacheField name="ychistory.org - views" numFmtId="0">
      <sharedItems containsString="0" containsBlank="1" containsNumber="1" containsInteger="1" minValue="74" maxValue="193"/>
    </cacheField>
    <cacheField name="patchworktales.org  - views" numFmtId="0">
      <sharedItems containsString="0" containsBlank="1" containsNumber="1" containsInteger="1" minValue="85" maxValue="2733"/>
    </cacheField>
    <cacheField name="Dial A Story - CALLS" numFmtId="0">
      <sharedItems containsString="0" containsBlank="1" containsNumber="1" containsInteger="1" minValue="45" maxValue="231"/>
    </cacheField>
    <cacheField name="Dial A Story - VIEWS" numFmtId="0">
      <sharedItems containsString="0" containsBlank="1" containsNumber="1" containsInteger="1" minValue="98" maxValue="191"/>
    </cacheField>
    <cacheField name="DSpace - Views" numFmtId="0">
      <sharedItems containsString="0" containsBlank="1" containsNumber="1" containsInteger="1" minValue="16" maxValue="131"/>
    </cacheField>
    <cacheField name="Beanstack - Sessions" numFmtId="0">
      <sharedItems containsString="0" containsBlank="1" containsNumber="1" containsInteger="1" minValue="155" maxValue="4452"/>
    </cacheField>
    <cacheField name="LibraryCalendar - Sessions" numFmtId="0">
      <sharedItems containsString="0" containsBlank="1" containsNumber="1" containsInteger="1" minValue="7589" maxValue="12501"/>
    </cacheField>
    <cacheField name="LibGuides - Sessions" numFmtId="0">
      <sharedItems containsString="0" containsBlank="1" containsNumber="1" containsInteger="1" minValue="5" maxValue="24"/>
    </cacheField>
    <cacheField name="DigitalLearn.org - Sessions" numFmtId="0">
      <sharedItems containsString="0" containsBlank="1" containsNumber="1" containsInteger="1" minValue="6" maxValue="24"/>
    </cacheField>
    <cacheField name="DigitalLearn.org - Completed Courses" numFmtId="0">
      <sharedItems containsString="0" containsBlank="1" containsNumber="1" containsInteger="1" minValue="0" maxValue="5"/>
    </cacheField>
    <cacheField name="LOTE4Kids - Stories Watched" numFmtId="0">
      <sharedItems containsString="0" containsBlank="1" containsNumber="1" containsInteger="1" minValue="3" maxValue="115"/>
    </cacheField>
    <cacheField name="LOTE4Kids - Actvitities" numFmtId="0">
      <sharedItems containsString="0" containsBlank="1" containsNumber="1" containsInteger="1" minValue="0" maxValue="59"/>
    </cacheField>
    <cacheField name="LOTE4Kids - Logins" numFmtId="0">
      <sharedItems containsString="0" containsBlank="1" containsNumber="1" containsInteger="1" minValue="6" maxValue="6"/>
    </cacheField>
    <cacheField name="Youtube - Subscribers" numFmtId="0">
      <sharedItems containsString="0" containsBlank="1" containsNumber="1" containsInteger="1" minValue="1160" maxValue="1250"/>
    </cacheField>
    <cacheField name="YouTube - Views" numFmtId="0">
      <sharedItems containsString="0" containsBlank="1" containsNumber="1" containsInteger="1" minValue="1301" maxValue="7639"/>
    </cacheField>
    <cacheField name="YouTube - Hours Watched" numFmtId="0">
      <sharedItems containsString="0" containsBlank="1" containsNumber="1" minValue="57.5" maxValue="201.6"/>
    </cacheField>
    <cacheField name="YCL News - Subscriber" numFmtId="0">
      <sharedItems containsString="0" containsBlank="1" containsNumber="1" containsInteger="1" minValue="787" maxValue="813"/>
    </cacheField>
    <cacheField name="Website Messages" numFmtId="0">
      <sharedItems containsString="0" containsBlank="1" containsNumber="1" containsInteger="1" minValue="32" maxValue="133"/>
    </cacheField>
    <cacheField name="YCL - App - Users" numFmtId="0">
      <sharedItems containsString="0" containsBlank="1" containsNumber="1" containsInteger="1" minValue="1731" maxValue="2119"/>
    </cacheField>
    <cacheField name="YCL - App - Sessions" numFmtId="0">
      <sharedItems containsString="0" containsBlank="1" containsNumber="1" containsInteger="1" minValue="9724" maxValue="10556"/>
    </cacheField>
    <cacheField name="Facebook Followers" numFmtId="0">
      <sharedItems containsString="0" containsBlank="1" containsNumber="1" containsInteger="1" minValue="7985" maxValue="9302"/>
    </cacheField>
    <cacheField name="Instragram - Subscribers" numFmtId="0">
      <sharedItems containsString="0" containsBlank="1" containsNumber="1" containsInteger="1" minValue="1805" maxValue="2193"/>
    </cacheField>
    <cacheField name="YouTube Uploads" numFmtId="0">
      <sharedItems containsString="0" containsBlank="1" containsNumber="1" containsInteger="1" minValue="0" maxValue="6"/>
    </cacheField>
    <cacheField name="Dial A Story Uploads" numFmtId="0">
      <sharedItems containsString="0" containsBlank="1" containsNumber="1" containsInteger="1" minValue="8" maxValue="68"/>
    </cacheField>
    <cacheField name="Year" numFmtId="0">
      <sharedItems containsSemiMixedTypes="0" containsString="0" containsNumber="1" containsInteger="1" minValue="2024" maxValue="2025" count="2">
        <n v="2025"/>
        <n v="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7685186" createdVersion="6" refreshedVersion="6" minRefreshableVersion="3" recordCount="256" xr:uid="{6E965178-461E-4E73-84C5-4A5DDE78B063}">
  <cacheSource type="worksheet">
    <worksheetSource ref="J1:J1048576" sheet="Branch Stats"/>
  </cacheSource>
  <cacheFields count="55">
    <cacheField name="Timestamp" numFmtId="0">
      <sharedItems containsString="0" containsBlank="1" containsNumber="1" minValue="45887.602997870366" maxValue="46086.469259259262"/>
    </cacheField>
    <cacheField name="Month" numFmtId="0">
      <sharedItems containsBlank="1"/>
    </cacheField>
    <cacheField name="BRANCH" numFmtId="0">
      <sharedItems containsBlank="1"/>
    </cacheField>
    <cacheField name="New Library Card Registrations, Adult (includes YA)" numFmtId="0">
      <sharedItems containsString="0" containsBlank="1" containsNumber="1" containsInteger="1" minValue="1" maxValue="376"/>
    </cacheField>
    <cacheField name="New Library Card Registrations, Juvenile" numFmtId="0">
      <sharedItems containsString="0" containsBlank="1" containsNumber="1" containsInteger="1" minValue="2" maxValue="846"/>
    </cacheField>
    <cacheField name="Gate Count" numFmtId="0">
      <sharedItems containsString="0" containsBlank="1" containsNumber="1" containsInteger="1" minValue="0" maxValue="20248"/>
    </cacheField>
    <cacheField name="PC Reservations" numFmtId="0">
      <sharedItems containsString="0" containsBlank="1" containsNumber="1" containsInteger="1" minValue="0" maxValue="2158"/>
    </cacheField>
    <cacheField name="WiFi - Unique Sessions" numFmtId="0">
      <sharedItems containsString="0" containsBlank="1" containsNumber="1" containsInteger="1" minValue="0" maxValue="10094"/>
    </cacheField>
    <cacheField name="External Party Library Room Use" numFmtId="0">
      <sharedItems containsString="0" containsBlank="1" containsNumber="1" containsInteger="1" minValue="0" maxValue="24"/>
    </cacheField>
    <cacheField name="Total Branch Circulation" numFmtId="0">
      <sharedItems containsString="0" containsBlank="1" containsNumber="1" containsInteger="1" minValue="31" maxValue="171619"/>
    </cacheField>
    <cacheField name="Hotspots Circulation" numFmtId="0">
      <sharedItems containsString="0" containsBlank="1" containsNumber="1" containsInteger="1" minValue="0" maxValue="380"/>
    </cacheField>
    <cacheField name="Curbside" numFmtId="0">
      <sharedItems containsString="0" containsBlank="1" containsNumber="1" containsInteger="1" minValue="0" maxValue="42"/>
    </cacheField>
    <cacheField name="ILL - Sent (Main ONLY)" numFmtId="0">
      <sharedItems containsString="0" containsBlank="1" containsNumber="1" containsInteger="1" minValue="0" maxValue="122"/>
    </cacheField>
    <cacheField name="ILL - Received (Main ONLY)" numFmtId="0">
      <sharedItems containsString="0" containsBlank="1" containsNumber="1" containsInteger="1" minValue="0" maxValue="139"/>
    </cacheField>
    <cacheField name="ICLs - Sent (MAIN ONLY)" numFmtId="0">
      <sharedItems containsString="0" containsBlank="1" containsNumber="1" containsInteger="1" minValue="0" maxValue="9611"/>
    </cacheField>
    <cacheField name="ICLs - Received (MAIN ONLY)" numFmtId="0">
      <sharedItems containsString="0" containsBlank="1" containsNumber="1" containsInteger="1" minValue="0" maxValue="23150"/>
    </cacheField>
    <cacheField name="Total Prints per Month" numFmtId="0">
      <sharedItems containsString="0" containsBlank="1" containsNumber="1" containsInteger="1" minValue="0" maxValue="6526"/>
    </cacheField>
    <cacheField name="I2:  ONSITE Sessions 0-5" numFmtId="0">
      <sharedItems containsString="0" containsBlank="1" containsNumber="1" containsInteger="1" minValue="0" maxValue="40"/>
    </cacheField>
    <cacheField name="I3:   ONSITE Sessions 6-11" numFmtId="0">
      <sharedItems containsString="0" containsBlank="1" containsNumber="1" containsInteger="1" minValue="0" maxValue="73"/>
    </cacheField>
    <cacheField name="I4: ONSITE Sessions 12-18" numFmtId="0">
      <sharedItems containsString="0" containsBlank="1" containsNumber="1" containsInteger="1" minValue="0" maxValue="25"/>
    </cacheField>
    <cacheField name="I5:   ONSITE Sessions 19+" numFmtId="0">
      <sharedItems containsString="0" containsBlank="1" containsNumber="1" containsInteger="1" minValue="0" maxValue="29"/>
    </cacheField>
    <cacheField name="I6:  ONSITE Sessions GENERAL INTEREST" numFmtId="0">
      <sharedItems containsString="0" containsBlank="1" containsNumber="1" containsInteger="1" minValue="0" maxValue="19"/>
    </cacheField>
    <cacheField name="ONSITE Attendance 0-5" numFmtId="0">
      <sharedItems containsString="0" containsBlank="1" containsNumber="1" containsInteger="1" minValue="0" maxValue="1301"/>
    </cacheField>
    <cacheField name="ONSITE Attendance 6-11" numFmtId="0">
      <sharedItems containsString="0" containsBlank="1" containsNumber="1" containsInteger="1" minValue="0" maxValue="1357"/>
    </cacheField>
    <cacheField name="ONSITE Attendance 12-18" numFmtId="0">
      <sharedItems containsString="0" containsBlank="1" containsNumber="1" containsInteger="1" minValue="0" maxValue="1719"/>
    </cacheField>
    <cacheField name="ONSITE Attendance 19+" numFmtId="0">
      <sharedItems containsString="0" containsBlank="1" containsNumber="1" containsInteger="1" minValue="0" maxValue="292"/>
    </cacheField>
    <cacheField name="ONSITE Attendance General Interest" numFmtId="0">
      <sharedItems containsString="0" containsBlank="1" containsNumber="1" containsInteger="1" minValue="0" maxValue="1912"/>
    </cacheField>
    <cacheField name="OFFSITE Sessions 0-5" numFmtId="0">
      <sharedItems containsString="0" containsBlank="1" containsNumber="1" containsInteger="1" minValue="0" maxValue="20"/>
    </cacheField>
    <cacheField name="OFFSITE Sessions 6-11" numFmtId="0">
      <sharedItems containsString="0" containsBlank="1" containsNumber="1" containsInteger="1" minValue="0" maxValue="8"/>
    </cacheField>
    <cacheField name="OFFSITE Sessions 12-18" numFmtId="0">
      <sharedItems containsString="0" containsBlank="1" containsNumber="1" containsInteger="1" minValue="0" maxValue="15"/>
    </cacheField>
    <cacheField name="OFFSITE Sessions 19+" numFmtId="0">
      <sharedItems containsString="0" containsBlank="1" containsNumber="1" containsInteger="1" minValue="0" maxValue="12"/>
    </cacheField>
    <cacheField name="OFFSITE Sessions General Interest" numFmtId="0">
      <sharedItems containsString="0" containsBlank="1" containsNumber="1" containsInteger="1" minValue="0" maxValue="7"/>
    </cacheField>
    <cacheField name="OFFSITE Attendance 0-5" numFmtId="0">
      <sharedItems containsString="0" containsBlank="1" containsNumber="1" containsInteger="1" minValue="0" maxValue="500"/>
    </cacheField>
    <cacheField name="OFFSITE Attendance 6-11" numFmtId="0">
      <sharedItems containsString="0" containsBlank="1" containsNumber="1" containsInteger="1" minValue="0" maxValue="2010"/>
    </cacheField>
    <cacheField name="OFFSITE Attendance 12-18" numFmtId="0">
      <sharedItems containsString="0" containsBlank="1" containsNumber="1" containsInteger="1" minValue="0" maxValue="1406"/>
    </cacheField>
    <cacheField name="OFFSITE Attendance 19+" numFmtId="0">
      <sharedItems containsString="0" containsBlank="1" containsNumber="1" containsInteger="1" minValue="0" maxValue="126"/>
    </cacheField>
    <cacheField name="OFFSITE Attendance General Interest" numFmtId="0">
      <sharedItems containsString="0" containsBlank="1" containsNumber="1" containsInteger="1" minValue="0" maxValue="656"/>
    </cacheField>
    <cacheField name="VIRTUAL Sessions 0-5" numFmtId="0">
      <sharedItems containsString="0" containsBlank="1" containsNumber="1" containsInteger="1" minValue="0" maxValue="0"/>
    </cacheField>
    <cacheField name="VIRTUAL Sessions 6-11" numFmtId="0">
      <sharedItems containsString="0" containsBlank="1" containsNumber="1" containsInteger="1" minValue="0" maxValue="2"/>
    </cacheField>
    <cacheField name="VIRTUAL Sessions 12-18" numFmtId="0">
      <sharedItems containsString="0" containsBlank="1" containsNumber="1" containsInteger="1" minValue="0" maxValue="1"/>
    </cacheField>
    <cacheField name="VIRTUAL Sessions 19+" numFmtId="0">
      <sharedItems containsString="0" containsBlank="1" containsNumber="1" containsInteger="1" minValue="0" maxValue="5"/>
    </cacheField>
    <cacheField name="VIRTUAL Sessions General Interest" numFmtId="0">
      <sharedItems containsString="0" containsBlank="1" containsNumber="1" containsInteger="1" minValue="0" maxValue="1"/>
    </cacheField>
    <cacheField name="VIRTUAL Attendance 0-5" numFmtId="0">
      <sharedItems containsString="0" containsBlank="1" containsNumber="1" containsInteger="1" minValue="0" maxValue="0"/>
    </cacheField>
    <cacheField name="VIRTUAL Attendance 6-11" numFmtId="0">
      <sharedItems containsString="0" containsBlank="1" containsNumber="1" containsInteger="1" minValue="0" maxValue="10"/>
    </cacheField>
    <cacheField name="VIRTUAL Attendance 12-18" numFmtId="0">
      <sharedItems containsString="0" containsBlank="1" containsNumber="1" containsInteger="1" minValue="0" maxValue="156"/>
    </cacheField>
    <cacheField name="VIRTUAL Attendance 19+" numFmtId="0">
      <sharedItems containsString="0" containsBlank="1" containsNumber="1" containsInteger="1" minValue="0" maxValue="49"/>
    </cacheField>
    <cacheField name="VIRTUAL Attendance General Interest" numFmtId="0">
      <sharedItems containsString="0" containsBlank="1" containsNumber="1" containsInteger="1" minValue="0" maxValue="98"/>
    </cacheField>
    <cacheField name="I21: NUMBER OF OUTREACH ACTIVITIES Conducted" numFmtId="0">
      <sharedItems containsString="0" containsBlank="1" containsNumber="1" containsInteger="1" minValue="0" maxValue="7"/>
    </cacheField>
    <cacheField name="Outreach Attendance (YCL Internal)" numFmtId="0">
      <sharedItems containsString="0" containsBlank="1" containsNumber="1" containsInteger="1" minValue="0" maxValue="2428"/>
    </cacheField>
    <cacheField name="I22: TOTAL # TAKE &amp; MAKES and OTHER PASSIVE PROGRAM PARTICIPANTS_x000a_" numFmtId="0">
      <sharedItems containsString="0" containsBlank="1" containsNumber="1" containsInteger="1" minValue="0" maxValue="2292"/>
    </cacheField>
    <cacheField name="I23: NUMBER OF STAFF TAKING TRAINING" numFmtId="0">
      <sharedItems containsString="0" containsBlank="1" containsNumber="1" containsInteger="1" minValue="0" maxValue="66"/>
    </cacheField>
    <cacheField name="I24: NUMBER OF HOURS STAFF ATTENDED TRAINING" numFmtId="0">
      <sharedItems containsString="0" containsBlank="1" containsNumber="1" minValue="0" maxValue="375"/>
    </cacheField>
    <cacheField name="1-on-1 Total for Month" numFmtId="0">
      <sharedItems containsString="0" containsBlank="1" containsNumber="1" containsInteger="1" minValue="0" maxValue="21"/>
    </cacheField>
    <cacheField name="Email Address" numFmtId="0">
      <sharedItems containsBlank="1"/>
    </cacheField>
    <cacheField name="Year" numFmtId="0">
      <sharedItems containsString="0" containsBlank="1" containsNumber="1" containsInteger="1" minValue="2024" maxValue="2026" count="4">
        <n v="2024"/>
        <n v="2025"/>
        <n v="202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82944097221" createdVersion="6" refreshedVersion="6" minRefreshableVersion="3" recordCount="213" xr:uid="{CB777356-77DC-4A43-AC88-57C8D2B80DB3}">
  <cacheSource type="worksheet">
    <worksheetSource ref="J3:J8" sheet="Branch Stats"/>
  </cacheSource>
  <cacheFields count="55">
    <cacheField name="Month" numFmtId="0">
      <sharedItems/>
    </cacheField>
    <cacheField name="BRANCH" numFmtId="0">
      <sharedItems/>
    </cacheField>
    <cacheField name="New Library Card Registrations, Adult (includes YA)" numFmtId="0">
      <sharedItems containsString="0" containsBlank="1" containsNumber="1" containsInteger="1" minValue="2" maxValue="349"/>
    </cacheField>
    <cacheField name="New Library Card Registrations, Juvenile" numFmtId="0">
      <sharedItems containsString="0" containsBlank="1" containsNumber="1" containsInteger="1" minValue="2" maxValue="846"/>
    </cacheField>
    <cacheField name="Gate Count" numFmtId="0">
      <sharedItems containsString="0" containsBlank="1" containsNumber="1" containsInteger="1" minValue="0" maxValue="20248"/>
    </cacheField>
    <cacheField name="PC Reservations" numFmtId="0">
      <sharedItems containsString="0" containsBlank="1" containsNumber="1" containsInteger="1" minValue="0" maxValue="2158"/>
    </cacheField>
    <cacheField name="WiFi - Unique Sessions" numFmtId="0">
      <sharedItems containsString="0" containsBlank="1" containsNumber="1" containsInteger="1" minValue="0" maxValue="10094"/>
    </cacheField>
    <cacheField name="External Party Library Room Use" numFmtId="0">
      <sharedItems containsString="0" containsBlank="1" containsNumber="1" containsInteger="1" minValue="0" maxValue="21"/>
    </cacheField>
    <cacheField name="Total Branch Circulation" numFmtId="0">
      <sharedItems containsString="0" containsBlank="1" containsNumber="1" containsInteger="1" minValue="38" maxValue="171619"/>
    </cacheField>
    <cacheField name="Hotspots Circulation" numFmtId="0">
      <sharedItems containsString="0" containsBlank="1" containsNumber="1" containsInteger="1" minValue="0" maxValue="380"/>
    </cacheField>
    <cacheField name="Curbside" numFmtId="0">
      <sharedItems containsString="0" containsBlank="1" containsNumber="1" containsInteger="1" minValue="0" maxValue="42"/>
    </cacheField>
    <cacheField name="ILL - Sent (Main ONLY)" numFmtId="0">
      <sharedItems containsString="0" containsBlank="1" containsNumber="1" containsInteger="1" minValue="0" maxValue="122"/>
    </cacheField>
    <cacheField name="ILL - Received (Main ONLY)" numFmtId="0">
      <sharedItems containsString="0" containsBlank="1" containsNumber="1" containsInteger="1" minValue="0" maxValue="139"/>
    </cacheField>
    <cacheField name="ICLs - Sent (MAIN ONLY)" numFmtId="0">
      <sharedItems containsString="0" containsBlank="1" containsNumber="1" containsInteger="1" minValue="7" maxValue="9611"/>
    </cacheField>
    <cacheField name="ICLs - Received (MAIN ONLY)" numFmtId="0">
      <sharedItems containsString="0" containsBlank="1" containsNumber="1" containsInteger="1" minValue="309" maxValue="23150"/>
    </cacheField>
    <cacheField name="Total Prints per Month" numFmtId="0">
      <sharedItems containsString="0" containsBlank="1" containsNumber="1" containsInteger="1" minValue="0" maxValue="6526"/>
    </cacheField>
    <cacheField name="I2:  ONSITE Sessions 0-5" numFmtId="0">
      <sharedItems containsString="0" containsBlank="1" containsNumber="1" containsInteger="1" minValue="0" maxValue="40"/>
    </cacheField>
    <cacheField name="I3:   ONSITE Sessions 6-11" numFmtId="0">
      <sharedItems containsString="0" containsBlank="1" containsNumber="1" containsInteger="1" minValue="0" maxValue="73"/>
    </cacheField>
    <cacheField name="I4: ONSITE Sessions 12-18" numFmtId="0">
      <sharedItems containsString="0" containsBlank="1" containsNumber="1" containsInteger="1" minValue="0" maxValue="25"/>
    </cacheField>
    <cacheField name="I5:   ONSITE Sessions 19+" numFmtId="0">
      <sharedItems containsString="0" containsBlank="1" containsNumber="1" containsInteger="1" minValue="0" maxValue="29"/>
    </cacheField>
    <cacheField name="I6:  ONSITE Sessions GENERAL INTEREST" numFmtId="0">
      <sharedItems containsString="0" containsBlank="1" containsNumber="1" containsInteger="1" minValue="0" maxValue="19"/>
    </cacheField>
    <cacheField name="ONSITE Attendance 0-5" numFmtId="0">
      <sharedItems containsString="0" containsBlank="1" containsNumber="1" containsInteger="1" minValue="0" maxValue="1188"/>
    </cacheField>
    <cacheField name="ONSITE Attendance 6-11" numFmtId="0">
      <sharedItems containsString="0" containsBlank="1" containsNumber="1" containsInteger="1" minValue="0" maxValue="1357"/>
    </cacheField>
    <cacheField name="ONSITE Attendance 12-18" numFmtId="0">
      <sharedItems containsString="0" containsBlank="1" containsNumber="1" containsInteger="1" minValue="0" maxValue="1719"/>
    </cacheField>
    <cacheField name="ONSITE Attendance 19+" numFmtId="0">
      <sharedItems containsString="0" containsBlank="1" containsNumber="1" containsInteger="1" minValue="0" maxValue="292"/>
    </cacheField>
    <cacheField name="ONSITE Attendance General Interest" numFmtId="0">
      <sharedItems containsString="0" containsBlank="1" containsNumber="1" containsInteger="1" minValue="0" maxValue="1912"/>
    </cacheField>
    <cacheField name="OFFSITE Sessions 0-5" numFmtId="0">
      <sharedItems containsString="0" containsBlank="1" containsNumber="1" containsInteger="1" minValue="0" maxValue="20"/>
    </cacheField>
    <cacheField name="OFFSITE Sessions 6-11" numFmtId="0">
      <sharedItems containsString="0" containsBlank="1" containsNumber="1" containsInteger="1" minValue="0" maxValue="8"/>
    </cacheField>
    <cacheField name="OFFSITE Sessions 12-18" numFmtId="0">
      <sharedItems containsString="0" containsBlank="1" containsNumber="1" containsInteger="1" minValue="0" maxValue="13"/>
    </cacheField>
    <cacheField name="OFFSITE Sessions 19+" numFmtId="0">
      <sharedItems containsString="0" containsBlank="1" containsNumber="1" containsInteger="1" minValue="0" maxValue="8"/>
    </cacheField>
    <cacheField name="OFFSITE Sessions General Interest" numFmtId="0">
      <sharedItems containsString="0" containsBlank="1" containsNumber="1" containsInteger="1" minValue="0" maxValue="4"/>
    </cacheField>
    <cacheField name="OFFSITE Attendance 0-5" numFmtId="0">
      <sharedItems containsString="0" containsBlank="1" containsNumber="1" containsInteger="1" minValue="0" maxValue="500"/>
    </cacheField>
    <cacheField name="OFFSITE Attendance 6-11" numFmtId="0">
      <sharedItems containsString="0" containsBlank="1" containsNumber="1" containsInteger="1" minValue="0" maxValue="2010"/>
    </cacheField>
    <cacheField name="OFFSITE Attendance 12-18" numFmtId="0">
      <sharedItems containsString="0" containsBlank="1" containsNumber="1" containsInteger="1" minValue="0" maxValue="367"/>
    </cacheField>
    <cacheField name="OFFSITE Attendance 19+" numFmtId="0">
      <sharedItems containsString="0" containsBlank="1" containsNumber="1" containsInteger="1" minValue="0" maxValue="71"/>
    </cacheField>
    <cacheField name="OFFSITE Attendance General Interest" numFmtId="0">
      <sharedItems containsString="0" containsBlank="1" containsNumber="1" containsInteger="1" minValue="0" maxValue="121"/>
    </cacheField>
    <cacheField name="VIRTUAL Sessions 0-5" numFmtId="0">
      <sharedItems containsString="0" containsBlank="1" containsNumber="1" containsInteger="1" minValue="0" maxValue="0"/>
    </cacheField>
    <cacheField name="VIRTUAL Sessions 6-11" numFmtId="0">
      <sharedItems containsString="0" containsBlank="1" containsNumber="1" containsInteger="1" minValue="0" maxValue="2"/>
    </cacheField>
    <cacheField name="VIRTUAL Sessions 12-18" numFmtId="0">
      <sharedItems containsString="0" containsBlank="1" containsNumber="1" containsInteger="1" minValue="0" maxValue="1"/>
    </cacheField>
    <cacheField name="VIRTUAL Sessions 19+" numFmtId="0">
      <sharedItems containsString="0" containsBlank="1" containsNumber="1" containsInteger="1" minValue="0" maxValue="2"/>
    </cacheField>
    <cacheField name="VIRTUAL Sessions General Interest" numFmtId="0">
      <sharedItems containsString="0" containsBlank="1" containsNumber="1" containsInteger="1" minValue="0" maxValue="0"/>
    </cacheField>
    <cacheField name="VIRTUAL Attendance 0-5" numFmtId="0">
      <sharedItems containsString="0" containsBlank="1" containsNumber="1" containsInteger="1" minValue="0" maxValue="0"/>
    </cacheField>
    <cacheField name="VIRTUAL Attendance 6-11" numFmtId="0">
      <sharedItems containsString="0" containsBlank="1" containsNumber="1" containsInteger="1" minValue="0" maxValue="10"/>
    </cacheField>
    <cacheField name="VIRTUAL Attendance 12-18" numFmtId="0">
      <sharedItems containsString="0" containsBlank="1" containsNumber="1" containsInteger="1" minValue="0" maxValue="5"/>
    </cacheField>
    <cacheField name="VIRTUAL Attendance 19+" numFmtId="0">
      <sharedItems containsString="0" containsBlank="1" containsNumber="1" containsInteger="1" minValue="0" maxValue="43"/>
    </cacheField>
    <cacheField name="VIRTUAL Attendance General Interest" numFmtId="0">
      <sharedItems containsString="0" containsBlank="1" containsNumber="1" containsInteger="1" minValue="0" maxValue="0"/>
    </cacheField>
    <cacheField name="I21: NUMBER OF OUTREACH ACTIVITIES Conducted" numFmtId="0">
      <sharedItems containsString="0" containsBlank="1" containsNumber="1" containsInteger="1" minValue="0" maxValue="3"/>
    </cacheField>
    <cacheField name="Outreach Attendance (YCL Internal)" numFmtId="0">
      <sharedItems containsString="0" containsBlank="1" containsNumber="1" containsInteger="1" minValue="0" maxValue="184"/>
    </cacheField>
    <cacheField name="I22: TOTAL # TAKE &amp; MAKES and OTHER PASSIVE PROGRAM PARTICIPANTS_x000a_" numFmtId="0">
      <sharedItems containsString="0" containsBlank="1" containsNumber="1" containsInteger="1" minValue="0" maxValue="2016"/>
    </cacheField>
    <cacheField name="I23: NUMBER OF STAFF TAKING TRAINING" numFmtId="0">
      <sharedItems containsString="0" containsBlank="1" containsNumber="1" containsInteger="1" minValue="0" maxValue="50"/>
    </cacheField>
    <cacheField name="I24: NUMBER OF HOURS STAFF ATTENDED TRAINING" numFmtId="0">
      <sharedItems containsString="0" containsBlank="1" containsNumber="1" minValue="0" maxValue="375"/>
    </cacheField>
    <cacheField name="1-on-1 Total for Month" numFmtId="0">
      <sharedItems containsString="0" containsBlank="1" containsNumber="1" containsInteger="1" minValue="0" maxValue="21"/>
    </cacheField>
    <cacheField name="Email Address" numFmtId="0">
      <sharedItems containsBlank="1"/>
    </cacheField>
    <cacheField name="Year" numFmtId="0">
      <sharedItems containsSemiMixedTypes="0" containsString="0" containsNumber="1" containsInteger="1" minValue="2024" maxValue="2026" count="3">
        <n v="2024"/>
        <n v="2025"/>
        <n v="2026" u="1"/>
      </sharedItems>
    </cacheField>
    <cacheField name="Locker Circulation" numFmtId="0">
      <sharedItems containsString="0" containsBlank="1" containsNumber="1" containsInteger="1" minValue="0" maxValue="8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85872685186" createdVersion="6" refreshedVersion="6" minRefreshableVersion="3" recordCount="256" xr:uid="{2F24F7E1-A2E7-408C-BC11-FED13BA9D34B}">
  <cacheSource type="worksheet">
    <worksheetSource ref="J1:J1048576" sheet="Branch Stats"/>
  </cacheSource>
  <cacheFields count="57">
    <cacheField name="Timestamp" numFmtId="0">
      <sharedItems containsString="0" containsBlank="1" containsNumber="1" minValue="45887.602997870366" maxValue="46086.469259259262"/>
    </cacheField>
    <cacheField name="Month" numFmtId="0">
      <sharedItems containsBlank="1" count="25">
        <s v="04-April"/>
        <s v="08-August"/>
        <s v="12-December"/>
        <s v="02-February"/>
        <s v="01-January"/>
        <s v="07-July"/>
        <s v="03-March"/>
        <s v="05-May"/>
        <s v="11-November"/>
        <s v="10-October"/>
        <s v="09-September"/>
        <s v="06-June"/>
        <m/>
        <s v="June" u="1"/>
        <s v="March" u="1"/>
        <s v="February" u="1"/>
        <s v="August" u="1"/>
        <s v="October" u="1"/>
        <s v="September" u="1"/>
        <s v="November" u="1"/>
        <s v="January" u="1"/>
        <s v="December" u="1"/>
        <s v="April" u="1"/>
        <s v="May" u="1"/>
        <s v="July" u="1"/>
      </sharedItems>
    </cacheField>
    <cacheField name="BRANCH" numFmtId="0">
      <sharedItems containsBlank="1" count="10">
        <s v="ROCK HILL"/>
        <s v="CLOVER"/>
        <s v="FORT MILL"/>
        <s v="LAKE WYLIE"/>
        <s v="YORK"/>
        <s v="OUTREACH/BOOKMOBILE"/>
        <s v="YCL (System Wide)"/>
        <s v="OUTREACH / BOOKMOBILE"/>
        <s v="ROCK HILL "/>
        <m/>
      </sharedItems>
    </cacheField>
    <cacheField name="New Library Card Registrations, Adult (includes YA)" numFmtId="0">
      <sharedItems containsString="0" containsBlank="1" containsNumber="1" containsInteger="1" minValue="1" maxValue="376"/>
    </cacheField>
    <cacheField name="New Library Card Registrations, Juvenile" numFmtId="0">
      <sharedItems containsString="0" containsBlank="1" containsNumber="1" containsInteger="1" minValue="2" maxValue="846" count="84">
        <n v="381"/>
        <n v="62"/>
        <m/>
        <n v="64"/>
        <n v="672"/>
        <n v="248"/>
        <n v="51"/>
        <n v="191"/>
        <n v="60"/>
        <n v="130"/>
        <n v="34"/>
        <n v="714"/>
        <n v="122"/>
        <n v="48"/>
        <n v="370"/>
        <n v="569"/>
        <n v="27"/>
        <n v="46"/>
        <n v="56"/>
        <n v="519"/>
        <n v="241"/>
        <n v="33"/>
        <n v="332"/>
        <n v="72"/>
        <n v="75"/>
        <n v="777"/>
        <n v="24"/>
        <n v="206"/>
        <n v="35"/>
        <n v="55"/>
        <n v="589"/>
        <n v="376"/>
        <n v="59"/>
        <n v="68"/>
        <n v="846"/>
        <n v="41"/>
        <n v="386"/>
        <n v="47"/>
        <n v="578"/>
        <n v="202"/>
        <n v="208"/>
        <n v="40"/>
        <n v="31"/>
        <n v="577"/>
        <n v="112"/>
        <n v="484"/>
        <n v="178"/>
        <n v="315"/>
        <n v="88"/>
        <n v="20"/>
        <n v="118"/>
        <n v="15"/>
        <n v="4"/>
        <n v="43"/>
        <n v="57"/>
        <n v="9"/>
        <n v="50"/>
        <n v="2"/>
        <n v="19"/>
        <n v="181"/>
        <n v="7"/>
        <n v="6"/>
        <n v="12"/>
        <n v="76"/>
        <n v="90"/>
        <n v="21"/>
        <n v="42"/>
        <n v="29"/>
        <n v="87"/>
        <n v="16"/>
        <n v="13"/>
        <n v="53"/>
        <n v="113"/>
        <n v="11"/>
        <n v="67"/>
        <n v="14"/>
        <n v="172"/>
        <n v="61"/>
        <n v="10"/>
        <n v="37"/>
        <n v="83"/>
        <n v="38"/>
        <n v="84"/>
        <n v="5"/>
      </sharedItems>
    </cacheField>
    <cacheField name="Gate Count" numFmtId="0">
      <sharedItems containsString="0" containsBlank="1" containsNumber="1" containsInteger="1" minValue="0" maxValue="20248" count="131">
        <n v="15313"/>
        <n v="2761"/>
        <n v="11737"/>
        <n v="3866"/>
        <n v="3598"/>
        <n v="905"/>
        <m/>
        <n v="14835"/>
        <n v="2957"/>
        <n v="9858"/>
        <n v="3610"/>
        <n v="3663"/>
        <n v="732"/>
        <n v="12444"/>
        <n v="9136"/>
        <n v="3025"/>
        <n v="2841"/>
        <n v="600"/>
        <n v="2011"/>
        <n v="2241"/>
        <n v="11408"/>
        <n v="3400"/>
        <n v="3286"/>
        <n v="1153"/>
        <n v="13867"/>
        <n v="2152"/>
        <n v="10005"/>
        <n v="3147"/>
        <n v="3430"/>
        <n v="625"/>
        <n v="13105"/>
        <n v="19042"/>
        <n v="3101"/>
        <n v="13217"/>
        <n v="4740"/>
        <n v="4727"/>
        <n v="815"/>
        <n v="15534"/>
        <n v="2402"/>
        <n v="12508"/>
        <n v="3808"/>
        <n v="3798"/>
        <n v="507"/>
        <n v="17040"/>
        <n v="2618"/>
        <n v="12340"/>
        <n v="3939"/>
        <n v="3958"/>
        <n v="571"/>
        <n v="12852"/>
        <n v="2039"/>
        <n v="8773"/>
        <n v="2877"/>
        <n v="830"/>
        <n v="15812"/>
        <n v="2983"/>
        <n v="11091"/>
        <n v="3989"/>
        <n v="4509"/>
        <n v="944"/>
        <n v="14352"/>
        <n v="2576"/>
        <n v="10362"/>
        <n v="3476"/>
        <n v="3624"/>
        <n v="836"/>
        <n v="17538"/>
        <n v="3142"/>
        <n v="12647"/>
        <n v="4927"/>
        <n v="4363"/>
        <n v="756"/>
        <n v="15340"/>
        <n v="11742"/>
        <n v="3868"/>
        <n v="3914"/>
        <n v="3764"/>
        <n v="2694"/>
        <n v="10805"/>
        <n v="15257"/>
        <n v="3342"/>
        <n v="4352"/>
        <n v="11975"/>
        <n v="792"/>
        <n v="0"/>
        <n v="11414"/>
        <n v="3403"/>
        <n v="10010"/>
        <n v="3150"/>
        <n v="1251"/>
        <n v="3515"/>
        <n v="15128"/>
        <n v="20248"/>
        <n v="4771"/>
        <n v="19413"/>
        <n v="3404"/>
        <n v="14653"/>
        <n v="5355"/>
        <n v="4774"/>
        <n v="1346"/>
        <n v="15555"/>
        <n v="12513"/>
        <n v="3810"/>
        <n v="17078"/>
        <n v="12345"/>
        <n v="3941"/>
        <n v="2435"/>
        <n v="3068"/>
        <n v="10748"/>
        <n v="1554"/>
        <n v="4205"/>
        <n v="5553"/>
        <n v="1254"/>
        <n v="3918"/>
        <n v="3167"/>
        <n v="13504"/>
        <n v="3974"/>
        <n v="4490"/>
        <n v="2893"/>
        <n v="14788"/>
        <n v="11114"/>
        <n v="3615"/>
        <n v="2648"/>
        <n v="1556"/>
        <n v="4582"/>
        <n v="12721"/>
        <n v="3382"/>
        <n v="4167"/>
        <n v="12673"/>
        <n v="841"/>
        <n v="2568"/>
      </sharedItems>
    </cacheField>
    <cacheField name="PC Reservations" numFmtId="0">
      <sharedItems containsString="0" containsBlank="1" containsNumber="1" containsInteger="1" minValue="0" maxValue="2158" count="91">
        <n v="2034"/>
        <n v="214"/>
        <n v="781"/>
        <n v="188"/>
        <n v="377"/>
        <m/>
        <n v="1918"/>
        <n v="353"/>
        <n v="765"/>
        <n v="196"/>
        <n v="516"/>
        <n v="1383"/>
        <n v="541"/>
        <n v="148"/>
        <n v="347"/>
        <n v="207"/>
        <n v="686"/>
        <n v="193"/>
        <n v="409"/>
        <n v="216"/>
        <n v="679"/>
        <n v="138"/>
        <n v="395"/>
        <n v="2069"/>
        <n v="320"/>
        <n v="935"/>
        <n v="538"/>
        <n v="2125"/>
        <n v="208"/>
        <n v="810"/>
        <n v="218"/>
        <n v="458"/>
        <n v="1972"/>
        <n v="229"/>
        <n v="747"/>
        <n v="163"/>
        <n v="451"/>
        <n v="180"/>
        <n v="515"/>
        <n v="149"/>
        <n v="327"/>
        <n v="1930"/>
        <n v="288"/>
        <n v="729"/>
        <n v="167"/>
        <n v="616"/>
        <n v="265"/>
        <n v="672"/>
        <n v="162"/>
        <n v="432"/>
        <n v="1922"/>
        <n v="323"/>
        <n v="913"/>
        <n v="202"/>
        <n v="482"/>
        <n v="505"/>
        <n v="223"/>
        <n v="709"/>
        <n v="199"/>
        <n v="169"/>
        <n v="429"/>
        <n v="778"/>
        <n v="0"/>
        <n v="1859"/>
        <n v="1617"/>
        <n v="245"/>
        <n v="772"/>
        <n v="2158"/>
        <n v="471"/>
        <n v="2046"/>
        <n v="222"/>
        <n v="766"/>
        <n v="447"/>
        <n v="213"/>
        <n v="178"/>
        <n v="788"/>
        <n v="439"/>
        <n v="657"/>
        <n v="271"/>
        <n v="921"/>
        <n v="497"/>
        <n v="294"/>
        <n v="1909"/>
        <n v="733"/>
        <n v="166"/>
        <n v="415"/>
        <n v="779"/>
        <n v="192"/>
        <n v="423"/>
        <n v="907"/>
        <n v="232"/>
      </sharedItems>
    </cacheField>
    <cacheField name="WiFi - Unique Sessions" numFmtId="0">
      <sharedItems containsString="0" containsBlank="1" containsNumber="1" containsInteger="1" minValue="0" maxValue="10094"/>
    </cacheField>
    <cacheField name="External Party Library Room Use" numFmtId="0">
      <sharedItems containsString="0" containsBlank="1" containsNumber="1" containsInteger="1" minValue="0" maxValue="24"/>
    </cacheField>
    <cacheField name="Total Branch Circulation" numFmtId="0">
      <sharedItems containsString="0" containsBlank="1" containsNumber="1" containsInteger="1" minValue="31" maxValue="171619"/>
    </cacheField>
    <cacheField name="Hotspots Circulation" numFmtId="0">
      <sharedItems containsString="0" containsBlank="1" containsNumber="1" containsInteger="1" minValue="0" maxValue="380"/>
    </cacheField>
    <cacheField name="Curbside" numFmtId="0">
      <sharedItems containsString="0" containsBlank="1" containsNumber="1" containsInteger="1" minValue="0" maxValue="42"/>
    </cacheField>
    <cacheField name="ILL - Sent (Main ONLY)" numFmtId="0">
      <sharedItems containsString="0" containsBlank="1" containsNumber="1" containsInteger="1" minValue="0" maxValue="122"/>
    </cacheField>
    <cacheField name="ILL - Received (Main ONLY)" numFmtId="0">
      <sharedItems containsString="0" containsBlank="1" containsNumber="1" containsInteger="1" minValue="0" maxValue="139"/>
    </cacheField>
    <cacheField name="ICLs - Sent (MAIN ONLY)" numFmtId="0">
      <sharedItems containsString="0" containsBlank="1" containsNumber="1" containsInteger="1" minValue="0" maxValue="9611"/>
    </cacheField>
    <cacheField name="ICLs - Received (MAIN ONLY)" numFmtId="0">
      <sharedItems containsString="0" containsBlank="1" containsNumber="1" containsInteger="1" minValue="0" maxValue="23150"/>
    </cacheField>
    <cacheField name="Total Prints per Month" numFmtId="0">
      <sharedItems containsString="0" containsBlank="1" containsNumber="1" containsInteger="1" minValue="0" maxValue="6526"/>
    </cacheField>
    <cacheField name="I2:  ONSITE Sessions 0-5" numFmtId="0">
      <sharedItems containsString="0" containsBlank="1" containsNumber="1" containsInteger="1" minValue="0" maxValue="40"/>
    </cacheField>
    <cacheField name="I3:   ONSITE Sessions 6-11" numFmtId="0">
      <sharedItems containsString="0" containsBlank="1" containsNumber="1" containsInteger="1" minValue="0" maxValue="73"/>
    </cacheField>
    <cacheField name="I4: ONSITE Sessions 12-18" numFmtId="0">
      <sharedItems containsString="0" containsBlank="1" containsNumber="1" containsInteger="1" minValue="0" maxValue="25"/>
    </cacheField>
    <cacheField name="I5:   ONSITE Sessions 19+" numFmtId="0">
      <sharedItems containsString="0" containsBlank="1" containsNumber="1" containsInteger="1" minValue="0" maxValue="29"/>
    </cacheField>
    <cacheField name="I6:  ONSITE Sessions GENERAL INTEREST" numFmtId="0">
      <sharedItems containsString="0" containsBlank="1" containsNumber="1" containsInteger="1" minValue="0" maxValue="19"/>
    </cacheField>
    <cacheField name="ONSITE Attendance 0-5" numFmtId="0">
      <sharedItems containsString="0" containsBlank="1" containsNumber="1" containsInteger="1" minValue="0" maxValue="1301"/>
    </cacheField>
    <cacheField name="ONSITE Attendance 6-11" numFmtId="0">
      <sharedItems containsString="0" containsBlank="1" containsNumber="1" containsInteger="1" minValue="0" maxValue="1357"/>
    </cacheField>
    <cacheField name="ONSITE Attendance 12-18" numFmtId="0">
      <sharedItems containsString="0" containsBlank="1" containsNumber="1" containsInteger="1" minValue="0" maxValue="1719"/>
    </cacheField>
    <cacheField name="ONSITE Attendance 19+" numFmtId="0">
      <sharedItems containsString="0" containsBlank="1" containsNumber="1" containsInteger="1" minValue="0" maxValue="292"/>
    </cacheField>
    <cacheField name="ONSITE Attendance General Interest" numFmtId="0">
      <sharedItems containsString="0" containsBlank="1" containsNumber="1" containsInteger="1" minValue="0" maxValue="1912"/>
    </cacheField>
    <cacheField name="OFFSITE Sessions 0-5" numFmtId="0">
      <sharedItems containsString="0" containsBlank="1" containsNumber="1" containsInteger="1" minValue="0" maxValue="20"/>
    </cacheField>
    <cacheField name="OFFSITE Sessions 6-11" numFmtId="0">
      <sharedItems containsString="0" containsBlank="1" containsNumber="1" containsInteger="1" minValue="0" maxValue="8"/>
    </cacheField>
    <cacheField name="OFFSITE Sessions 12-18" numFmtId="0">
      <sharedItems containsString="0" containsBlank="1" containsNumber="1" containsInteger="1" minValue="0" maxValue="15"/>
    </cacheField>
    <cacheField name="OFFSITE Sessions 19+" numFmtId="0">
      <sharedItems containsString="0" containsBlank="1" containsNumber="1" containsInteger="1" minValue="0" maxValue="12"/>
    </cacheField>
    <cacheField name="OFFSITE Sessions General Interest" numFmtId="0">
      <sharedItems containsString="0" containsBlank="1" containsNumber="1" containsInteger="1" minValue="0" maxValue="7"/>
    </cacheField>
    <cacheField name="OFFSITE Attendance 0-5" numFmtId="0">
      <sharedItems containsString="0" containsBlank="1" containsNumber="1" containsInteger="1" minValue="0" maxValue="500"/>
    </cacheField>
    <cacheField name="OFFSITE Attendance 6-11" numFmtId="0">
      <sharedItems containsString="0" containsBlank="1" containsNumber="1" containsInteger="1" minValue="0" maxValue="2010"/>
    </cacheField>
    <cacheField name="OFFSITE Attendance 12-18" numFmtId="0">
      <sharedItems containsString="0" containsBlank="1" containsNumber="1" containsInteger="1" minValue="0" maxValue="1406"/>
    </cacheField>
    <cacheField name="OFFSITE Attendance 19+" numFmtId="0">
      <sharedItems containsString="0" containsBlank="1" containsNumber="1" containsInteger="1" minValue="0" maxValue="126"/>
    </cacheField>
    <cacheField name="OFFSITE Attendance General Interest" numFmtId="0">
      <sharedItems containsString="0" containsBlank="1" containsNumber="1" containsInteger="1" minValue="0" maxValue="656"/>
    </cacheField>
    <cacheField name="VIRTUAL Sessions 0-5" numFmtId="0">
      <sharedItems containsString="0" containsBlank="1" containsNumber="1" containsInteger="1" minValue="0" maxValue="0"/>
    </cacheField>
    <cacheField name="VIRTUAL Sessions 6-11" numFmtId="0">
      <sharedItems containsString="0" containsBlank="1" containsNumber="1" containsInteger="1" minValue="0" maxValue="2"/>
    </cacheField>
    <cacheField name="VIRTUAL Sessions 12-18" numFmtId="0">
      <sharedItems containsString="0" containsBlank="1" containsNumber="1" containsInteger="1" minValue="0" maxValue="1"/>
    </cacheField>
    <cacheField name="VIRTUAL Sessions 19+" numFmtId="0">
      <sharedItems containsString="0" containsBlank="1" containsNumber="1" containsInteger="1" minValue="0" maxValue="5"/>
    </cacheField>
    <cacheField name="VIRTUAL Sessions General Interest" numFmtId="0">
      <sharedItems containsString="0" containsBlank="1" containsNumber="1" containsInteger="1" minValue="0" maxValue="1"/>
    </cacheField>
    <cacheField name="VIRTUAL Attendance 0-5" numFmtId="0">
      <sharedItems containsString="0" containsBlank="1" containsNumber="1" containsInteger="1" minValue="0" maxValue="0"/>
    </cacheField>
    <cacheField name="VIRTUAL Attendance 6-11" numFmtId="0">
      <sharedItems containsString="0" containsBlank="1" containsNumber="1" containsInteger="1" minValue="0" maxValue="10"/>
    </cacheField>
    <cacheField name="VIRTUAL Attendance 12-18" numFmtId="0">
      <sharedItems containsString="0" containsBlank="1" containsNumber="1" containsInteger="1" minValue="0" maxValue="156"/>
    </cacheField>
    <cacheField name="VIRTUAL Attendance 19+" numFmtId="0">
      <sharedItems containsString="0" containsBlank="1" containsNumber="1" containsInteger="1" minValue="0" maxValue="49"/>
    </cacheField>
    <cacheField name="VIRTUAL Attendance General Interest" numFmtId="0">
      <sharedItems containsString="0" containsBlank="1" containsNumber="1" containsInteger="1" minValue="0" maxValue="98"/>
    </cacheField>
    <cacheField name="I21: NUMBER OF OUTREACH ACTIVITIES Conducted" numFmtId="0">
      <sharedItems containsString="0" containsBlank="1" containsNumber="1" containsInteger="1" minValue="0" maxValue="7"/>
    </cacheField>
    <cacheField name="Outreach Attendance (YCL Internal)" numFmtId="0">
      <sharedItems containsString="0" containsBlank="1" containsNumber="1" containsInteger="1" minValue="0" maxValue="2428"/>
    </cacheField>
    <cacheField name="I22: TOTAL # TAKE &amp; MAKES and OTHER PASSIVE PROGRAM PARTICIPANTS_x000a_" numFmtId="0">
      <sharedItems containsString="0" containsBlank="1" containsNumber="1" containsInteger="1" minValue="0" maxValue="2292"/>
    </cacheField>
    <cacheField name="I23: NUMBER OF STAFF TAKING TRAINING" numFmtId="0">
      <sharedItems containsString="0" containsBlank="1" containsNumber="1" containsInteger="1" minValue="0" maxValue="66"/>
    </cacheField>
    <cacheField name="I24: NUMBER OF HOURS STAFF ATTENDED TRAINING" numFmtId="0">
      <sharedItems containsString="0" containsBlank="1" containsNumber="1" minValue="0" maxValue="375"/>
    </cacheField>
    <cacheField name="1-on-1 Total for Month" numFmtId="0">
      <sharedItems containsString="0" containsBlank="1" containsNumber="1" containsInteger="1" minValue="0" maxValue="21"/>
    </cacheField>
    <cacheField name="Email Address" numFmtId="0">
      <sharedItems containsBlank="1"/>
    </cacheField>
    <cacheField name="Year" numFmtId="0">
      <sharedItems containsString="0" containsBlank="1" containsNumber="1" containsInteger="1" minValue="2024" maxValue="2026" count="4">
        <n v="2024"/>
        <n v="2025"/>
        <n v="2026"/>
        <m/>
      </sharedItems>
    </cacheField>
    <cacheField name="Locker Circulation" numFmtId="0">
      <sharedItems containsString="0" containsBlank="1" containsNumber="1" containsInteger="1" minValue="0" maxValue="909"/>
    </cacheField>
    <cacheField name="Total" numFmtId="0" formula="'New Library Card Registrations, Juvenile'+'New Library Card Registrations, Adult (includes YA)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115.434569444442" createdVersion="6" refreshedVersion="6" minRefreshableVersion="3" recordCount="201" xr:uid="{3C5EE3B5-C81A-44FB-AA24-DC43BE9917E4}">
  <cacheSource type="worksheet">
    <worksheetSource ref="A1:BD202" sheet="Branch Stats"/>
  </cacheSource>
  <cacheFields count="57">
    <cacheField name="Month Num" numFmtId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BRANCH" numFmtId="0">
      <sharedItems count="9">
        <s v="ROCK HILL"/>
        <s v="CLOVER"/>
        <s v="FORT MILL"/>
        <s v="LAKE WYLIE"/>
        <s v="YORK"/>
        <s v="OUTREACH/BOOKMOBILE"/>
        <s v="YCL (System Wide)"/>
        <s v="OUTREACH / BOOKMOBILE"/>
        <s v="ROCK HILL "/>
      </sharedItems>
    </cacheField>
    <cacheField name="New Library Card Registrations, Adult (includes YA)" numFmtId="0">
      <sharedItems containsString="0" containsBlank="1" containsNumber="1" containsInteger="1" minValue="1" maxValue="376"/>
    </cacheField>
    <cacheField name="New Library Card Registrations, Juvenile" numFmtId="0">
      <sharedItems containsString="0" containsBlank="1" containsNumber="1" containsInteger="1" minValue="2" maxValue="484"/>
    </cacheField>
    <cacheField name="Gate Count" numFmtId="0">
      <sharedItems containsString="0" containsBlank="1" containsNumber="1" containsInteger="1" minValue="0" maxValue="20248"/>
    </cacheField>
    <cacheField name="PC Reservations" numFmtId="0">
      <sharedItems containsString="0" containsBlank="1" containsNumber="1" containsInteger="1" minValue="0" maxValue="2158"/>
    </cacheField>
    <cacheField name="WiFi - Unique Sessions" numFmtId="0">
      <sharedItems containsString="0" containsBlank="1" containsNumber="1" containsInteger="1" minValue="0" maxValue="10094"/>
    </cacheField>
    <cacheField name="External Party Library Room Use" numFmtId="0">
      <sharedItems containsString="0" containsBlank="1" containsNumber="1" containsInteger="1" minValue="0" maxValue="24"/>
    </cacheField>
    <cacheField name="Total Branch Circulation" numFmtId="0">
      <sharedItems containsString="0" containsBlank="1" containsNumber="1" containsInteger="1" minValue="31" maxValue="171619"/>
    </cacheField>
    <cacheField name="Hotspots Circulation" numFmtId="0">
      <sharedItems containsString="0" containsBlank="1" containsNumber="1" containsInteger="1" minValue="0" maxValue="151"/>
    </cacheField>
    <cacheField name="Curbside" numFmtId="0">
      <sharedItems containsString="0" containsBlank="1" containsNumber="1" containsInteger="1" minValue="0" maxValue="42"/>
    </cacheField>
    <cacheField name="ILL - Sent (Main ONLY)" numFmtId="0">
      <sharedItems containsString="0" containsBlank="1" containsNumber="1" containsInteger="1" minValue="0" maxValue="122"/>
    </cacheField>
    <cacheField name="ILL - Received (Main ONLY)" numFmtId="0">
      <sharedItems containsString="0" containsBlank="1" containsNumber="1" containsInteger="1" minValue="0" maxValue="139"/>
    </cacheField>
    <cacheField name="ICLs - Sent (MAIN ONLY)" numFmtId="0">
      <sharedItems containsString="0" containsBlank="1" containsNumber="1" containsInteger="1" minValue="0" maxValue="9611"/>
    </cacheField>
    <cacheField name="ICLs - Received (MAIN ONLY)" numFmtId="0">
      <sharedItems containsString="0" containsBlank="1" containsNumber="1" containsInteger="1" minValue="0" maxValue="23150"/>
    </cacheField>
    <cacheField name="Total Prints per Month" numFmtId="0">
      <sharedItems containsString="0" containsBlank="1" containsNumber="1" containsInteger="1" minValue="0" maxValue="6526"/>
    </cacheField>
    <cacheField name="I2:  ONSITE Sessions 0-5" numFmtId="0">
      <sharedItems containsString="0" containsBlank="1" containsNumber="1" containsInteger="1" minValue="0" maxValue="40"/>
    </cacheField>
    <cacheField name="I3:   ONSITE Sessions 6-11" numFmtId="0">
      <sharedItems containsString="0" containsBlank="1" containsNumber="1" containsInteger="1" minValue="0" maxValue="73"/>
    </cacheField>
    <cacheField name="I4: ONSITE Sessions 12-18" numFmtId="0">
      <sharedItems containsString="0" containsBlank="1" containsNumber="1" containsInteger="1" minValue="0" maxValue="25"/>
    </cacheField>
    <cacheField name="I5:   ONSITE Sessions 19+" numFmtId="0">
      <sharedItems containsString="0" containsBlank="1" containsNumber="1" containsInteger="1" minValue="0" maxValue="29"/>
    </cacheField>
    <cacheField name="I6:  ONSITE Sessions GENERAL INTEREST" numFmtId="0">
      <sharedItems containsString="0" containsBlank="1" containsNumber="1" containsInteger="1" minValue="0" maxValue="19"/>
    </cacheField>
    <cacheField name="ONSITE Attendance 0-5" numFmtId="0">
      <sharedItems containsString="0" containsBlank="1" containsNumber="1" containsInteger="1" minValue="0" maxValue="1370"/>
    </cacheField>
    <cacheField name="ONSITE Attendance 6-11" numFmtId="0">
      <sharedItems containsString="0" containsBlank="1" containsNumber="1" containsInteger="1" minValue="0" maxValue="1357"/>
    </cacheField>
    <cacheField name="ONSITE Attendance 12-18" numFmtId="0">
      <sharedItems containsString="0" containsBlank="1" containsNumber="1" containsInteger="1" minValue="0" maxValue="1719"/>
    </cacheField>
    <cacheField name="ONSITE Attendance 19+" numFmtId="0">
      <sharedItems containsString="0" containsBlank="1" containsNumber="1" containsInteger="1" minValue="0" maxValue="292"/>
    </cacheField>
    <cacheField name="ONSITE Attendance General Interest" numFmtId="0">
      <sharedItems containsString="0" containsBlank="1" containsNumber="1" containsInteger="1" minValue="0" maxValue="1912"/>
    </cacheField>
    <cacheField name="OFFSITE Sessions 0-5" numFmtId="0">
      <sharedItems containsString="0" containsBlank="1" containsNumber="1" containsInteger="1" minValue="0" maxValue="20"/>
    </cacheField>
    <cacheField name="OFFSITE Sessions 6-11" numFmtId="0">
      <sharedItems containsString="0" containsBlank="1" containsNumber="1" containsInteger="1" minValue="0" maxValue="8"/>
    </cacheField>
    <cacheField name="OFFSITE Sessions 12-18" numFmtId="0">
      <sharedItems containsString="0" containsBlank="1" containsNumber="1" containsInteger="1" minValue="0" maxValue="15"/>
    </cacheField>
    <cacheField name="OFFSITE Sessions 19+" numFmtId="0">
      <sharedItems containsString="0" containsBlank="1" containsNumber="1" containsInteger="1" minValue="0" maxValue="12"/>
    </cacheField>
    <cacheField name="OFFSITE Sessions General Interest" numFmtId="0">
      <sharedItems containsString="0" containsBlank="1" containsNumber="1" containsInteger="1" minValue="0" maxValue="7"/>
    </cacheField>
    <cacheField name="OFFSITE Attendance 0-5" numFmtId="0">
      <sharedItems containsString="0" containsBlank="1" containsNumber="1" containsInteger="1" minValue="0" maxValue="500"/>
    </cacheField>
    <cacheField name="OFFSITE Attendance 6-11" numFmtId="0">
      <sharedItems containsString="0" containsBlank="1" containsNumber="1" containsInteger="1" minValue="0" maxValue="2010"/>
    </cacheField>
    <cacheField name="OFFSITE Attendance 12-18" numFmtId="0">
      <sharedItems containsString="0" containsBlank="1" containsNumber="1" containsInteger="1" minValue="0" maxValue="1406"/>
    </cacheField>
    <cacheField name="OFFSITE Attendance 19+" numFmtId="0">
      <sharedItems containsString="0" containsBlank="1" containsNumber="1" containsInteger="1" minValue="0" maxValue="126"/>
    </cacheField>
    <cacheField name="OFFSITE Attendance General Interest" numFmtId="0">
      <sharedItems containsString="0" containsBlank="1" containsNumber="1" containsInteger="1" minValue="0" maxValue="656"/>
    </cacheField>
    <cacheField name="VIRTUAL Sessions 0-5" numFmtId="0">
      <sharedItems containsString="0" containsBlank="1" containsNumber="1" containsInteger="1" minValue="0" maxValue="0"/>
    </cacheField>
    <cacheField name="VIRTUAL Sessions 6-11" numFmtId="0">
      <sharedItems containsString="0" containsBlank="1" containsNumber="1" containsInteger="1" minValue="0" maxValue="2"/>
    </cacheField>
    <cacheField name="VIRTUAL Sessions 12-18" numFmtId="0">
      <sharedItems containsString="0" containsBlank="1" containsNumber="1" containsInteger="1" minValue="0" maxValue="1"/>
    </cacheField>
    <cacheField name="VIRTUAL Sessions 19+" numFmtId="0">
      <sharedItems containsString="0" containsBlank="1" containsNumber="1" containsInteger="1" minValue="0" maxValue="5"/>
    </cacheField>
    <cacheField name="VIRTUAL Sessions General Interest" numFmtId="0">
      <sharedItems containsString="0" containsBlank="1" containsNumber="1" containsInteger="1" minValue="0" maxValue="1"/>
    </cacheField>
    <cacheField name="VIRTUAL Attendance 0-5" numFmtId="0">
      <sharedItems containsString="0" containsBlank="1" containsNumber="1" containsInteger="1" minValue="0" maxValue="0"/>
    </cacheField>
    <cacheField name="VIRTUAL Attendance 6-11" numFmtId="0">
      <sharedItems containsString="0" containsBlank="1" containsNumber="1" containsInteger="1" minValue="0" maxValue="10"/>
    </cacheField>
    <cacheField name="VIRTUAL Attendance 12-18" numFmtId="0">
      <sharedItems containsString="0" containsBlank="1" containsNumber="1" containsInteger="1" minValue="0" maxValue="156"/>
    </cacheField>
    <cacheField name="VIRTUAL Attendance 19+" numFmtId="0">
      <sharedItems containsString="0" containsBlank="1" containsNumber="1" containsInteger="1" minValue="0" maxValue="49"/>
    </cacheField>
    <cacheField name="VIRTUAL Attendance General Interest" numFmtId="0">
      <sharedItems containsString="0" containsBlank="1" containsNumber="1" containsInteger="1" minValue="0" maxValue="98"/>
    </cacheField>
    <cacheField name="I21: NUMBER OF OUTREACH ACTIVITIES Conducted" numFmtId="0">
      <sharedItems containsString="0" containsBlank="1" containsNumber="1" containsInteger="1" minValue="0" maxValue="7"/>
    </cacheField>
    <cacheField name="Outreach Attendance (YCL Internal)" numFmtId="0">
      <sharedItems containsString="0" containsBlank="1" containsNumber="1" containsInteger="1" minValue="0" maxValue="2428"/>
    </cacheField>
    <cacheField name="I22: TOTAL # TAKE &amp; MAKES and OTHER PASSIVE PROGRAM PARTICIPANTS_x000a_" numFmtId="0">
      <sharedItems containsString="0" containsBlank="1" containsNumber="1" containsInteger="1" minValue="0" maxValue="2292"/>
    </cacheField>
    <cacheField name="I23: NUMBER OF STAFF TAKING TRAINING" numFmtId="0">
      <sharedItems containsString="0" containsBlank="1" containsNumber="1" containsInteger="1" minValue="0" maxValue="66"/>
    </cacheField>
    <cacheField name="I24: NUMBER OF HOURS STAFF ATTENDED TRAINING" numFmtId="0">
      <sharedItems containsString="0" containsBlank="1" containsNumber="1" minValue="0" maxValue="375"/>
    </cacheField>
    <cacheField name="1-on-1 Total for Month" numFmtId="0">
      <sharedItems containsString="0" containsBlank="1" containsNumber="1" containsInteger="1" minValue="0" maxValue="21"/>
    </cacheField>
    <cacheField name="Email Address" numFmtId="0">
      <sharedItems containsBlank="1"/>
    </cacheField>
    <cacheField name="Year" numFmtId="0">
      <sharedItems containsSemiMixedTypes="0" containsString="0" containsNumber="1" containsInteger="1" minValue="2024" maxValue="2026" count="3">
        <n v="2024"/>
        <n v="2025"/>
        <n v="2026"/>
      </sharedItems>
    </cacheField>
    <cacheField name="Locker Circulation" numFmtId="0">
      <sharedItems containsString="0" containsBlank="1" containsNumber="1" containsInteger="1" minValue="0" maxValue="909"/>
    </cacheField>
    <cacheField name="Total" numFmtId="0" formula="'New Library Card Registrations, Juvenile'+'New Library Card Registrations, Adult (includes YA)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115.437933449073" createdVersion="6" refreshedVersion="6" minRefreshableVersion="3" recordCount="41" xr:uid="{0BD56BE3-CB02-4C81-BD11-09CB2342DD3F}">
  <cacheSource type="worksheet">
    <worksheetSource ref="A1:AB42" sheet="Online Stats"/>
  </cacheSource>
  <cacheFields count="28">
    <cacheField name="Month Num" numFmtId="49">
      <sharedItems containsSemiMixedTypes="0" containsString="0" containsNumber="1" containsInteger="1" minValue="1" maxValue="12"/>
    </cacheField>
    <cacheField name="Month" numFmtId="49">
      <sharedItems count="24">
        <s v="July"/>
        <s v="August"/>
        <s v="October"/>
        <s v="September"/>
        <s v="November"/>
        <s v="December"/>
        <s v="January"/>
        <s v="February"/>
        <s v="March"/>
        <s v="April"/>
        <s v="May"/>
        <s v="June"/>
        <s v="07-July" u="1"/>
        <s v="09-September" u="1"/>
        <s v="01-January" u="1"/>
        <s v="05-May" u="1"/>
        <s v="10-October" u="1"/>
        <s v="06-June" u="1"/>
        <s v="04-April" u="1"/>
        <s v="03-March" u="1"/>
        <s v="02-February" u="1"/>
        <s v="08-August" u="1"/>
        <s v="11-November" u="1"/>
        <s v="12-December" u="1"/>
      </sharedItems>
    </cacheField>
    <cacheField name="yclibrary.org - web sessions" numFmtId="0">
      <sharedItems containsString="0" containsBlank="1" containsNumber="1" containsInteger="1" minValue="21988" maxValue="44243"/>
    </cacheField>
    <cacheField name="ychistory.org - views" numFmtId="0">
      <sharedItems containsString="0" containsBlank="1" containsNumber="1" containsInteger="1" minValue="68" maxValue="193"/>
    </cacheField>
    <cacheField name="patchworktales.org  - views" numFmtId="0">
      <sharedItems containsString="0" containsBlank="1" containsNumber="1" containsInteger="1" minValue="42" maxValue="2733"/>
    </cacheField>
    <cacheField name="Dial A Story - CALLS" numFmtId="0">
      <sharedItems containsString="0" containsBlank="1" containsNumber="1" containsInteger="1" minValue="45" maxValue="231"/>
    </cacheField>
    <cacheField name="Dial A Story - VIEWS" numFmtId="0">
      <sharedItems containsString="0" containsBlank="1" containsNumber="1" containsInteger="1" minValue="98" maxValue="191"/>
    </cacheField>
    <cacheField name="DSpace - Views" numFmtId="0">
      <sharedItems containsString="0" containsBlank="1" containsNumber="1" containsInteger="1" minValue="16" maxValue="131"/>
    </cacheField>
    <cacheField name="Beanstack - Sessions" numFmtId="0">
      <sharedItems containsString="0" containsBlank="1" containsNumber="1" containsInteger="1" minValue="155" maxValue="4452"/>
    </cacheField>
    <cacheField name="LibraryCalendar - Sessions" numFmtId="0">
      <sharedItems containsString="0" containsBlank="1" containsNumber="1" containsInteger="1" minValue="6781" maxValue="15616"/>
    </cacheField>
    <cacheField name="LibGuides - Sessions" numFmtId="0">
      <sharedItems containsString="0" containsBlank="1" containsNumber="1" containsInteger="1" minValue="5" maxValue="11685"/>
    </cacheField>
    <cacheField name="DigitalLearn.org - Sessions" numFmtId="0">
      <sharedItems containsString="0" containsBlank="1" containsNumber="1" containsInteger="1" minValue="6" maxValue="24"/>
    </cacheField>
    <cacheField name="DigitalLearn.org - Completed Courses" numFmtId="0">
      <sharedItems containsString="0" containsBlank="1" containsNumber="1" containsInteger="1" minValue="0" maxValue="5"/>
    </cacheField>
    <cacheField name="LOTE4Kids - Stories Watched" numFmtId="0">
      <sharedItems containsString="0" containsBlank="1" containsNumber="1" containsInteger="1" minValue="3" maxValue="115"/>
    </cacheField>
    <cacheField name="LOTE4Kids - Actvitities" numFmtId="0">
      <sharedItems containsString="0" containsBlank="1" containsNumber="1" containsInteger="1" minValue="0" maxValue="59"/>
    </cacheField>
    <cacheField name="LOTE4Kids - Logins" numFmtId="0">
      <sharedItems containsString="0" containsBlank="1" containsNumber="1" containsInteger="1" minValue="6" maxValue="6"/>
    </cacheField>
    <cacheField name="Youtube - Subscribers" numFmtId="0">
      <sharedItems containsString="0" containsBlank="1" containsNumber="1" containsInteger="1" minValue="1090" maxValue="1280"/>
    </cacheField>
    <cacheField name="YouTube - Views" numFmtId="0">
      <sharedItems containsString="0" containsBlank="1" containsNumber="1" containsInteger="1" minValue="1301" maxValue="7639"/>
    </cacheField>
    <cacheField name="YouTube - Hours Watched" numFmtId="0">
      <sharedItems containsString="0" containsBlank="1" containsNumber="1" minValue="53.9" maxValue="210"/>
    </cacheField>
    <cacheField name="YCL News - Subscriber" numFmtId="0">
      <sharedItems containsString="0" containsBlank="1" containsNumber="1" containsInteger="1" minValue="787" maxValue="837"/>
    </cacheField>
    <cacheField name="Website Messages" numFmtId="0">
      <sharedItems containsString="0" containsBlank="1" containsNumber="1" containsInteger="1" minValue="28" maxValue="133"/>
    </cacheField>
    <cacheField name="YCL - App - Users" numFmtId="0">
      <sharedItems containsString="0" containsBlank="1" containsNumber="1" containsInteger="1" minValue="797" maxValue="2319"/>
    </cacheField>
    <cacheField name="YCL - App - Sessions" numFmtId="0">
      <sharedItems containsString="0" containsBlank="1" containsNumber="1" containsInteger="1" minValue="2938" maxValue="46299"/>
    </cacheField>
    <cacheField name="Facebook Followers" numFmtId="0">
      <sharedItems containsString="0" containsBlank="1" containsNumber="1" containsInteger="1" minValue="7985" maxValue="9785"/>
    </cacheField>
    <cacheField name="Instragram - Subscribers" numFmtId="0">
      <sharedItems containsString="0" containsBlank="1" containsNumber="1" containsInteger="1" minValue="1686" maxValue="22642"/>
    </cacheField>
    <cacheField name="YouTube Uploads" numFmtId="0">
      <sharedItems containsString="0" containsBlank="1" containsNumber="1" containsInteger="1" minValue="0" maxValue="6"/>
    </cacheField>
    <cacheField name="Dial A Story Uploads" numFmtId="0">
      <sharedItems containsString="0" containsBlank="1" containsNumber="1" containsInteger="1" minValue="8" maxValue="231"/>
    </cacheField>
    <cacheField name="Year" numFmtId="0">
      <sharedItems containsSemiMixedTypes="0" containsString="0" containsNumber="1" containsInteger="1" minValue="2024" maxValue="2026" count="3">
        <n v="2025"/>
        <n v="2024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127.478371527781" createdVersion="6" refreshedVersion="6" minRefreshableVersion="3" recordCount="619" xr:uid="{A599E176-70F6-47A8-BB83-3C32AA0DE0C2}">
  <cacheSource type="worksheet">
    <worksheetSource ref="A1:BD1048576" sheet="Branch Stats"/>
  </cacheSource>
  <cacheFields count="56">
    <cacheField name="Month Num" numFmtId="1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Month" numFmtId="0">
      <sharedItems containsBlank="1" count="13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m/>
      </sharedItems>
    </cacheField>
    <cacheField name="BRANCH" numFmtId="0">
      <sharedItems containsBlank="1"/>
    </cacheField>
    <cacheField name="New Library Card Registrations, Adult (includes YA)" numFmtId="0">
      <sharedItems containsString="0" containsBlank="1" containsNumber="1" containsInteger="1" minValue="1" maxValue="376"/>
    </cacheField>
    <cacheField name="New Library Card Registrations, Juvenile" numFmtId="0">
      <sharedItems containsString="0" containsBlank="1" containsNumber="1" containsInteger="1" minValue="2" maxValue="484"/>
    </cacheField>
    <cacheField name="Gate Count" numFmtId="0">
      <sharedItems containsString="0" containsBlank="1" containsNumber="1" containsInteger="1" minValue="0" maxValue="20248"/>
    </cacheField>
    <cacheField name="PC Reservations" numFmtId="0">
      <sharedItems containsString="0" containsBlank="1" containsNumber="1" containsInteger="1" minValue="0" maxValue="2158"/>
    </cacheField>
    <cacheField name="WiFi - Unique Sessions" numFmtId="0">
      <sharedItems containsString="0" containsBlank="1" containsNumber="1" containsInteger="1" minValue="0" maxValue="10094"/>
    </cacheField>
    <cacheField name="External Party Library Room Use" numFmtId="0">
      <sharedItems containsString="0" containsBlank="1" containsNumber="1" containsInteger="1" minValue="0" maxValue="24"/>
    </cacheField>
    <cacheField name="Total Branch Circulation" numFmtId="0">
      <sharedItems containsString="0" containsBlank="1" containsNumber="1" containsInteger="1" minValue="31" maxValue="171619"/>
    </cacheField>
    <cacheField name="Hotspots Circulation" numFmtId="0">
      <sharedItems containsString="0" containsBlank="1" containsNumber="1" containsInteger="1" minValue="0" maxValue="151"/>
    </cacheField>
    <cacheField name="Curbside" numFmtId="0">
      <sharedItems containsString="0" containsBlank="1" containsNumber="1" containsInteger="1" minValue="0" maxValue="42"/>
    </cacheField>
    <cacheField name="ILL - Sent (Main ONLY)" numFmtId="0">
      <sharedItems containsString="0" containsBlank="1" containsNumber="1" containsInteger="1" minValue="0" maxValue="122"/>
    </cacheField>
    <cacheField name="ILL - Received (Main ONLY)" numFmtId="0">
      <sharedItems containsString="0" containsBlank="1" containsNumber="1" containsInteger="1" minValue="0" maxValue="139"/>
    </cacheField>
    <cacheField name="ICLs - Sent (MAIN ONLY)" numFmtId="0">
      <sharedItems containsString="0" containsBlank="1" containsNumber="1" containsInteger="1" minValue="0" maxValue="9611"/>
    </cacheField>
    <cacheField name="ICLs - Received (MAIN ONLY)" numFmtId="0">
      <sharedItems containsString="0" containsBlank="1" containsNumber="1" containsInteger="1" minValue="0" maxValue="23150"/>
    </cacheField>
    <cacheField name="Total Prints per Month" numFmtId="0">
      <sharedItems containsString="0" containsBlank="1" containsNumber="1" containsInteger="1" minValue="0" maxValue="6526"/>
    </cacheField>
    <cacheField name="I2:  ONSITE Sessions 0-5" numFmtId="0">
      <sharedItems containsString="0" containsBlank="1" containsNumber="1" containsInteger="1" minValue="0" maxValue="40"/>
    </cacheField>
    <cacheField name="I3:   ONSITE Sessions 6-11" numFmtId="0">
      <sharedItems containsString="0" containsBlank="1" containsNumber="1" containsInteger="1" minValue="0" maxValue="73"/>
    </cacheField>
    <cacheField name="I4: ONSITE Sessions 12-18" numFmtId="0">
      <sharedItems containsString="0" containsBlank="1" containsNumber="1" containsInteger="1" minValue="0" maxValue="25"/>
    </cacheField>
    <cacheField name="I5:   ONSITE Sessions 19+" numFmtId="0">
      <sharedItems containsString="0" containsBlank="1" containsNumber="1" containsInteger="1" minValue="0" maxValue="29"/>
    </cacheField>
    <cacheField name="I6:  ONSITE Sessions GENERAL INTEREST" numFmtId="0">
      <sharedItems containsString="0" containsBlank="1" containsNumber="1" containsInteger="1" minValue="0" maxValue="19"/>
    </cacheField>
    <cacheField name="ONSITE Attendance 0-5" numFmtId="0">
      <sharedItems containsString="0" containsBlank="1" containsNumber="1" containsInteger="1" minValue="0" maxValue="1370"/>
    </cacheField>
    <cacheField name="ONSITE Attendance 6-11" numFmtId="0">
      <sharedItems containsString="0" containsBlank="1" containsNumber="1" containsInteger="1" minValue="0" maxValue="1357"/>
    </cacheField>
    <cacheField name="ONSITE Attendance 12-18" numFmtId="0">
      <sharedItems containsString="0" containsBlank="1" containsNumber="1" containsInteger="1" minValue="0" maxValue="1719"/>
    </cacheField>
    <cacheField name="ONSITE Attendance 19+" numFmtId="0">
      <sharedItems containsString="0" containsBlank="1" containsNumber="1" containsInteger="1" minValue="0" maxValue="292"/>
    </cacheField>
    <cacheField name="ONSITE Attendance General Interest" numFmtId="0">
      <sharedItems containsString="0" containsBlank="1" containsNumber="1" containsInteger="1" minValue="0" maxValue="1912"/>
    </cacheField>
    <cacheField name="OFFSITE Sessions 0-5" numFmtId="0">
      <sharedItems containsString="0" containsBlank="1" containsNumber="1" containsInteger="1" minValue="0" maxValue="20"/>
    </cacheField>
    <cacheField name="OFFSITE Sessions 6-11" numFmtId="0">
      <sharedItems containsString="0" containsBlank="1" containsNumber="1" containsInteger="1" minValue="0" maxValue="8"/>
    </cacheField>
    <cacheField name="OFFSITE Sessions 12-18" numFmtId="0">
      <sharedItems containsString="0" containsBlank="1" containsNumber="1" containsInteger="1" minValue="0" maxValue="15"/>
    </cacheField>
    <cacheField name="OFFSITE Sessions 19+" numFmtId="0">
      <sharedItems containsString="0" containsBlank="1" containsNumber="1" containsInteger="1" minValue="0" maxValue="12"/>
    </cacheField>
    <cacheField name="OFFSITE Sessions General Interest" numFmtId="0">
      <sharedItems containsString="0" containsBlank="1" containsNumber="1" containsInteger="1" minValue="0" maxValue="7"/>
    </cacheField>
    <cacheField name="OFFSITE Attendance 0-5" numFmtId="0">
      <sharedItems containsString="0" containsBlank="1" containsNumber="1" containsInteger="1" minValue="0" maxValue="500"/>
    </cacheField>
    <cacheField name="OFFSITE Attendance 6-11" numFmtId="0">
      <sharedItems containsString="0" containsBlank="1" containsNumber="1" containsInteger="1" minValue="0" maxValue="2010"/>
    </cacheField>
    <cacheField name="OFFSITE Attendance 12-18" numFmtId="0">
      <sharedItems containsString="0" containsBlank="1" containsNumber="1" containsInteger="1" minValue="0" maxValue="1406"/>
    </cacheField>
    <cacheField name="OFFSITE Attendance 19+" numFmtId="0">
      <sharedItems containsString="0" containsBlank="1" containsNumber="1" containsInteger="1" minValue="0" maxValue="126"/>
    </cacheField>
    <cacheField name="OFFSITE Attendance General Interest" numFmtId="0">
      <sharedItems containsString="0" containsBlank="1" containsNumber="1" containsInteger="1" minValue="0" maxValue="656"/>
    </cacheField>
    <cacheField name="VIRTUAL Sessions 0-5" numFmtId="0">
      <sharedItems containsString="0" containsBlank="1" containsNumber="1" containsInteger="1" minValue="0" maxValue="0"/>
    </cacheField>
    <cacheField name="VIRTUAL Sessions 6-11" numFmtId="0">
      <sharedItems containsString="0" containsBlank="1" containsNumber="1" containsInteger="1" minValue="0" maxValue="2"/>
    </cacheField>
    <cacheField name="VIRTUAL Sessions 12-18" numFmtId="0">
      <sharedItems containsString="0" containsBlank="1" containsNumber="1" containsInteger="1" minValue="0" maxValue="1"/>
    </cacheField>
    <cacheField name="VIRTUAL Sessions 19+" numFmtId="0">
      <sharedItems containsString="0" containsBlank="1" containsNumber="1" containsInteger="1" minValue="0" maxValue="5"/>
    </cacheField>
    <cacheField name="VIRTUAL Sessions General Interest" numFmtId="0">
      <sharedItems containsString="0" containsBlank="1" containsNumber="1" containsInteger="1" minValue="0" maxValue="1"/>
    </cacheField>
    <cacheField name="VIRTUAL Attendance 0-5" numFmtId="0">
      <sharedItems containsString="0" containsBlank="1" containsNumber="1" containsInteger="1" minValue="0" maxValue="0"/>
    </cacheField>
    <cacheField name="VIRTUAL Attendance 6-11" numFmtId="0">
      <sharedItems containsString="0" containsBlank="1" containsNumber="1" containsInteger="1" minValue="0" maxValue="10"/>
    </cacheField>
    <cacheField name="VIRTUAL Attendance 12-18" numFmtId="0">
      <sharedItems containsString="0" containsBlank="1" containsNumber="1" containsInteger="1" minValue="0" maxValue="156"/>
    </cacheField>
    <cacheField name="VIRTUAL Attendance 19+" numFmtId="0">
      <sharedItems containsString="0" containsBlank="1" containsNumber="1" containsInteger="1" minValue="0" maxValue="49"/>
    </cacheField>
    <cacheField name="VIRTUAL Attendance General Interest" numFmtId="0">
      <sharedItems containsString="0" containsBlank="1" containsNumber="1" containsInteger="1" minValue="0" maxValue="98"/>
    </cacheField>
    <cacheField name="I21: NUMBER OF OUTREACH ACTIVITIES Conducted" numFmtId="0">
      <sharedItems containsString="0" containsBlank="1" containsNumber="1" containsInteger="1" minValue="0" maxValue="7"/>
    </cacheField>
    <cacheField name="Outreach Attendance (YCL Internal)" numFmtId="0">
      <sharedItems containsString="0" containsBlank="1" containsNumber="1" containsInteger="1" minValue="0" maxValue="2428"/>
    </cacheField>
    <cacheField name="I22: TOTAL # TAKE &amp; MAKES and OTHER PASSIVE PROGRAM PARTICIPANTS_x000a_" numFmtId="0">
      <sharedItems containsString="0" containsBlank="1" containsNumber="1" containsInteger="1" minValue="0" maxValue="2292"/>
    </cacheField>
    <cacheField name="I23: NUMBER OF STAFF TAKING TRAINING" numFmtId="0">
      <sharedItems containsString="0" containsBlank="1" containsNumber="1" containsInteger="1" minValue="0" maxValue="66"/>
    </cacheField>
    <cacheField name="I24: NUMBER OF HOURS STAFF ATTENDED TRAINING" numFmtId="0">
      <sharedItems containsString="0" containsBlank="1" containsNumber="1" minValue="0" maxValue="375"/>
    </cacheField>
    <cacheField name="1-on-1 Total for Month" numFmtId="0">
      <sharedItems containsString="0" containsBlank="1" containsNumber="1" containsInteger="1" minValue="0" maxValue="21"/>
    </cacheField>
    <cacheField name="Email Address" numFmtId="0">
      <sharedItems containsBlank="1"/>
    </cacheField>
    <cacheField name="Year" numFmtId="0">
      <sharedItems containsString="0" containsBlank="1" containsNumber="1" containsInteger="1" minValue="2024" maxValue="2026" count="4">
        <n v="2024"/>
        <n v="2025"/>
        <n v="2026"/>
        <m/>
      </sharedItems>
    </cacheField>
    <cacheField name="Locker Circulation" numFmtId="0">
      <sharedItems containsString="0" containsBlank="1" containsNumber="1" containsInteger="1" minValue="0" maxValue="9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x v="0"/>
    <s v="ROCK HILL"/>
    <m/>
    <n v="381"/>
    <n v="15313"/>
    <n v="2034"/>
    <m/>
    <n v="4"/>
    <m/>
    <m/>
    <n v="27"/>
    <m/>
    <m/>
    <m/>
    <m/>
    <m/>
    <n v="22"/>
    <n v="6"/>
    <n v="15"/>
    <n v="29"/>
    <n v="6"/>
    <n v="890"/>
    <n v="277"/>
    <n v="162"/>
    <n v="292"/>
    <n v="156"/>
    <m/>
    <n v="6"/>
    <m/>
    <m/>
    <m/>
    <m/>
    <n v="60"/>
    <m/>
    <m/>
    <m/>
    <m/>
    <m/>
    <m/>
    <m/>
    <m/>
    <m/>
    <m/>
    <m/>
    <m/>
    <m/>
    <m/>
    <m/>
    <n v="50"/>
    <n v="14"/>
    <n v="21.5"/>
    <n v="8"/>
    <m/>
    <x v="0"/>
    <m/>
  </r>
  <r>
    <x v="0"/>
    <s v="CLOVER"/>
    <m/>
    <n v="62"/>
    <n v="2761"/>
    <n v="214"/>
    <m/>
    <n v="1"/>
    <m/>
    <m/>
    <n v="0"/>
    <m/>
    <m/>
    <m/>
    <m/>
    <m/>
    <n v="8"/>
    <n v="2"/>
    <n v="2"/>
    <n v="1"/>
    <n v="3"/>
    <n v="85"/>
    <n v="21"/>
    <n v="6"/>
    <n v="4"/>
    <n v="30"/>
    <m/>
    <n v="0"/>
    <m/>
    <m/>
    <m/>
    <m/>
    <n v="0"/>
    <m/>
    <m/>
    <m/>
    <m/>
    <m/>
    <m/>
    <m/>
    <m/>
    <m/>
    <m/>
    <m/>
    <m/>
    <m/>
    <m/>
    <m/>
    <n v="20"/>
    <n v="4"/>
    <n v="25"/>
    <n v="0"/>
    <m/>
    <x v="0"/>
    <m/>
  </r>
  <r>
    <x v="0"/>
    <s v="FORT MILL"/>
    <m/>
    <m/>
    <n v="11737"/>
    <n v="781"/>
    <m/>
    <n v="6"/>
    <m/>
    <m/>
    <n v="5"/>
    <m/>
    <m/>
    <m/>
    <m/>
    <m/>
    <n v="21"/>
    <n v="9"/>
    <n v="7"/>
    <n v="11"/>
    <n v="6"/>
    <n v="754"/>
    <n v="778"/>
    <n v="65"/>
    <n v="94"/>
    <n v="265"/>
    <m/>
    <n v="3"/>
    <m/>
    <m/>
    <m/>
    <m/>
    <n v="800"/>
    <m/>
    <m/>
    <m/>
    <m/>
    <m/>
    <m/>
    <m/>
    <m/>
    <m/>
    <m/>
    <m/>
    <m/>
    <m/>
    <m/>
    <m/>
    <n v="402"/>
    <n v="2"/>
    <n v="2"/>
    <m/>
    <m/>
    <x v="0"/>
    <m/>
  </r>
  <r>
    <x v="0"/>
    <s v="LAKE WYLIE"/>
    <m/>
    <n v="64"/>
    <n v="3866"/>
    <n v="188"/>
    <m/>
    <n v="10"/>
    <m/>
    <m/>
    <n v="2"/>
    <m/>
    <m/>
    <m/>
    <m/>
    <m/>
    <n v="4"/>
    <n v="4"/>
    <n v="2"/>
    <n v="12"/>
    <n v="2"/>
    <n v="40"/>
    <n v="20"/>
    <n v="9"/>
    <n v="100"/>
    <n v="11"/>
    <m/>
    <n v="0"/>
    <m/>
    <m/>
    <m/>
    <m/>
    <n v="0"/>
    <m/>
    <m/>
    <m/>
    <m/>
    <m/>
    <m/>
    <m/>
    <m/>
    <m/>
    <m/>
    <m/>
    <m/>
    <m/>
    <m/>
    <m/>
    <n v="372"/>
    <n v="1"/>
    <n v="24.5"/>
    <n v="5"/>
    <m/>
    <x v="0"/>
    <m/>
  </r>
  <r>
    <x v="0"/>
    <s v="YORK"/>
    <m/>
    <m/>
    <n v="3598"/>
    <n v="377"/>
    <m/>
    <n v="2"/>
    <m/>
    <m/>
    <n v="0"/>
    <m/>
    <m/>
    <m/>
    <m/>
    <m/>
    <n v="12"/>
    <n v="3"/>
    <n v="1"/>
    <n v="7"/>
    <m/>
    <n v="206"/>
    <n v="66"/>
    <n v="4"/>
    <n v="61"/>
    <m/>
    <m/>
    <n v="1"/>
    <m/>
    <m/>
    <m/>
    <m/>
    <n v="150"/>
    <m/>
    <m/>
    <m/>
    <m/>
    <m/>
    <m/>
    <m/>
    <m/>
    <m/>
    <m/>
    <m/>
    <m/>
    <m/>
    <m/>
    <m/>
    <n v="5"/>
    <n v="4"/>
    <n v="28"/>
    <n v="0"/>
    <m/>
    <x v="0"/>
    <m/>
  </r>
  <r>
    <x v="0"/>
    <s v="OUTREACH/BOOKMOBILE"/>
    <m/>
    <m/>
    <n v="905"/>
    <m/>
    <m/>
    <m/>
    <m/>
    <m/>
    <m/>
    <m/>
    <m/>
    <m/>
    <m/>
    <m/>
    <n v="1"/>
    <m/>
    <m/>
    <n v="2"/>
    <m/>
    <n v="25"/>
    <m/>
    <m/>
    <n v="16"/>
    <m/>
    <m/>
    <m/>
    <m/>
    <m/>
    <m/>
    <m/>
    <m/>
    <m/>
    <m/>
    <m/>
    <m/>
    <m/>
    <m/>
    <m/>
    <m/>
    <m/>
    <m/>
    <m/>
    <m/>
    <m/>
    <m/>
    <m/>
    <n v="385"/>
    <n v="2"/>
    <n v="8"/>
    <m/>
    <m/>
    <x v="0"/>
    <m/>
  </r>
  <r>
    <x v="0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0"/>
    <s v="YCL (System Wide)"/>
    <m/>
    <m/>
    <m/>
    <m/>
    <m/>
    <m/>
    <m/>
    <m/>
    <m/>
    <n v="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0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0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0"/>
    <s v="YCL (System Wide)"/>
    <m/>
    <m/>
    <m/>
    <m/>
    <n v="0"/>
    <m/>
    <n v="80838"/>
    <n v="357"/>
    <m/>
    <m/>
    <m/>
    <m/>
    <m/>
    <n v="53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0"/>
    <s v="YCL (System Wide)"/>
    <m/>
    <n v="6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"/>
    <s v="ROCK HILL"/>
    <m/>
    <n v="248"/>
    <n v="14835"/>
    <n v="1918"/>
    <m/>
    <m/>
    <m/>
    <m/>
    <n v="20"/>
    <m/>
    <m/>
    <m/>
    <m/>
    <m/>
    <m/>
    <m/>
    <n v="5"/>
    <n v="16"/>
    <n v="1"/>
    <m/>
    <m/>
    <n v="46"/>
    <n v="135"/>
    <n v="34"/>
    <m/>
    <m/>
    <m/>
    <m/>
    <m/>
    <m/>
    <m/>
    <m/>
    <m/>
    <m/>
    <m/>
    <m/>
    <m/>
    <m/>
    <m/>
    <m/>
    <m/>
    <m/>
    <m/>
    <m/>
    <m/>
    <m/>
    <n v="244"/>
    <n v="50"/>
    <n v="375"/>
    <n v="21"/>
    <m/>
    <x v="0"/>
    <m/>
  </r>
  <r>
    <x v="1"/>
    <s v="CLOVER"/>
    <m/>
    <n v="51"/>
    <n v="2957"/>
    <n v="353"/>
    <m/>
    <n v="1"/>
    <m/>
    <m/>
    <n v="0"/>
    <m/>
    <m/>
    <m/>
    <m/>
    <m/>
    <n v="1"/>
    <m/>
    <m/>
    <n v="4"/>
    <n v="1"/>
    <n v="16"/>
    <m/>
    <m/>
    <n v="20"/>
    <n v="5"/>
    <m/>
    <m/>
    <m/>
    <m/>
    <m/>
    <m/>
    <m/>
    <m/>
    <m/>
    <m/>
    <m/>
    <m/>
    <m/>
    <m/>
    <m/>
    <m/>
    <m/>
    <m/>
    <m/>
    <m/>
    <m/>
    <m/>
    <n v="100"/>
    <n v="26"/>
    <n v="76.5"/>
    <m/>
    <m/>
    <x v="0"/>
    <m/>
  </r>
  <r>
    <x v="1"/>
    <s v="FORT MILL"/>
    <m/>
    <n v="191"/>
    <n v="9858"/>
    <n v="765"/>
    <m/>
    <n v="3"/>
    <m/>
    <m/>
    <n v="5"/>
    <m/>
    <m/>
    <m/>
    <m/>
    <m/>
    <m/>
    <n v="1"/>
    <m/>
    <n v="6"/>
    <n v="1"/>
    <m/>
    <n v="15"/>
    <m/>
    <n v="50"/>
    <n v="52"/>
    <m/>
    <m/>
    <m/>
    <m/>
    <m/>
    <m/>
    <m/>
    <m/>
    <m/>
    <m/>
    <m/>
    <m/>
    <m/>
    <m/>
    <m/>
    <m/>
    <m/>
    <m/>
    <m/>
    <m/>
    <m/>
    <m/>
    <n v="242"/>
    <n v="1"/>
    <n v="1"/>
    <m/>
    <m/>
    <x v="0"/>
    <m/>
  </r>
  <r>
    <x v="1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"/>
    <n v="133"/>
    <m/>
    <m/>
    <x v="0"/>
    <m/>
  </r>
  <r>
    <x v="1"/>
    <s v="LAKE WYLIE"/>
    <m/>
    <n v="60"/>
    <n v="3610"/>
    <n v="196"/>
    <m/>
    <n v="10"/>
    <m/>
    <m/>
    <n v="0"/>
    <m/>
    <m/>
    <m/>
    <m/>
    <m/>
    <n v="1"/>
    <n v="0"/>
    <n v="0"/>
    <n v="10"/>
    <n v="4"/>
    <n v="7"/>
    <n v="0"/>
    <n v="0"/>
    <n v="82"/>
    <n v="27"/>
    <m/>
    <n v="0"/>
    <m/>
    <m/>
    <m/>
    <m/>
    <n v="0"/>
    <m/>
    <m/>
    <m/>
    <m/>
    <m/>
    <m/>
    <m/>
    <m/>
    <m/>
    <m/>
    <m/>
    <m/>
    <m/>
    <m/>
    <m/>
    <n v="249"/>
    <n v="11"/>
    <n v="81.5"/>
    <n v="3"/>
    <m/>
    <x v="0"/>
    <m/>
  </r>
  <r>
    <x v="1"/>
    <s v="YORK"/>
    <m/>
    <n v="130"/>
    <n v="3663"/>
    <n v="516"/>
    <m/>
    <n v="3"/>
    <m/>
    <m/>
    <n v="0"/>
    <m/>
    <m/>
    <m/>
    <m/>
    <m/>
    <m/>
    <m/>
    <m/>
    <n v="2"/>
    <m/>
    <m/>
    <m/>
    <m/>
    <n v="15"/>
    <m/>
    <m/>
    <n v="1"/>
    <m/>
    <m/>
    <m/>
    <m/>
    <n v="40"/>
    <m/>
    <m/>
    <m/>
    <m/>
    <m/>
    <m/>
    <m/>
    <m/>
    <m/>
    <m/>
    <m/>
    <m/>
    <m/>
    <m/>
    <m/>
    <n v="0"/>
    <n v="6"/>
    <n v="30"/>
    <n v="0"/>
    <m/>
    <x v="0"/>
    <m/>
  </r>
  <r>
    <x v="1"/>
    <s v="OUTREACH/BOOKMOBILE"/>
    <m/>
    <n v="34"/>
    <n v="7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3"/>
    <m/>
    <m/>
    <n v="6"/>
    <m/>
    <x v="0"/>
    <m/>
  </r>
  <r>
    <x v="1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"/>
    <s v="YCL (System Wide)"/>
    <m/>
    <m/>
    <m/>
    <m/>
    <m/>
    <m/>
    <m/>
    <m/>
    <m/>
    <n v="5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"/>
    <s v="YCL (System Wide)"/>
    <m/>
    <m/>
    <m/>
    <m/>
    <n v="0"/>
    <m/>
    <n v="84346"/>
    <n v="351"/>
    <m/>
    <m/>
    <m/>
    <m/>
    <m/>
    <n v="57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"/>
    <s v="YCL (System Wide)"/>
    <m/>
    <n v="7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2"/>
    <s v="ROCK HILL"/>
    <m/>
    <n v="122"/>
    <n v="12444"/>
    <n v="1383"/>
    <m/>
    <n v="5"/>
    <m/>
    <m/>
    <n v="13"/>
    <m/>
    <m/>
    <m/>
    <m/>
    <m/>
    <n v="23"/>
    <n v="73"/>
    <n v="20"/>
    <n v="21"/>
    <n v="9"/>
    <n v="899"/>
    <n v="73"/>
    <n v="1402"/>
    <n v="175"/>
    <n v="216"/>
    <m/>
    <n v="7"/>
    <m/>
    <m/>
    <m/>
    <m/>
    <n v="1308"/>
    <m/>
    <m/>
    <m/>
    <m/>
    <m/>
    <m/>
    <m/>
    <m/>
    <m/>
    <m/>
    <m/>
    <m/>
    <m/>
    <m/>
    <m/>
    <n v="259"/>
    <n v="10"/>
    <n v="23"/>
    <n v="9"/>
    <m/>
    <x v="0"/>
    <m/>
  </r>
  <r>
    <x v="2"/>
    <s v="FORT MILL"/>
    <m/>
    <m/>
    <n v="9136"/>
    <n v="541"/>
    <m/>
    <n v="2"/>
    <m/>
    <m/>
    <n v="5"/>
    <m/>
    <m/>
    <m/>
    <m/>
    <m/>
    <n v="14"/>
    <n v="4"/>
    <n v="6"/>
    <n v="11"/>
    <n v="3"/>
    <n v="418"/>
    <n v="49"/>
    <n v="68"/>
    <n v="71"/>
    <n v="114"/>
    <m/>
    <m/>
    <m/>
    <m/>
    <m/>
    <m/>
    <m/>
    <m/>
    <m/>
    <m/>
    <m/>
    <m/>
    <m/>
    <m/>
    <m/>
    <m/>
    <m/>
    <m/>
    <m/>
    <m/>
    <m/>
    <m/>
    <n v="368"/>
    <m/>
    <m/>
    <m/>
    <m/>
    <x v="0"/>
    <m/>
  </r>
  <r>
    <x v="2"/>
    <s v="LAKE WYLIE"/>
    <m/>
    <n v="48"/>
    <n v="3025"/>
    <n v="148"/>
    <m/>
    <n v="9"/>
    <m/>
    <m/>
    <n v="2"/>
    <m/>
    <m/>
    <m/>
    <m/>
    <m/>
    <n v="7"/>
    <n v="4"/>
    <n v="2"/>
    <n v="5"/>
    <n v="0"/>
    <n v="127"/>
    <n v="43"/>
    <n v="5"/>
    <n v="41"/>
    <n v="0"/>
    <m/>
    <n v="0"/>
    <m/>
    <m/>
    <m/>
    <m/>
    <n v="0"/>
    <m/>
    <m/>
    <m/>
    <m/>
    <m/>
    <m/>
    <m/>
    <m/>
    <m/>
    <m/>
    <m/>
    <m/>
    <m/>
    <m/>
    <m/>
    <n v="301"/>
    <n v="1"/>
    <n v="8"/>
    <n v="8"/>
    <m/>
    <x v="0"/>
    <m/>
  </r>
  <r>
    <x v="2"/>
    <s v="YORK"/>
    <m/>
    <m/>
    <n v="2841"/>
    <n v="347"/>
    <m/>
    <n v="2"/>
    <m/>
    <m/>
    <n v="0"/>
    <m/>
    <m/>
    <m/>
    <m/>
    <m/>
    <n v="9"/>
    <n v="3"/>
    <n v="1"/>
    <n v="7"/>
    <m/>
    <n v="166"/>
    <n v="81"/>
    <n v="7"/>
    <n v="60"/>
    <m/>
    <m/>
    <m/>
    <m/>
    <m/>
    <m/>
    <m/>
    <m/>
    <m/>
    <m/>
    <m/>
    <m/>
    <m/>
    <m/>
    <m/>
    <m/>
    <m/>
    <m/>
    <m/>
    <m/>
    <m/>
    <m/>
    <m/>
    <n v="70"/>
    <n v="5"/>
    <n v="10"/>
    <n v="0"/>
    <m/>
    <x v="0"/>
    <m/>
  </r>
  <r>
    <x v="2"/>
    <s v="OUTREACH/BOOKMOBILE"/>
    <m/>
    <m/>
    <n v="600"/>
    <m/>
    <m/>
    <m/>
    <m/>
    <m/>
    <m/>
    <m/>
    <m/>
    <m/>
    <m/>
    <m/>
    <n v="3"/>
    <m/>
    <m/>
    <m/>
    <m/>
    <n v="98"/>
    <m/>
    <m/>
    <m/>
    <m/>
    <m/>
    <m/>
    <m/>
    <m/>
    <m/>
    <m/>
    <m/>
    <m/>
    <m/>
    <m/>
    <m/>
    <m/>
    <m/>
    <m/>
    <m/>
    <m/>
    <m/>
    <m/>
    <m/>
    <m/>
    <m/>
    <m/>
    <n v="586"/>
    <m/>
    <m/>
    <m/>
    <m/>
    <x v="0"/>
    <m/>
  </r>
  <r>
    <x v="2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2"/>
    <s v="YCL (System Wide)"/>
    <m/>
    <m/>
    <m/>
    <m/>
    <m/>
    <m/>
    <m/>
    <m/>
    <m/>
    <n v="2"/>
    <n v="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2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2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2"/>
    <s v="YCL (System Wide)"/>
    <m/>
    <m/>
    <m/>
    <m/>
    <n v="0"/>
    <m/>
    <n v="65379"/>
    <n v="312"/>
    <m/>
    <m/>
    <m/>
    <m/>
    <m/>
    <n v="44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2"/>
    <s v="CLOVER"/>
    <m/>
    <m/>
    <n v="20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2"/>
    <s v="YCL (System Wide)"/>
    <m/>
    <n v="3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s v="CLOVER"/>
    <m/>
    <m/>
    <n v="2241"/>
    <n v="207"/>
    <m/>
    <m/>
    <m/>
    <m/>
    <m/>
    <m/>
    <m/>
    <m/>
    <m/>
    <m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0"/>
    <n v="35"/>
    <n v="59.5"/>
    <m/>
    <m/>
    <x v="0"/>
    <m/>
  </r>
  <r>
    <x v="3"/>
    <s v="FORT MILL"/>
    <m/>
    <m/>
    <n v="11408"/>
    <n v="686"/>
    <m/>
    <n v="14"/>
    <m/>
    <m/>
    <n v="6"/>
    <m/>
    <m/>
    <m/>
    <m/>
    <m/>
    <n v="23"/>
    <n v="6"/>
    <n v="7"/>
    <n v="14"/>
    <n v="4"/>
    <n v="683"/>
    <n v="66"/>
    <n v="93"/>
    <n v="116"/>
    <n v="154"/>
    <m/>
    <n v="1"/>
    <m/>
    <m/>
    <m/>
    <m/>
    <n v="400"/>
    <m/>
    <m/>
    <m/>
    <m/>
    <m/>
    <m/>
    <m/>
    <m/>
    <m/>
    <m/>
    <m/>
    <m/>
    <m/>
    <m/>
    <m/>
    <n v="365"/>
    <n v="16"/>
    <n v="120"/>
    <m/>
    <m/>
    <x v="0"/>
    <m/>
  </r>
  <r>
    <x v="3"/>
    <s v="LAKE WYLIE"/>
    <m/>
    <m/>
    <n v="3400"/>
    <n v="193"/>
    <m/>
    <n v="11"/>
    <m/>
    <m/>
    <n v="3"/>
    <m/>
    <m/>
    <m/>
    <m/>
    <m/>
    <n v="5"/>
    <n v="4"/>
    <n v="2"/>
    <n v="13"/>
    <n v="0"/>
    <n v="52"/>
    <n v="47"/>
    <n v="8"/>
    <n v="118"/>
    <n v="0"/>
    <m/>
    <n v="0"/>
    <m/>
    <m/>
    <m/>
    <m/>
    <n v="0"/>
    <m/>
    <m/>
    <m/>
    <m/>
    <m/>
    <m/>
    <m/>
    <m/>
    <m/>
    <m/>
    <m/>
    <m/>
    <m/>
    <m/>
    <m/>
    <n v="432"/>
    <n v="1"/>
    <n v="86"/>
    <n v="5"/>
    <m/>
    <x v="0"/>
    <m/>
  </r>
  <r>
    <x v="3"/>
    <s v="YORK"/>
    <m/>
    <m/>
    <n v="3286"/>
    <n v="409"/>
    <m/>
    <n v="5"/>
    <m/>
    <m/>
    <n v="0"/>
    <m/>
    <m/>
    <m/>
    <m/>
    <m/>
    <n v="7"/>
    <n v="3"/>
    <n v="1"/>
    <n v="8"/>
    <n v="1"/>
    <n v="73"/>
    <n v="68"/>
    <n v="5"/>
    <n v="67"/>
    <n v="20"/>
    <m/>
    <n v="1"/>
    <m/>
    <m/>
    <m/>
    <m/>
    <n v="57"/>
    <m/>
    <m/>
    <m/>
    <m/>
    <m/>
    <m/>
    <m/>
    <m/>
    <m/>
    <m/>
    <m/>
    <m/>
    <m/>
    <m/>
    <m/>
    <n v="48"/>
    <n v="18"/>
    <n v="86.5"/>
    <n v="2"/>
    <m/>
    <x v="0"/>
    <m/>
  </r>
  <r>
    <x v="3"/>
    <s v="OUTREACH/BOOKMOBILE"/>
    <m/>
    <m/>
    <n v="1153"/>
    <m/>
    <m/>
    <m/>
    <m/>
    <m/>
    <m/>
    <m/>
    <m/>
    <m/>
    <m/>
    <m/>
    <n v="4"/>
    <m/>
    <m/>
    <m/>
    <m/>
    <n v="104"/>
    <m/>
    <m/>
    <m/>
    <m/>
    <m/>
    <m/>
    <m/>
    <m/>
    <m/>
    <m/>
    <m/>
    <m/>
    <m/>
    <m/>
    <m/>
    <m/>
    <m/>
    <m/>
    <m/>
    <m/>
    <m/>
    <m/>
    <m/>
    <m/>
    <m/>
    <m/>
    <m/>
    <n v="1"/>
    <n v="1.5"/>
    <m/>
    <m/>
    <x v="0"/>
    <m/>
  </r>
  <r>
    <x v="3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s v="YCL (System Wide)"/>
    <m/>
    <m/>
    <m/>
    <m/>
    <n v="0"/>
    <m/>
    <n v="73349"/>
    <n v="333"/>
    <m/>
    <m/>
    <m/>
    <m/>
    <m/>
    <n v="54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s v="ROCK HILL"/>
    <m/>
    <m/>
    <n v="138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s v="YCL (System Wide)"/>
    <m/>
    <n v="5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s v="CLOVER"/>
    <m/>
    <n v="27"/>
    <n v="2152"/>
    <n v="216"/>
    <m/>
    <n v="1"/>
    <m/>
    <m/>
    <m/>
    <m/>
    <m/>
    <m/>
    <m/>
    <m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30"/>
    <n v="38"/>
    <n v="26.5"/>
    <m/>
    <m/>
    <x v="0"/>
    <m/>
  </r>
  <r>
    <x v="4"/>
    <s v="FORT MILL"/>
    <m/>
    <m/>
    <n v="10005"/>
    <n v="679"/>
    <m/>
    <n v="6"/>
    <m/>
    <m/>
    <n v="5"/>
    <m/>
    <m/>
    <m/>
    <m/>
    <m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469"/>
    <m/>
    <m/>
    <m/>
    <m/>
    <x v="0"/>
    <m/>
  </r>
  <r>
    <x v="4"/>
    <s v="LAKE WYLIE"/>
    <m/>
    <n v="46"/>
    <n v="3147"/>
    <n v="138"/>
    <m/>
    <n v="9"/>
    <m/>
    <m/>
    <n v="3"/>
    <m/>
    <m/>
    <m/>
    <m/>
    <m/>
    <n v="1"/>
    <n v="2"/>
    <n v="2"/>
    <n v="10"/>
    <n v="0"/>
    <n v="8"/>
    <n v="6"/>
    <n v="4"/>
    <n v="105"/>
    <n v="0"/>
    <m/>
    <n v="0"/>
    <m/>
    <m/>
    <m/>
    <m/>
    <n v="0"/>
    <m/>
    <m/>
    <m/>
    <m/>
    <m/>
    <m/>
    <m/>
    <m/>
    <m/>
    <m/>
    <m/>
    <m/>
    <m/>
    <m/>
    <m/>
    <n v="261"/>
    <n v="1"/>
    <n v="9"/>
    <n v="2"/>
    <m/>
    <x v="0"/>
    <m/>
  </r>
  <r>
    <x v="4"/>
    <s v="YORK"/>
    <m/>
    <n v="56"/>
    <n v="3430"/>
    <n v="395"/>
    <m/>
    <n v="3"/>
    <m/>
    <m/>
    <n v="0"/>
    <m/>
    <m/>
    <m/>
    <m/>
    <m/>
    <n v="10"/>
    <n v="2"/>
    <n v="2"/>
    <n v="9"/>
    <m/>
    <n v="146"/>
    <n v="56"/>
    <n v="15"/>
    <n v="91"/>
    <m/>
    <m/>
    <m/>
    <m/>
    <m/>
    <m/>
    <m/>
    <m/>
    <m/>
    <m/>
    <m/>
    <m/>
    <m/>
    <m/>
    <m/>
    <m/>
    <m/>
    <m/>
    <m/>
    <m/>
    <m/>
    <m/>
    <m/>
    <n v="150"/>
    <n v="4"/>
    <n v="16"/>
    <n v="3"/>
    <m/>
    <x v="0"/>
    <m/>
  </r>
  <r>
    <x v="4"/>
    <s v="OUTREACH/BOOKMOBILE"/>
    <m/>
    <m/>
    <n v="625"/>
    <m/>
    <m/>
    <m/>
    <m/>
    <m/>
    <m/>
    <m/>
    <m/>
    <m/>
    <m/>
    <m/>
    <n v="3"/>
    <m/>
    <m/>
    <m/>
    <m/>
    <n v="96"/>
    <m/>
    <m/>
    <m/>
    <m/>
    <m/>
    <m/>
    <m/>
    <m/>
    <m/>
    <m/>
    <m/>
    <m/>
    <m/>
    <m/>
    <m/>
    <m/>
    <m/>
    <m/>
    <m/>
    <m/>
    <m/>
    <m/>
    <m/>
    <m/>
    <m/>
    <m/>
    <n v="130"/>
    <n v="1"/>
    <n v="1"/>
    <m/>
    <m/>
    <x v="0"/>
    <m/>
  </r>
  <r>
    <x v="4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s v="YCL (System Wide)"/>
    <m/>
    <m/>
    <m/>
    <m/>
    <m/>
    <m/>
    <m/>
    <m/>
    <m/>
    <n v="7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s v="YCL (System Wide)"/>
    <m/>
    <m/>
    <m/>
    <m/>
    <m/>
    <m/>
    <m/>
    <m/>
    <m/>
    <n v="2"/>
    <n v="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s v="YCL (System Wide)"/>
    <m/>
    <m/>
    <m/>
    <m/>
    <n v="0"/>
    <m/>
    <n v="77438"/>
    <n v="350"/>
    <m/>
    <m/>
    <m/>
    <m/>
    <m/>
    <n v="45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s v="ROCK HILL"/>
    <m/>
    <m/>
    <n v="13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s v="YCL (System Wide)"/>
    <m/>
    <n v="5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s v="ROCK HILL"/>
    <m/>
    <n v="241"/>
    <n v="19042"/>
    <n v="2069"/>
    <m/>
    <n v="2"/>
    <m/>
    <m/>
    <n v="40"/>
    <m/>
    <m/>
    <m/>
    <m/>
    <m/>
    <n v="11"/>
    <n v="5"/>
    <n v="25"/>
    <n v="20"/>
    <n v="13"/>
    <n v="652"/>
    <n v="153"/>
    <n v="315"/>
    <n v="165"/>
    <n v="1092"/>
    <m/>
    <n v="2"/>
    <m/>
    <m/>
    <m/>
    <m/>
    <n v="71"/>
    <m/>
    <m/>
    <m/>
    <m/>
    <m/>
    <m/>
    <m/>
    <m/>
    <m/>
    <m/>
    <m/>
    <m/>
    <m/>
    <m/>
    <m/>
    <n v="674"/>
    <n v="9"/>
    <n v="53"/>
    <n v="7"/>
    <m/>
    <x v="0"/>
    <m/>
  </r>
  <r>
    <x v="5"/>
    <s v="CLOVER"/>
    <m/>
    <n v="33"/>
    <n v="3101"/>
    <n v="320"/>
    <m/>
    <m/>
    <m/>
    <m/>
    <n v="0"/>
    <m/>
    <m/>
    <m/>
    <m/>
    <m/>
    <n v="14"/>
    <n v="3"/>
    <n v="5"/>
    <n v="6"/>
    <n v="6"/>
    <n v="177"/>
    <n v="17"/>
    <n v="30"/>
    <n v="53"/>
    <n v="106"/>
    <m/>
    <m/>
    <m/>
    <m/>
    <m/>
    <m/>
    <m/>
    <m/>
    <m/>
    <m/>
    <m/>
    <m/>
    <m/>
    <m/>
    <m/>
    <m/>
    <m/>
    <m/>
    <m/>
    <m/>
    <m/>
    <m/>
    <n v="108"/>
    <n v="17"/>
    <n v="20.5"/>
    <m/>
    <m/>
    <x v="0"/>
    <m/>
  </r>
  <r>
    <x v="5"/>
    <s v="FORT MILL"/>
    <m/>
    <n v="332"/>
    <n v="13217"/>
    <n v="935"/>
    <m/>
    <n v="2"/>
    <m/>
    <m/>
    <n v="5"/>
    <m/>
    <m/>
    <m/>
    <m/>
    <m/>
    <n v="24"/>
    <n v="5"/>
    <n v="7"/>
    <n v="8"/>
    <n v="15"/>
    <n v="737"/>
    <n v="95"/>
    <n v="86"/>
    <n v="75"/>
    <n v="741"/>
    <m/>
    <n v="1"/>
    <m/>
    <m/>
    <m/>
    <m/>
    <n v="12"/>
    <m/>
    <m/>
    <m/>
    <m/>
    <m/>
    <m/>
    <m/>
    <m/>
    <m/>
    <m/>
    <m/>
    <m/>
    <m/>
    <m/>
    <m/>
    <n v="491"/>
    <n v="1"/>
    <n v="1"/>
    <m/>
    <m/>
    <x v="0"/>
    <m/>
  </r>
  <r>
    <x v="5"/>
    <s v="YORK"/>
    <m/>
    <n v="72"/>
    <n v="4740"/>
    <n v="538"/>
    <m/>
    <n v="2"/>
    <m/>
    <m/>
    <n v="0"/>
    <m/>
    <m/>
    <m/>
    <m/>
    <m/>
    <n v="9"/>
    <n v="10"/>
    <n v="3"/>
    <n v="7"/>
    <n v="0"/>
    <n v="143"/>
    <n v="292"/>
    <n v="32"/>
    <n v="114"/>
    <n v="0"/>
    <m/>
    <n v="0"/>
    <m/>
    <m/>
    <m/>
    <m/>
    <n v="0"/>
    <m/>
    <m/>
    <m/>
    <m/>
    <m/>
    <m/>
    <m/>
    <m/>
    <m/>
    <m/>
    <m/>
    <m/>
    <m/>
    <m/>
    <m/>
    <n v="35"/>
    <n v="6"/>
    <n v="108"/>
    <n v="0"/>
    <m/>
    <x v="0"/>
    <m/>
  </r>
  <r>
    <x v="5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s v="YCL (System Wide)"/>
    <m/>
    <m/>
    <m/>
    <m/>
    <m/>
    <m/>
    <m/>
    <m/>
    <m/>
    <n v="11"/>
    <n v="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s v="YCL (System Wide)"/>
    <m/>
    <m/>
    <m/>
    <m/>
    <n v="0"/>
    <m/>
    <n v="76749"/>
    <n v="376"/>
    <m/>
    <m/>
    <m/>
    <m/>
    <m/>
    <n v="48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s v="LAKE WYLIE"/>
    <m/>
    <n v="75"/>
    <n v="47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s v="YCL (System Wide)"/>
    <m/>
    <n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s v="OUTREACH / BOOKMOBILE"/>
    <m/>
    <n v="24"/>
    <n v="8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6"/>
    <s v="ROCK HILL"/>
    <m/>
    <n v="206"/>
    <n v="15534"/>
    <n v="2125"/>
    <m/>
    <n v="6"/>
    <m/>
    <m/>
    <n v="21"/>
    <m/>
    <m/>
    <m/>
    <m/>
    <m/>
    <n v="31"/>
    <n v="5"/>
    <n v="13"/>
    <n v="27"/>
    <n v="6"/>
    <n v="1188"/>
    <n v="116"/>
    <n v="155"/>
    <n v="277"/>
    <n v="106"/>
    <m/>
    <n v="7"/>
    <m/>
    <m/>
    <m/>
    <m/>
    <n v="111"/>
    <m/>
    <m/>
    <m/>
    <m/>
    <m/>
    <m/>
    <m/>
    <m/>
    <m/>
    <m/>
    <m/>
    <m/>
    <m/>
    <m/>
    <m/>
    <n v="30"/>
    <n v="42"/>
    <n v="40.5"/>
    <n v="10"/>
    <m/>
    <x v="0"/>
    <m/>
  </r>
  <r>
    <x v="6"/>
    <s v="CLOVER"/>
    <m/>
    <n v="35"/>
    <n v="2402"/>
    <n v="208"/>
    <m/>
    <n v="0"/>
    <m/>
    <m/>
    <m/>
    <m/>
    <m/>
    <m/>
    <m/>
    <m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0"/>
    <n v="19"/>
    <n v="20"/>
    <n v="0"/>
    <m/>
    <x v="0"/>
    <m/>
  </r>
  <r>
    <x v="6"/>
    <s v="FORT MILL"/>
    <m/>
    <m/>
    <n v="12508"/>
    <n v="810"/>
    <m/>
    <n v="14"/>
    <m/>
    <m/>
    <n v="5"/>
    <m/>
    <m/>
    <m/>
    <m/>
    <m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320"/>
    <n v="5"/>
    <n v="5"/>
    <m/>
    <m/>
    <x v="0"/>
    <m/>
  </r>
  <r>
    <x v="6"/>
    <s v="LAKE WYLIE"/>
    <m/>
    <n v="55"/>
    <n v="3808"/>
    <n v="218"/>
    <m/>
    <n v="12"/>
    <m/>
    <m/>
    <n v="2"/>
    <m/>
    <m/>
    <m/>
    <m/>
    <m/>
    <n v="4"/>
    <n v="2"/>
    <n v="2"/>
    <n v="13"/>
    <n v="2"/>
    <n v="39"/>
    <n v="7"/>
    <n v="19"/>
    <n v="122"/>
    <n v="16"/>
    <m/>
    <n v="0"/>
    <m/>
    <m/>
    <m/>
    <m/>
    <n v="0"/>
    <m/>
    <m/>
    <m/>
    <m/>
    <m/>
    <m/>
    <m/>
    <m/>
    <m/>
    <m/>
    <m/>
    <m/>
    <m/>
    <m/>
    <m/>
    <n v="365"/>
    <n v="1"/>
    <n v="53"/>
    <n v="9"/>
    <m/>
    <x v="0"/>
    <m/>
  </r>
  <r>
    <x v="6"/>
    <s v="YORK"/>
    <m/>
    <m/>
    <n v="3798"/>
    <n v="458"/>
    <m/>
    <n v="4"/>
    <m/>
    <m/>
    <n v="0"/>
    <m/>
    <m/>
    <m/>
    <m/>
    <m/>
    <n v="14"/>
    <n v="1"/>
    <n v="1"/>
    <n v="8"/>
    <m/>
    <n v="162"/>
    <n v="4"/>
    <n v="4"/>
    <n v="61"/>
    <m/>
    <m/>
    <n v="1"/>
    <m/>
    <m/>
    <m/>
    <m/>
    <n v="20"/>
    <m/>
    <m/>
    <m/>
    <m/>
    <m/>
    <m/>
    <m/>
    <m/>
    <m/>
    <m/>
    <m/>
    <m/>
    <m/>
    <m/>
    <m/>
    <n v="45"/>
    <n v="11"/>
    <n v="66"/>
    <n v="0"/>
    <m/>
    <x v="0"/>
    <m/>
  </r>
  <r>
    <x v="6"/>
    <s v="OUTREACH/BOOKMOBILE"/>
    <m/>
    <m/>
    <n v="507"/>
    <m/>
    <m/>
    <m/>
    <m/>
    <m/>
    <m/>
    <m/>
    <m/>
    <m/>
    <m/>
    <m/>
    <n v="4"/>
    <m/>
    <m/>
    <m/>
    <m/>
    <n v="123"/>
    <m/>
    <m/>
    <m/>
    <m/>
    <m/>
    <m/>
    <m/>
    <m/>
    <m/>
    <m/>
    <m/>
    <m/>
    <m/>
    <m/>
    <m/>
    <m/>
    <m/>
    <m/>
    <m/>
    <m/>
    <m/>
    <m/>
    <m/>
    <m/>
    <m/>
    <m/>
    <n v="489"/>
    <n v="2"/>
    <n v="2"/>
    <n v="3"/>
    <m/>
    <x v="0"/>
    <m/>
  </r>
  <r>
    <x v="6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6"/>
    <s v="YCL (System Wide)"/>
    <m/>
    <m/>
    <m/>
    <m/>
    <m/>
    <m/>
    <m/>
    <m/>
    <m/>
    <n v="6"/>
    <n v="1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6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6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6"/>
    <s v="YCL (System Wide)"/>
    <m/>
    <m/>
    <m/>
    <m/>
    <n v="0"/>
    <m/>
    <n v="82902"/>
    <n v="380"/>
    <m/>
    <m/>
    <m/>
    <m/>
    <m/>
    <n v="64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6"/>
    <s v="YCL (System Wide)"/>
    <m/>
    <n v="5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7"/>
    <s v="ROCK HILL"/>
    <m/>
    <n v="376"/>
    <n v="17040"/>
    <n v="1972"/>
    <m/>
    <n v="12"/>
    <m/>
    <m/>
    <n v="38"/>
    <m/>
    <m/>
    <m/>
    <m/>
    <m/>
    <n v="15"/>
    <n v="6"/>
    <n v="10"/>
    <n v="22"/>
    <n v="8"/>
    <n v="636"/>
    <n v="140"/>
    <n v="59"/>
    <n v="245"/>
    <n v="1644"/>
    <m/>
    <n v="5"/>
    <m/>
    <m/>
    <m/>
    <m/>
    <n v="21"/>
    <m/>
    <m/>
    <m/>
    <m/>
    <m/>
    <m/>
    <m/>
    <m/>
    <m/>
    <m/>
    <m/>
    <m/>
    <m/>
    <m/>
    <m/>
    <n v="0"/>
    <n v="15"/>
    <n v="14.5"/>
    <n v="7"/>
    <m/>
    <x v="0"/>
    <m/>
  </r>
  <r>
    <x v="7"/>
    <s v="CLOVER"/>
    <m/>
    <n v="59"/>
    <n v="2618"/>
    <n v="229"/>
    <m/>
    <n v="1"/>
    <m/>
    <m/>
    <n v="0"/>
    <n v="0"/>
    <n v="0"/>
    <m/>
    <m/>
    <m/>
    <n v="10"/>
    <n v="2"/>
    <n v="3"/>
    <n v="3"/>
    <n v="0"/>
    <n v="155"/>
    <n v="12"/>
    <n v="17"/>
    <n v="28"/>
    <n v="0"/>
    <m/>
    <n v="0"/>
    <m/>
    <m/>
    <m/>
    <m/>
    <n v="0"/>
    <m/>
    <m/>
    <m/>
    <m/>
    <m/>
    <m/>
    <m/>
    <m/>
    <m/>
    <m/>
    <m/>
    <m/>
    <m/>
    <m/>
    <m/>
    <n v="0"/>
    <n v="1"/>
    <n v="25"/>
    <n v="0"/>
    <m/>
    <x v="0"/>
    <m/>
  </r>
  <r>
    <x v="7"/>
    <s v="FORT MILL"/>
    <m/>
    <m/>
    <n v="12340"/>
    <n v="747"/>
    <m/>
    <n v="4"/>
    <m/>
    <m/>
    <n v="5"/>
    <m/>
    <m/>
    <m/>
    <m/>
    <m/>
    <n v="21"/>
    <n v="5"/>
    <n v="5"/>
    <n v="10"/>
    <n v="5"/>
    <n v="714"/>
    <n v="70"/>
    <n v="84"/>
    <n v="96"/>
    <n v="894"/>
    <m/>
    <n v="1"/>
    <m/>
    <m/>
    <m/>
    <m/>
    <n v="770"/>
    <m/>
    <m/>
    <m/>
    <m/>
    <m/>
    <m/>
    <m/>
    <m/>
    <m/>
    <m/>
    <m/>
    <m/>
    <m/>
    <m/>
    <m/>
    <n v="504"/>
    <n v="2"/>
    <n v="2"/>
    <m/>
    <m/>
    <x v="0"/>
    <m/>
  </r>
  <r>
    <x v="7"/>
    <s v="LAKE WYLIE"/>
    <m/>
    <n v="68"/>
    <n v="3939"/>
    <n v="163"/>
    <m/>
    <n v="4"/>
    <m/>
    <m/>
    <n v="2"/>
    <m/>
    <m/>
    <m/>
    <m/>
    <m/>
    <n v="4"/>
    <n v="5"/>
    <n v="2"/>
    <n v="9"/>
    <n v="3"/>
    <n v="50"/>
    <n v="51"/>
    <n v="11"/>
    <n v="91"/>
    <n v="3"/>
    <m/>
    <n v="0"/>
    <m/>
    <m/>
    <m/>
    <m/>
    <n v="0"/>
    <m/>
    <m/>
    <m/>
    <m/>
    <m/>
    <m/>
    <m/>
    <m/>
    <m/>
    <m/>
    <m/>
    <m/>
    <m/>
    <m/>
    <m/>
    <n v="411"/>
    <n v="1"/>
    <n v="9"/>
    <n v="1"/>
    <m/>
    <x v="0"/>
    <m/>
  </r>
  <r>
    <x v="7"/>
    <s v="YORK"/>
    <m/>
    <n v="64"/>
    <n v="3958"/>
    <n v="451"/>
    <m/>
    <n v="2"/>
    <m/>
    <m/>
    <n v="0"/>
    <m/>
    <m/>
    <m/>
    <m/>
    <m/>
    <n v="10"/>
    <n v="3"/>
    <n v="7"/>
    <n v="9"/>
    <n v="1"/>
    <n v="135"/>
    <n v="72"/>
    <n v="7"/>
    <n v="69"/>
    <n v="112"/>
    <m/>
    <m/>
    <m/>
    <m/>
    <m/>
    <m/>
    <m/>
    <m/>
    <m/>
    <m/>
    <m/>
    <m/>
    <m/>
    <m/>
    <m/>
    <m/>
    <m/>
    <m/>
    <m/>
    <m/>
    <m/>
    <m/>
    <n v="0"/>
    <n v="3"/>
    <n v="9"/>
    <n v="0"/>
    <m/>
    <x v="0"/>
    <m/>
  </r>
  <r>
    <x v="7"/>
    <s v="OUTREACH/BOOKMOBILE"/>
    <m/>
    <m/>
    <n v="571"/>
    <m/>
    <m/>
    <m/>
    <m/>
    <m/>
    <m/>
    <m/>
    <m/>
    <m/>
    <m/>
    <m/>
    <n v="1"/>
    <m/>
    <m/>
    <m/>
    <m/>
    <n v="8"/>
    <m/>
    <m/>
    <m/>
    <m/>
    <m/>
    <m/>
    <m/>
    <m/>
    <m/>
    <m/>
    <m/>
    <m/>
    <m/>
    <m/>
    <m/>
    <m/>
    <m/>
    <m/>
    <m/>
    <m/>
    <m/>
    <m/>
    <m/>
    <m/>
    <m/>
    <m/>
    <n v="133"/>
    <m/>
    <m/>
    <m/>
    <m/>
    <x v="0"/>
    <m/>
  </r>
  <r>
    <x v="7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7"/>
    <s v="YCL (System Wide)"/>
    <m/>
    <m/>
    <m/>
    <m/>
    <m/>
    <m/>
    <m/>
    <m/>
    <m/>
    <n v="4"/>
    <n v="1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7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7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7"/>
    <s v="YCL (System Wide)"/>
    <m/>
    <m/>
    <m/>
    <m/>
    <n v="0"/>
    <m/>
    <n v="89643"/>
    <n v="346"/>
    <m/>
    <m/>
    <m/>
    <m/>
    <m/>
    <n v="65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7"/>
    <s v="YCL (System Wide)"/>
    <m/>
    <n v="8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8"/>
    <s v="ROCK HILL"/>
    <m/>
    <m/>
    <n v="12852"/>
    <m/>
    <m/>
    <n v="6"/>
    <m/>
    <m/>
    <n v="20"/>
    <m/>
    <m/>
    <m/>
    <m/>
    <m/>
    <n v="23"/>
    <n v="5"/>
    <n v="8"/>
    <n v="18"/>
    <n v="4"/>
    <n v="900"/>
    <n v="132"/>
    <n v="1719"/>
    <n v="162"/>
    <n v="70"/>
    <m/>
    <n v="3"/>
    <m/>
    <m/>
    <m/>
    <m/>
    <n v="1645"/>
    <m/>
    <m/>
    <m/>
    <m/>
    <m/>
    <m/>
    <m/>
    <m/>
    <m/>
    <m/>
    <m/>
    <m/>
    <m/>
    <m/>
    <m/>
    <n v="140"/>
    <n v="17"/>
    <n v="76.25"/>
    <n v="8"/>
    <m/>
    <x v="0"/>
    <m/>
  </r>
  <r>
    <x v="8"/>
    <s v="CLOVER"/>
    <m/>
    <m/>
    <n v="2039"/>
    <n v="180"/>
    <m/>
    <m/>
    <m/>
    <m/>
    <m/>
    <m/>
    <m/>
    <m/>
    <m/>
    <m/>
    <n v="7"/>
    <n v="3"/>
    <n v="2"/>
    <n v="6"/>
    <n v="2"/>
    <n v="104"/>
    <n v="19"/>
    <n v="14"/>
    <n v="50"/>
    <n v="69"/>
    <m/>
    <m/>
    <m/>
    <m/>
    <m/>
    <m/>
    <m/>
    <m/>
    <m/>
    <m/>
    <m/>
    <m/>
    <m/>
    <m/>
    <m/>
    <m/>
    <m/>
    <m/>
    <m/>
    <m/>
    <m/>
    <m/>
    <n v="85"/>
    <n v="21"/>
    <n v="22"/>
    <m/>
    <m/>
    <x v="0"/>
    <m/>
  </r>
  <r>
    <x v="8"/>
    <s v="FORT MILL"/>
    <m/>
    <m/>
    <n v="8773"/>
    <n v="515"/>
    <m/>
    <n v="4"/>
    <m/>
    <m/>
    <n v="5"/>
    <m/>
    <m/>
    <m/>
    <m/>
    <m/>
    <n v="25"/>
    <n v="6"/>
    <n v="6"/>
    <n v="11"/>
    <n v="3"/>
    <n v="609"/>
    <n v="82"/>
    <n v="52"/>
    <n v="88"/>
    <n v="112"/>
    <m/>
    <m/>
    <m/>
    <m/>
    <m/>
    <m/>
    <m/>
    <m/>
    <m/>
    <m/>
    <m/>
    <m/>
    <m/>
    <m/>
    <m/>
    <m/>
    <m/>
    <m/>
    <m/>
    <m/>
    <m/>
    <m/>
    <n v="388"/>
    <m/>
    <m/>
    <m/>
    <m/>
    <x v="0"/>
    <m/>
  </r>
  <r>
    <x v="8"/>
    <s v="LAKE WYLIE"/>
    <m/>
    <n v="41"/>
    <n v="2877"/>
    <n v="149"/>
    <m/>
    <n v="7"/>
    <m/>
    <m/>
    <n v="2"/>
    <m/>
    <m/>
    <m/>
    <m/>
    <m/>
    <n v="7"/>
    <n v="5"/>
    <n v="2"/>
    <n v="8"/>
    <n v="1"/>
    <n v="122"/>
    <n v="44"/>
    <n v="5"/>
    <n v="60"/>
    <n v="8"/>
    <m/>
    <n v="0"/>
    <m/>
    <m/>
    <m/>
    <m/>
    <n v="0"/>
    <m/>
    <m/>
    <m/>
    <m/>
    <m/>
    <m/>
    <m/>
    <m/>
    <m/>
    <m/>
    <m/>
    <m/>
    <m/>
    <m/>
    <m/>
    <n v="349"/>
    <n v="14"/>
    <n v="85"/>
    <n v="4"/>
    <m/>
    <x v="0"/>
    <m/>
  </r>
  <r>
    <x v="8"/>
    <s v="YORK"/>
    <m/>
    <m/>
    <n v="3025"/>
    <n v="327"/>
    <m/>
    <n v="3"/>
    <m/>
    <m/>
    <n v="0"/>
    <m/>
    <m/>
    <m/>
    <m/>
    <m/>
    <n v="10"/>
    <n v="2"/>
    <n v="1"/>
    <n v="8"/>
    <m/>
    <n v="104"/>
    <n v="27"/>
    <n v="5"/>
    <n v="162"/>
    <m/>
    <m/>
    <n v="1"/>
    <m/>
    <m/>
    <m/>
    <m/>
    <n v="150"/>
    <m/>
    <m/>
    <m/>
    <m/>
    <m/>
    <m/>
    <m/>
    <m/>
    <m/>
    <m/>
    <m/>
    <m/>
    <m/>
    <m/>
    <m/>
    <n v="0"/>
    <n v="5"/>
    <n v="75"/>
    <n v="1"/>
    <m/>
    <x v="0"/>
    <m/>
  </r>
  <r>
    <x v="8"/>
    <s v="OUTREACH/BOOKMOBILE"/>
    <m/>
    <m/>
    <n v="830"/>
    <m/>
    <m/>
    <m/>
    <m/>
    <m/>
    <m/>
    <m/>
    <m/>
    <m/>
    <m/>
    <m/>
    <n v="4"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x v="0"/>
    <m/>
  </r>
  <r>
    <x v="8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8"/>
    <s v="YCL (System Wide)"/>
    <m/>
    <m/>
    <m/>
    <m/>
    <m/>
    <m/>
    <m/>
    <m/>
    <m/>
    <n v="4"/>
    <n v="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8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8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8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8"/>
    <s v="YCL (System Wide)"/>
    <m/>
    <m/>
    <m/>
    <m/>
    <n v="0"/>
    <m/>
    <n v="67938"/>
    <n v="270"/>
    <m/>
    <m/>
    <m/>
    <m/>
    <m/>
    <n v="38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8"/>
    <s v="YCL (System Wide)"/>
    <m/>
    <n v="3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9"/>
    <s v="OUTREACH/BOOKMOBILE"/>
    <m/>
    <m/>
    <n v="815"/>
    <m/>
    <m/>
    <m/>
    <m/>
    <m/>
    <m/>
    <m/>
    <m/>
    <m/>
    <m/>
    <m/>
    <n v="4"/>
    <m/>
    <m/>
    <m/>
    <m/>
    <n v="58"/>
    <m/>
    <m/>
    <m/>
    <m/>
    <m/>
    <m/>
    <m/>
    <m/>
    <m/>
    <m/>
    <m/>
    <m/>
    <m/>
    <m/>
    <m/>
    <m/>
    <m/>
    <m/>
    <m/>
    <m/>
    <m/>
    <m/>
    <m/>
    <m/>
    <m/>
    <m/>
    <n v="445"/>
    <m/>
    <m/>
    <n v="7"/>
    <m/>
    <x v="0"/>
    <m/>
  </r>
  <r>
    <x v="9"/>
    <s v="ROCK HILL"/>
    <m/>
    <m/>
    <n v="15812"/>
    <n v="1930"/>
    <m/>
    <n v="3"/>
    <m/>
    <m/>
    <n v="31"/>
    <m/>
    <m/>
    <m/>
    <m/>
    <m/>
    <n v="25"/>
    <n v="9"/>
    <n v="11"/>
    <n v="20"/>
    <n v="7"/>
    <n v="959"/>
    <n v="221"/>
    <n v="137"/>
    <n v="161"/>
    <n v="178"/>
    <m/>
    <n v="5"/>
    <m/>
    <m/>
    <m/>
    <m/>
    <n v="221"/>
    <m/>
    <m/>
    <m/>
    <m/>
    <m/>
    <m/>
    <m/>
    <m/>
    <m/>
    <m/>
    <m/>
    <m/>
    <m/>
    <m/>
    <m/>
    <n v="180"/>
    <n v="14"/>
    <n v="47.75"/>
    <n v="13"/>
    <m/>
    <x v="0"/>
    <m/>
  </r>
  <r>
    <x v="9"/>
    <s v="CLOVER"/>
    <m/>
    <n v="35"/>
    <n v="2983"/>
    <n v="288"/>
    <m/>
    <m/>
    <m/>
    <m/>
    <m/>
    <m/>
    <m/>
    <m/>
    <m/>
    <m/>
    <n v="12"/>
    <n v="2"/>
    <n v="2"/>
    <n v="7"/>
    <n v="3"/>
    <n v="140"/>
    <n v="16"/>
    <n v="11"/>
    <n v="60"/>
    <n v="251"/>
    <m/>
    <m/>
    <m/>
    <m/>
    <m/>
    <m/>
    <m/>
    <m/>
    <m/>
    <m/>
    <m/>
    <m/>
    <m/>
    <m/>
    <m/>
    <m/>
    <m/>
    <m/>
    <m/>
    <m/>
    <m/>
    <m/>
    <n v="86"/>
    <n v="30"/>
    <n v="76"/>
    <m/>
    <m/>
    <x v="0"/>
    <m/>
  </r>
  <r>
    <x v="9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9"/>
    <s v="FORT MILL"/>
    <m/>
    <m/>
    <n v="11091"/>
    <n v="729"/>
    <m/>
    <m/>
    <m/>
    <m/>
    <n v="5"/>
    <m/>
    <m/>
    <m/>
    <m/>
    <m/>
    <n v="40"/>
    <n v="6"/>
    <n v="8"/>
    <n v="10"/>
    <n v="4"/>
    <n v="806"/>
    <n v="82"/>
    <n v="71"/>
    <n v="100"/>
    <n v="108"/>
    <m/>
    <m/>
    <m/>
    <m/>
    <m/>
    <m/>
    <m/>
    <m/>
    <m/>
    <m/>
    <m/>
    <m/>
    <m/>
    <m/>
    <m/>
    <m/>
    <m/>
    <m/>
    <m/>
    <m/>
    <m/>
    <m/>
    <n v="328"/>
    <m/>
    <m/>
    <m/>
    <m/>
    <x v="0"/>
    <m/>
  </r>
  <r>
    <x v="9"/>
    <s v="LAKE WYLIE"/>
    <m/>
    <n v="47"/>
    <n v="3989"/>
    <n v="167"/>
    <m/>
    <n v="9"/>
    <m/>
    <m/>
    <n v="2"/>
    <m/>
    <m/>
    <m/>
    <m/>
    <m/>
    <n v="8"/>
    <n v="6"/>
    <n v="3"/>
    <n v="10"/>
    <n v="3"/>
    <n v="178"/>
    <n v="78"/>
    <n v="13"/>
    <n v="83"/>
    <n v="13"/>
    <m/>
    <n v="1"/>
    <m/>
    <m/>
    <m/>
    <m/>
    <n v="24"/>
    <m/>
    <m/>
    <m/>
    <m/>
    <m/>
    <m/>
    <m/>
    <m/>
    <m/>
    <m/>
    <m/>
    <m/>
    <m/>
    <m/>
    <m/>
    <n v="290"/>
    <n v="1"/>
    <n v="6"/>
    <n v="3"/>
    <m/>
    <x v="0"/>
    <m/>
  </r>
  <r>
    <x v="9"/>
    <s v="YORK"/>
    <m/>
    <m/>
    <n v="4509"/>
    <n v="616"/>
    <m/>
    <n v="1"/>
    <m/>
    <m/>
    <n v="0"/>
    <m/>
    <m/>
    <m/>
    <m/>
    <m/>
    <n v="11"/>
    <n v="4"/>
    <n v="2"/>
    <n v="9"/>
    <m/>
    <n v="152"/>
    <n v="116"/>
    <n v="11"/>
    <n v="77"/>
    <m/>
    <m/>
    <m/>
    <m/>
    <m/>
    <m/>
    <m/>
    <m/>
    <m/>
    <m/>
    <m/>
    <m/>
    <m/>
    <m/>
    <m/>
    <m/>
    <m/>
    <m/>
    <m/>
    <m/>
    <m/>
    <m/>
    <m/>
    <n v="46"/>
    <n v="6"/>
    <n v="12"/>
    <n v="2"/>
    <m/>
    <x v="0"/>
    <m/>
  </r>
  <r>
    <x v="9"/>
    <s v="OUTREACH/BOOKMOBILE"/>
    <m/>
    <m/>
    <n v="944"/>
    <m/>
    <m/>
    <m/>
    <m/>
    <m/>
    <m/>
    <m/>
    <m/>
    <m/>
    <m/>
    <m/>
    <m/>
    <m/>
    <m/>
    <m/>
    <n v="2"/>
    <m/>
    <m/>
    <m/>
    <m/>
    <n v="45"/>
    <m/>
    <m/>
    <m/>
    <m/>
    <m/>
    <m/>
    <m/>
    <m/>
    <m/>
    <m/>
    <m/>
    <m/>
    <m/>
    <m/>
    <m/>
    <m/>
    <m/>
    <m/>
    <m/>
    <m/>
    <m/>
    <m/>
    <n v="426"/>
    <m/>
    <m/>
    <n v="5"/>
    <m/>
    <x v="0"/>
    <m/>
  </r>
  <r>
    <x v="9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9"/>
    <s v="YCL (System Wide)"/>
    <m/>
    <m/>
    <m/>
    <m/>
    <m/>
    <m/>
    <m/>
    <m/>
    <m/>
    <n v="4"/>
    <n v="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9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9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9"/>
    <s v="YCL (System Wide)"/>
    <m/>
    <m/>
    <m/>
    <m/>
    <n v="0"/>
    <m/>
    <n v="85295"/>
    <n v="364"/>
    <m/>
    <m/>
    <m/>
    <m/>
    <m/>
    <n v="4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9"/>
    <s v="YCL (System Wide)"/>
    <m/>
    <n v="5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0"/>
    <s v="ROCK HILL"/>
    <m/>
    <n v="202"/>
    <n v="14352"/>
    <m/>
    <m/>
    <n v="2"/>
    <m/>
    <m/>
    <n v="26"/>
    <m/>
    <m/>
    <m/>
    <m/>
    <m/>
    <n v="27"/>
    <n v="7"/>
    <n v="11"/>
    <n v="21"/>
    <n v="7"/>
    <n v="1083"/>
    <n v="1357"/>
    <n v="123"/>
    <n v="184"/>
    <n v="813"/>
    <m/>
    <n v="8"/>
    <m/>
    <m/>
    <m/>
    <m/>
    <n v="2010"/>
    <m/>
    <m/>
    <m/>
    <m/>
    <m/>
    <m/>
    <m/>
    <m/>
    <m/>
    <m/>
    <m/>
    <m/>
    <m/>
    <m/>
    <m/>
    <n v="75"/>
    <n v="10"/>
    <n v="28"/>
    <n v="3"/>
    <m/>
    <x v="0"/>
    <m/>
  </r>
  <r>
    <x v="10"/>
    <s v="CLOVER"/>
    <m/>
    <n v="34"/>
    <n v="2576"/>
    <n v="265"/>
    <m/>
    <n v="1"/>
    <m/>
    <m/>
    <m/>
    <m/>
    <m/>
    <m/>
    <m/>
    <m/>
    <n v="9"/>
    <n v="2"/>
    <n v="2"/>
    <n v="6"/>
    <n v="2"/>
    <n v="118"/>
    <n v="28"/>
    <n v="8"/>
    <n v="48"/>
    <n v="65"/>
    <m/>
    <m/>
    <m/>
    <m/>
    <m/>
    <m/>
    <m/>
    <m/>
    <m/>
    <m/>
    <m/>
    <m/>
    <m/>
    <m/>
    <m/>
    <m/>
    <m/>
    <m/>
    <m/>
    <m/>
    <m/>
    <m/>
    <n v="115"/>
    <n v="4"/>
    <n v="9.5"/>
    <m/>
    <m/>
    <x v="0"/>
    <m/>
  </r>
  <r>
    <x v="10"/>
    <s v="FORT MILL"/>
    <m/>
    <n v="208"/>
    <n v="10362"/>
    <n v="672"/>
    <m/>
    <n v="2"/>
    <m/>
    <m/>
    <n v="5"/>
    <m/>
    <m/>
    <m/>
    <m/>
    <m/>
    <n v="31"/>
    <n v="5"/>
    <n v="7"/>
    <n v="11"/>
    <n v="1"/>
    <n v="819"/>
    <n v="66"/>
    <n v="85"/>
    <n v="88"/>
    <n v="62"/>
    <m/>
    <m/>
    <m/>
    <m/>
    <m/>
    <m/>
    <m/>
    <m/>
    <m/>
    <m/>
    <m/>
    <m/>
    <m/>
    <m/>
    <m/>
    <m/>
    <m/>
    <m/>
    <m/>
    <m/>
    <m/>
    <m/>
    <n v="407"/>
    <n v="2"/>
    <n v="9"/>
    <m/>
    <m/>
    <x v="0"/>
    <m/>
  </r>
  <r>
    <x v="10"/>
    <s v="LAKE WYLIE"/>
    <m/>
    <n v="40"/>
    <n v="3476"/>
    <n v="162"/>
    <m/>
    <n v="11"/>
    <m/>
    <m/>
    <n v="0"/>
    <m/>
    <m/>
    <m/>
    <m/>
    <m/>
    <n v="5"/>
    <n v="5"/>
    <n v="1"/>
    <n v="9"/>
    <n v="3"/>
    <n v="82"/>
    <n v="74"/>
    <n v="3"/>
    <n v="59"/>
    <n v="8"/>
    <m/>
    <n v="0"/>
    <m/>
    <m/>
    <m/>
    <m/>
    <n v="0"/>
    <m/>
    <m/>
    <m/>
    <m/>
    <m/>
    <m/>
    <m/>
    <m/>
    <m/>
    <m/>
    <m/>
    <m/>
    <m/>
    <m/>
    <m/>
    <n v="256"/>
    <n v="1"/>
    <n v="16.5"/>
    <n v="5"/>
    <m/>
    <x v="0"/>
    <m/>
  </r>
  <r>
    <x v="10"/>
    <s v="YORK"/>
    <m/>
    <n v="62"/>
    <n v="3624"/>
    <n v="432"/>
    <m/>
    <n v="3"/>
    <m/>
    <m/>
    <n v="0"/>
    <m/>
    <m/>
    <m/>
    <m/>
    <m/>
    <n v="13"/>
    <n v="3"/>
    <n v="1"/>
    <n v="9"/>
    <m/>
    <n v="201"/>
    <n v="81"/>
    <n v="4"/>
    <n v="78"/>
    <m/>
    <m/>
    <n v="1"/>
    <m/>
    <m/>
    <m/>
    <m/>
    <n v="200"/>
    <m/>
    <m/>
    <m/>
    <m/>
    <m/>
    <m/>
    <m/>
    <m/>
    <m/>
    <m/>
    <m/>
    <m/>
    <m/>
    <m/>
    <m/>
    <n v="26"/>
    <n v="11"/>
    <n v="16"/>
    <n v="4"/>
    <m/>
    <x v="0"/>
    <m/>
  </r>
  <r>
    <x v="10"/>
    <s v="OUTREACH/BOOKMOBILE"/>
    <m/>
    <n v="31"/>
    <n v="8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8"/>
    <n v="3"/>
    <n v="18"/>
    <n v="3"/>
    <m/>
    <x v="0"/>
    <m/>
  </r>
  <r>
    <x v="10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0"/>
    <s v="YCL (System Wide)"/>
    <m/>
    <m/>
    <m/>
    <m/>
    <m/>
    <m/>
    <m/>
    <m/>
    <m/>
    <n v="5"/>
    <n v="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0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0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0"/>
    <s v="YCL (System Wide)"/>
    <m/>
    <m/>
    <m/>
    <m/>
    <n v="0"/>
    <m/>
    <n v="77925"/>
    <n v="317"/>
    <m/>
    <m/>
    <m/>
    <m/>
    <m/>
    <n v="42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0"/>
    <s v="YCL (System Wide)"/>
    <m/>
    <n v="5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1"/>
    <s v="ROCK HILL"/>
    <n v="325"/>
    <m/>
    <n v="17538"/>
    <n v="1922"/>
    <n v="3497"/>
    <n v="3"/>
    <n v="19988"/>
    <n v="0"/>
    <m/>
    <n v="122"/>
    <n v="4"/>
    <n v="2857"/>
    <n v="6142"/>
    <m/>
    <n v="11"/>
    <n v="4"/>
    <n v="18"/>
    <n v="19"/>
    <n v="16"/>
    <n v="456"/>
    <n v="88"/>
    <n v="237"/>
    <n v="164"/>
    <n v="1609"/>
    <m/>
    <m/>
    <m/>
    <m/>
    <m/>
    <m/>
    <m/>
    <m/>
    <m/>
    <m/>
    <m/>
    <m/>
    <m/>
    <m/>
    <m/>
    <m/>
    <m/>
    <m/>
    <m/>
    <m/>
    <m/>
    <m/>
    <m/>
    <n v="15"/>
    <n v="14"/>
    <n v="18"/>
    <m/>
    <x v="0"/>
    <n v="159"/>
  </r>
  <r>
    <x v="11"/>
    <s v="CLOVER"/>
    <n v="50"/>
    <m/>
    <n v="3142"/>
    <n v="323"/>
    <n v="505"/>
    <n v="1"/>
    <n v="4091"/>
    <n v="50"/>
    <m/>
    <m/>
    <m/>
    <n v="992"/>
    <n v="1832"/>
    <m/>
    <n v="11"/>
    <n v="3"/>
    <n v="2"/>
    <n v="6"/>
    <n v="7"/>
    <n v="175"/>
    <n v="47"/>
    <n v="17"/>
    <n v="46"/>
    <n v="260"/>
    <m/>
    <m/>
    <m/>
    <m/>
    <m/>
    <m/>
    <m/>
    <m/>
    <m/>
    <m/>
    <m/>
    <m/>
    <m/>
    <m/>
    <m/>
    <m/>
    <m/>
    <m/>
    <m/>
    <m/>
    <m/>
    <m/>
    <m/>
    <n v="28"/>
    <n v="31"/>
    <n v="0"/>
    <m/>
    <x v="0"/>
    <n v="43"/>
  </r>
  <r>
    <x v="11"/>
    <s v="FORT MILL"/>
    <n v="329"/>
    <m/>
    <n v="12647"/>
    <n v="913"/>
    <n v="1944"/>
    <n v="0"/>
    <n v="24821"/>
    <n v="26"/>
    <m/>
    <m/>
    <m/>
    <n v="1523"/>
    <n v="6441"/>
    <m/>
    <n v="22"/>
    <n v="4"/>
    <n v="7"/>
    <n v="8"/>
    <n v="17"/>
    <n v="684"/>
    <n v="113"/>
    <n v="71"/>
    <n v="76"/>
    <n v="998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  <n v="241"/>
  </r>
  <r>
    <x v="11"/>
    <s v="LAKE WYLIE"/>
    <n v="91"/>
    <m/>
    <n v="4927"/>
    <n v="202"/>
    <n v="665"/>
    <n v="6"/>
    <n v="6628"/>
    <n v="19"/>
    <m/>
    <m/>
    <m/>
    <n v="1337"/>
    <n v="2787"/>
    <m/>
    <n v="6"/>
    <n v="3"/>
    <n v="3"/>
    <n v="9"/>
    <n v="1"/>
    <n v="138"/>
    <n v="32"/>
    <n v="31"/>
    <n v="71"/>
    <n v="72"/>
    <m/>
    <m/>
    <m/>
    <m/>
    <m/>
    <m/>
    <m/>
    <m/>
    <m/>
    <m/>
    <m/>
    <m/>
    <m/>
    <m/>
    <m/>
    <m/>
    <m/>
    <m/>
    <m/>
    <m/>
    <m/>
    <m/>
    <m/>
    <n v="1"/>
    <n v="20"/>
    <n v="5"/>
    <m/>
    <x v="0"/>
    <n v="128"/>
  </r>
  <r>
    <x v="11"/>
    <s v="YORK"/>
    <n v="91"/>
    <m/>
    <n v="4363"/>
    <n v="482"/>
    <n v="877"/>
    <n v="2"/>
    <n v="5114"/>
    <n v="82"/>
    <m/>
    <m/>
    <m/>
    <n v="1349"/>
    <n v="2303"/>
    <m/>
    <n v="11"/>
    <n v="8"/>
    <n v="1"/>
    <n v="6"/>
    <n v="0"/>
    <n v="204"/>
    <n v="452"/>
    <n v="7"/>
    <n v="40"/>
    <n v="0"/>
    <m/>
    <m/>
    <m/>
    <m/>
    <m/>
    <m/>
    <m/>
    <m/>
    <m/>
    <m/>
    <m/>
    <m/>
    <m/>
    <m/>
    <m/>
    <m/>
    <m/>
    <m/>
    <m/>
    <m/>
    <m/>
    <m/>
    <m/>
    <n v="6"/>
    <n v="12"/>
    <n v="3"/>
    <m/>
    <x v="0"/>
    <n v="59"/>
  </r>
  <r>
    <x v="11"/>
    <s v="OUTREACH / BOOKMOBILE"/>
    <n v="36"/>
    <m/>
    <n v="756"/>
    <m/>
    <m/>
    <m/>
    <n v="1542"/>
    <m/>
    <m/>
    <m/>
    <m/>
    <n v="19"/>
    <n v="397"/>
    <m/>
    <n v="1"/>
    <n v="0"/>
    <n v="0"/>
    <n v="0"/>
    <n v="0"/>
    <n v="10"/>
    <n v="0"/>
    <n v="0"/>
    <n v="0"/>
    <n v="0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  <m/>
  </r>
  <r>
    <x v="0"/>
    <s v="CLOVER"/>
    <m/>
    <n v="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03"/>
  </r>
  <r>
    <x v="0"/>
    <s v="FORT MILL"/>
    <m/>
    <n v="4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21"/>
  </r>
  <r>
    <x v="0"/>
    <s v="LAKE WYLIE"/>
    <m/>
    <n v="1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82"/>
  </r>
  <r>
    <x v="0"/>
    <s v="ROCK HILL"/>
    <m/>
    <n v="3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68"/>
  </r>
  <r>
    <x v="0"/>
    <s v="YORK"/>
    <m/>
    <n v="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4"/>
  </r>
  <r>
    <x v="0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0"/>
    <s v="ROCK HILL"/>
    <n v="218"/>
    <m/>
    <n v="15340"/>
    <n v="2034"/>
    <n v="3639"/>
    <n v="4"/>
    <n v="15145"/>
    <n v="139"/>
    <m/>
    <n v="6"/>
    <n v="116"/>
    <n v="2870"/>
    <n v="6318"/>
    <n v="563"/>
    <n v="22"/>
    <n v="6"/>
    <n v="15"/>
    <n v="29"/>
    <n v="6"/>
    <n v="890"/>
    <n v="277"/>
    <n v="162"/>
    <n v="292"/>
    <n v="156"/>
    <m/>
    <m/>
    <m/>
    <m/>
    <m/>
    <m/>
    <m/>
    <m/>
    <m/>
    <m/>
    <m/>
    <m/>
    <m/>
    <m/>
    <m/>
    <m/>
    <m/>
    <m/>
    <m/>
    <m/>
    <m/>
    <m/>
    <n v="12"/>
    <n v="14"/>
    <n v="22"/>
    <n v="8"/>
    <m/>
    <x v="1"/>
    <m/>
  </r>
  <r>
    <x v="0"/>
    <s v="CLOVER"/>
    <n v="62"/>
    <m/>
    <n v="2761"/>
    <n v="214"/>
    <n v="557"/>
    <n v="1"/>
    <n v="3132"/>
    <n v="59"/>
    <m/>
    <m/>
    <m/>
    <n v="985"/>
    <n v="2044"/>
    <n v="163"/>
    <n v="8"/>
    <n v="2"/>
    <n v="2"/>
    <n v="1"/>
    <n v="3"/>
    <n v="85"/>
    <n v="21"/>
    <n v="6"/>
    <n v="4"/>
    <n v="30"/>
    <m/>
    <m/>
    <m/>
    <m/>
    <m/>
    <m/>
    <m/>
    <m/>
    <m/>
    <m/>
    <m/>
    <m/>
    <m/>
    <m/>
    <m/>
    <m/>
    <m/>
    <m/>
    <m/>
    <m/>
    <m/>
    <m/>
    <n v="1"/>
    <n v="4"/>
    <n v="25"/>
    <n v="0"/>
    <m/>
    <x v="1"/>
    <m/>
  </r>
  <r>
    <x v="0"/>
    <s v="FORT MILL"/>
    <n v="203"/>
    <m/>
    <n v="11742"/>
    <n v="781"/>
    <n v="1868"/>
    <n v="6"/>
    <n v="19642"/>
    <n v="28"/>
    <m/>
    <m/>
    <m/>
    <n v="1762"/>
    <n v="6719"/>
    <n v="380"/>
    <n v="21"/>
    <n v="9"/>
    <n v="7"/>
    <n v="11"/>
    <n v="6"/>
    <n v="754"/>
    <n v="778"/>
    <n v="65"/>
    <n v="94"/>
    <n v="265"/>
    <m/>
    <m/>
    <m/>
    <m/>
    <m/>
    <m/>
    <m/>
    <m/>
    <m/>
    <m/>
    <m/>
    <m/>
    <m/>
    <m/>
    <m/>
    <m/>
    <m/>
    <m/>
    <m/>
    <m/>
    <m/>
    <m/>
    <n v="5"/>
    <n v="4"/>
    <n v="20"/>
    <n v="0"/>
    <m/>
    <x v="1"/>
    <m/>
  </r>
  <r>
    <x v="0"/>
    <s v="LAKE WYLIE"/>
    <n v="64"/>
    <m/>
    <n v="3868"/>
    <n v="188"/>
    <n v="857"/>
    <n v="10"/>
    <n v="4663"/>
    <n v="15"/>
    <m/>
    <m/>
    <m/>
    <n v="1418"/>
    <n v="2758"/>
    <n v="107"/>
    <n v="4"/>
    <n v="4"/>
    <n v="2"/>
    <n v="12"/>
    <n v="2"/>
    <n v="40"/>
    <n v="20"/>
    <n v="9"/>
    <n v="100"/>
    <n v="11"/>
    <m/>
    <m/>
    <m/>
    <m/>
    <m/>
    <m/>
    <m/>
    <m/>
    <m/>
    <m/>
    <m/>
    <m/>
    <m/>
    <m/>
    <m/>
    <m/>
    <m/>
    <m/>
    <m/>
    <m/>
    <m/>
    <m/>
    <n v="9"/>
    <n v="1"/>
    <n v="25"/>
    <n v="5"/>
    <m/>
    <x v="1"/>
    <m/>
  </r>
  <r>
    <x v="0"/>
    <s v="YORK"/>
    <n v="82"/>
    <m/>
    <n v="3598"/>
    <n v="377"/>
    <n v="932"/>
    <n v="2"/>
    <n v="3804"/>
    <n v="112"/>
    <m/>
    <m/>
    <m/>
    <n v="1341"/>
    <n v="2373"/>
    <n v="184"/>
    <n v="12"/>
    <n v="3"/>
    <n v="1"/>
    <n v="7"/>
    <n v="0"/>
    <n v="206"/>
    <n v="66"/>
    <n v="4"/>
    <n v="61"/>
    <n v="0"/>
    <m/>
    <m/>
    <m/>
    <m/>
    <m/>
    <m/>
    <m/>
    <m/>
    <m/>
    <m/>
    <m/>
    <m/>
    <m/>
    <m/>
    <m/>
    <m/>
    <m/>
    <m/>
    <m/>
    <m/>
    <m/>
    <m/>
    <n v="2"/>
    <n v="4"/>
    <n v="28"/>
    <n v="0"/>
    <m/>
    <x v="1"/>
    <m/>
  </r>
  <r>
    <x v="0"/>
    <s v="OUTREACH / BOOKMOBILE"/>
    <n v="43"/>
    <m/>
    <n v="905"/>
    <m/>
    <m/>
    <m/>
    <n v="1647"/>
    <n v="4"/>
    <m/>
    <m/>
    <m/>
    <n v="15"/>
    <n v="404"/>
    <m/>
    <n v="1"/>
    <n v="0"/>
    <n v="0"/>
    <n v="2"/>
    <n v="0"/>
    <n v="25"/>
    <n v="0"/>
    <n v="0"/>
    <n v="16"/>
    <n v="0"/>
    <m/>
    <m/>
    <m/>
    <m/>
    <m/>
    <m/>
    <m/>
    <m/>
    <m/>
    <m/>
    <m/>
    <m/>
    <m/>
    <m/>
    <m/>
    <m/>
    <m/>
    <m/>
    <m/>
    <m/>
    <m/>
    <m/>
    <n v="21"/>
    <n v="2"/>
    <n v="8"/>
    <n v="0"/>
    <m/>
    <x v="1"/>
    <m/>
  </r>
  <r>
    <x v="1"/>
    <s v="OUTREACH / BOOKMOBILE"/>
    <n v="19"/>
    <n v="20"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n v="20"/>
    <m/>
    <m/>
    <m/>
    <m/>
    <m/>
    <m/>
    <m/>
    <m/>
    <m/>
    <m/>
    <m/>
    <n v="3"/>
    <n v="184"/>
    <n v="170"/>
    <n v="7"/>
    <n v="62"/>
    <n v="1"/>
    <m/>
    <x v="1"/>
    <m/>
  </r>
  <r>
    <x v="1"/>
    <s v="YORK"/>
    <n v="60"/>
    <n v="118"/>
    <n v="3914"/>
    <n v="505"/>
    <n v="781"/>
    <n v="2"/>
    <n v="5939"/>
    <n v="92"/>
    <n v="0"/>
    <m/>
    <m/>
    <m/>
    <m/>
    <n v="1090"/>
    <m/>
    <m/>
    <m/>
    <n v="3"/>
    <m/>
    <m/>
    <m/>
    <m/>
    <n v="25"/>
    <m/>
    <m/>
    <m/>
    <m/>
    <m/>
    <m/>
    <m/>
    <m/>
    <m/>
    <m/>
    <m/>
    <m/>
    <m/>
    <m/>
    <m/>
    <m/>
    <m/>
    <m/>
    <m/>
    <m/>
    <m/>
    <n v="1"/>
    <n v="150"/>
    <n v="175"/>
    <n v="10"/>
    <n v="80"/>
    <n v="0"/>
    <m/>
    <x v="1"/>
    <n v="120"/>
  </r>
  <r>
    <x v="1"/>
    <s v="LAKE WYLIE"/>
    <n v="72"/>
    <n v="15"/>
    <n v="3764"/>
    <n v="167"/>
    <n v="524"/>
    <n v="12"/>
    <n v="5908"/>
    <n v="14"/>
    <n v="3"/>
    <m/>
    <m/>
    <m/>
    <m/>
    <n v="491"/>
    <n v="0"/>
    <n v="0"/>
    <n v="0"/>
    <n v="7"/>
    <n v="2"/>
    <n v="0"/>
    <n v="0"/>
    <n v="0"/>
    <n v="5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7"/>
    <n v="10"/>
    <n v="88.5"/>
    <n v="6"/>
    <m/>
    <x v="1"/>
    <n v="327"/>
  </r>
  <r>
    <x v="1"/>
    <s v="CLOVER"/>
    <n v="38"/>
    <n v="4"/>
    <n v="2694"/>
    <n v="223"/>
    <n v="419"/>
    <n v="2"/>
    <n v="5121"/>
    <n v="66"/>
    <n v="0"/>
    <m/>
    <m/>
    <m/>
    <m/>
    <n v="1146"/>
    <n v="0"/>
    <n v="1"/>
    <n v="3"/>
    <n v="3"/>
    <n v="0"/>
    <n v="0"/>
    <n v="11"/>
    <n v="17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"/>
    <n v="6"/>
    <n v="36.5"/>
    <n v="0"/>
    <m/>
    <x v="1"/>
    <n v="94"/>
  </r>
  <r>
    <x v="1"/>
    <s v="FORT MILL"/>
    <n v="213"/>
    <n v="43"/>
    <n v="10805"/>
    <n v="709"/>
    <n v="1621"/>
    <n v="3"/>
    <n v="19906"/>
    <n v="33"/>
    <n v="6"/>
    <m/>
    <m/>
    <m/>
    <m/>
    <n v="1958"/>
    <m/>
    <m/>
    <n v="1"/>
    <n v="17"/>
    <n v="1"/>
    <m/>
    <m/>
    <n v="30"/>
    <n v="114"/>
    <n v="80"/>
    <m/>
    <m/>
    <m/>
    <m/>
    <m/>
    <m/>
    <m/>
    <m/>
    <m/>
    <m/>
    <m/>
    <m/>
    <m/>
    <m/>
    <m/>
    <m/>
    <m/>
    <m/>
    <m/>
    <m/>
    <m/>
    <m/>
    <n v="988"/>
    <n v="17"/>
    <n v="104"/>
    <m/>
    <m/>
    <x v="1"/>
    <n v="828"/>
  </r>
  <r>
    <x v="1"/>
    <s v="ROCK HILL"/>
    <n v="199"/>
    <n v="57"/>
    <n v="15257"/>
    <n v="199"/>
    <n v="3482"/>
    <n v="13"/>
    <n v="171619"/>
    <n v="123"/>
    <n v="42"/>
    <n v="5"/>
    <n v="139"/>
    <n v="9611"/>
    <n v="23150"/>
    <n v="1714"/>
    <n v="0"/>
    <n v="0"/>
    <n v="5"/>
    <n v="20"/>
    <n v="0"/>
    <n v="0"/>
    <n v="0"/>
    <n v="43"/>
    <n v="175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5"/>
    <n v="35"/>
    <n v="0"/>
    <n v="0"/>
    <n v="0"/>
    <n v="385"/>
    <n v="39"/>
    <n v="221"/>
    <n v="4"/>
    <m/>
    <x v="1"/>
    <n v="409"/>
  </r>
  <r>
    <x v="2"/>
    <s v="LAKE WYLIE"/>
    <n v="41"/>
    <n v="15"/>
    <n v="3342"/>
    <n v="169"/>
    <n v="561"/>
    <n v="17"/>
    <n v="4560"/>
    <n v="30"/>
    <n v="1"/>
    <m/>
    <m/>
    <m/>
    <m/>
    <m/>
    <n v="4"/>
    <n v="2"/>
    <n v="2"/>
    <n v="9"/>
    <n v="0"/>
    <n v="38"/>
    <n v="42"/>
    <n v="21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9"/>
    <n v="2"/>
    <n v="5"/>
    <n v="3"/>
    <s v="rae.lovvorn@yclibrary.org"/>
    <x v="1"/>
    <n v="214"/>
  </r>
  <r>
    <x v="2"/>
    <s v="YORK"/>
    <n v="43"/>
    <n v="9"/>
    <n v="4352"/>
    <n v="429"/>
    <n v="867"/>
    <n v="21"/>
    <n v="7039"/>
    <n v="120"/>
    <n v="0"/>
    <m/>
    <m/>
    <m/>
    <m/>
    <n v="1236"/>
    <n v="10"/>
    <n v="2"/>
    <n v="1"/>
    <n v="8"/>
    <n v="1"/>
    <n v="201"/>
    <n v="39"/>
    <n v="6"/>
    <n v="63"/>
    <n v="16"/>
    <m/>
    <m/>
    <m/>
    <m/>
    <m/>
    <m/>
    <m/>
    <m/>
    <m/>
    <m/>
    <m/>
    <m/>
    <m/>
    <m/>
    <m/>
    <m/>
    <m/>
    <m/>
    <m/>
    <m/>
    <m/>
    <m/>
    <n v="313"/>
    <m/>
    <m/>
    <m/>
    <s v="jennifer.stanley@yclibrary.org"/>
    <x v="1"/>
    <n v="116"/>
  </r>
  <r>
    <x v="2"/>
    <s v="FORT MILL"/>
    <n v="181"/>
    <n v="50"/>
    <n v="11975"/>
    <n v="778"/>
    <n v="1679"/>
    <n v="7"/>
    <n v="36502"/>
    <n v="74"/>
    <n v="5"/>
    <m/>
    <m/>
    <m/>
    <m/>
    <n v="2312"/>
    <n v="24"/>
    <n v="4"/>
    <n v="6"/>
    <n v="13"/>
    <n v="5"/>
    <n v="739"/>
    <n v="67"/>
    <n v="65"/>
    <n v="109"/>
    <n v="202"/>
    <m/>
    <m/>
    <m/>
    <m/>
    <m/>
    <m/>
    <m/>
    <m/>
    <m/>
    <m/>
    <m/>
    <m/>
    <m/>
    <m/>
    <m/>
    <m/>
    <m/>
    <m/>
    <m/>
    <m/>
    <m/>
    <m/>
    <n v="2016"/>
    <n v="1"/>
    <n v="1"/>
    <m/>
    <s v="tom.holloway@yclibrary.org"/>
    <x v="1"/>
    <n v="639"/>
  </r>
  <r>
    <x v="2"/>
    <s v="OUTREACH / BOOKMOBILE"/>
    <n v="7"/>
    <n v="2"/>
    <n v="792"/>
    <m/>
    <n v="2"/>
    <m/>
    <n v="1256"/>
    <n v="2"/>
    <m/>
    <m/>
    <m/>
    <m/>
    <m/>
    <m/>
    <m/>
    <m/>
    <m/>
    <m/>
    <m/>
    <m/>
    <m/>
    <m/>
    <m/>
    <m/>
    <n v="3"/>
    <m/>
    <m/>
    <n v="3"/>
    <m/>
    <n v="105"/>
    <m/>
    <m/>
    <n v="70"/>
    <m/>
    <m/>
    <m/>
    <m/>
    <m/>
    <m/>
    <m/>
    <m/>
    <m/>
    <m/>
    <m/>
    <m/>
    <m/>
    <n v="295"/>
    <n v="7"/>
    <n v="135.5"/>
    <n v="3"/>
    <s v="jennifer.strokis@yclibrary.org"/>
    <x v="1"/>
    <m/>
  </r>
  <r>
    <x v="2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11"/>
    <m/>
    <s v="martin.house@yclibrary.org"/>
    <x v="1"/>
    <m/>
  </r>
  <r>
    <x v="2"/>
    <s v="ROCK HILL"/>
    <n v="2"/>
    <n v="19"/>
    <n v="0"/>
    <n v="0"/>
    <n v="0"/>
    <n v="0"/>
    <n v="38"/>
    <n v="0"/>
    <n v="0"/>
    <n v="0"/>
    <n v="75"/>
    <n v="1825"/>
    <n v="5333"/>
    <n v="0"/>
    <n v="0"/>
    <n v="0"/>
    <n v="0"/>
    <n v="0"/>
    <n v="0"/>
    <n v="0"/>
    <n v="0"/>
    <n v="0"/>
    <n v="0"/>
    <n v="0"/>
    <n v="20"/>
    <n v="3"/>
    <n v="13"/>
    <n v="8"/>
    <n v="4"/>
    <n v="500"/>
    <n v="74"/>
    <n v="367"/>
    <n v="71"/>
    <n v="121"/>
    <n v="0"/>
    <n v="0"/>
    <n v="0"/>
    <n v="2"/>
    <n v="0"/>
    <n v="0"/>
    <n v="0"/>
    <n v="0"/>
    <n v="43"/>
    <n v="0"/>
    <m/>
    <m/>
    <n v="133"/>
    <n v="27"/>
    <n v="134.25"/>
    <n v="0"/>
    <s v="amanda.antonacci@yclibrary.org"/>
    <x v="1"/>
    <n v="0"/>
  </r>
  <r>
    <x v="3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2"/>
  </r>
  <r>
    <x v="3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503"/>
  </r>
  <r>
    <x v="3"/>
    <s v="LAKE WYLI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58"/>
  </r>
  <r>
    <x v="3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38"/>
  </r>
  <r>
    <x v="3"/>
    <s v="YOR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0"/>
  </r>
  <r>
    <x v="3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3"/>
    <s v="ROCK HILL"/>
    <n v="218"/>
    <m/>
    <n v="13867"/>
    <n v="1859"/>
    <n v="2360"/>
    <n v="6"/>
    <n v="14107"/>
    <n v="136"/>
    <m/>
    <n v="2"/>
    <n v="92"/>
    <n v="2747"/>
    <n v="5962"/>
    <n v="596"/>
    <n v="28"/>
    <n v="5"/>
    <n v="12"/>
    <n v="29"/>
    <n v="1"/>
    <n v="940"/>
    <n v="123"/>
    <n v="131"/>
    <n v="143"/>
    <n v="51"/>
    <m/>
    <m/>
    <m/>
    <m/>
    <m/>
    <m/>
    <m/>
    <m/>
    <m/>
    <m/>
    <m/>
    <m/>
    <m/>
    <m/>
    <m/>
    <m/>
    <m/>
    <m/>
    <m/>
    <m/>
    <m/>
    <m/>
    <n v="13"/>
    <n v="50"/>
    <n v="266"/>
    <n v="7"/>
    <m/>
    <x v="1"/>
    <n v="148"/>
  </r>
  <r>
    <x v="3"/>
    <s v="CLOVER"/>
    <n v="29"/>
    <m/>
    <n v="2241"/>
    <n v="207"/>
    <n v="589"/>
    <n v="0"/>
    <n v="2693"/>
    <n v="58"/>
    <m/>
    <m/>
    <m/>
    <n v="985"/>
    <n v="1846"/>
    <n v="100"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8"/>
    <n v="35"/>
    <n v="60"/>
    <n v="0"/>
    <m/>
    <x v="1"/>
    <n v="46"/>
  </r>
  <r>
    <x v="3"/>
    <s v="FORT MILL"/>
    <n v="208"/>
    <m/>
    <n v="11414"/>
    <n v="686"/>
    <n v="1730"/>
    <n v="14"/>
    <n v="17829"/>
    <n v="27"/>
    <m/>
    <m/>
    <m/>
    <n v="1641"/>
    <n v="5960"/>
    <n v="282"/>
    <n v="23"/>
    <n v="6"/>
    <n v="7"/>
    <n v="14"/>
    <n v="4"/>
    <n v="683"/>
    <n v="66"/>
    <n v="93"/>
    <n v="116"/>
    <n v="154"/>
    <m/>
    <m/>
    <m/>
    <m/>
    <m/>
    <m/>
    <m/>
    <m/>
    <m/>
    <m/>
    <m/>
    <m/>
    <m/>
    <m/>
    <m/>
    <m/>
    <m/>
    <m/>
    <m/>
    <m/>
    <m/>
    <m/>
    <n v="5"/>
    <n v="16"/>
    <n v="221"/>
    <n v="0"/>
    <m/>
    <x v="1"/>
    <n v="314"/>
  </r>
  <r>
    <x v="3"/>
    <s v="LAKE WYLIE"/>
    <n v="54"/>
    <m/>
    <n v="3403"/>
    <n v="193"/>
    <n v="992"/>
    <n v="11"/>
    <n v="4250"/>
    <n v="12"/>
    <m/>
    <m/>
    <m/>
    <n v="1347"/>
    <n v="2470"/>
    <n v="62"/>
    <n v="5"/>
    <n v="4"/>
    <n v="2"/>
    <n v="13"/>
    <n v="0"/>
    <n v="52"/>
    <n v="47"/>
    <n v="8"/>
    <n v="118"/>
    <n v="0"/>
    <m/>
    <m/>
    <m/>
    <m/>
    <m/>
    <m/>
    <m/>
    <m/>
    <m/>
    <m/>
    <m/>
    <m/>
    <m/>
    <m/>
    <m/>
    <m/>
    <m/>
    <m/>
    <m/>
    <m/>
    <m/>
    <m/>
    <n v="11"/>
    <n v="4"/>
    <n v="86"/>
    <n v="5"/>
    <m/>
    <x v="1"/>
    <n v="115"/>
  </r>
  <r>
    <x v="3"/>
    <s v="YORK"/>
    <n v="36"/>
    <m/>
    <n v="3286"/>
    <n v="409"/>
    <n v="975"/>
    <n v="5"/>
    <n v="3430"/>
    <n v="96"/>
    <m/>
    <m/>
    <m/>
    <n v="1192"/>
    <n v="2195"/>
    <n v="218"/>
    <n v="7"/>
    <n v="3"/>
    <n v="1"/>
    <n v="8"/>
    <n v="1"/>
    <n v="73"/>
    <n v="68"/>
    <n v="5"/>
    <n v="67"/>
    <n v="20"/>
    <m/>
    <m/>
    <m/>
    <m/>
    <m/>
    <m/>
    <m/>
    <m/>
    <m/>
    <m/>
    <m/>
    <m/>
    <m/>
    <m/>
    <m/>
    <m/>
    <m/>
    <m/>
    <m/>
    <m/>
    <m/>
    <m/>
    <n v="2"/>
    <n v="18"/>
    <n v="87"/>
    <n v="2"/>
    <m/>
    <x v="1"/>
    <n v="40"/>
  </r>
  <r>
    <x v="3"/>
    <s v="OUTREACH / BOOKMOBILE"/>
    <n v="24"/>
    <m/>
    <n v="13867"/>
    <m/>
    <m/>
    <m/>
    <n v="1764"/>
    <n v="4"/>
    <m/>
    <m/>
    <m/>
    <n v="15"/>
    <n v="421"/>
    <m/>
    <n v="4"/>
    <n v="0"/>
    <n v="0"/>
    <n v="0"/>
    <n v="0"/>
    <n v="104"/>
    <n v="0"/>
    <n v="0"/>
    <n v="0"/>
    <n v="0"/>
    <m/>
    <m/>
    <m/>
    <m/>
    <m/>
    <m/>
    <m/>
    <m/>
    <m/>
    <m/>
    <m/>
    <m/>
    <m/>
    <m/>
    <m/>
    <m/>
    <m/>
    <m/>
    <m/>
    <m/>
    <m/>
    <m/>
    <n v="0"/>
    <n v="8"/>
    <n v="58"/>
    <n v="0"/>
    <m/>
    <x v="1"/>
    <m/>
  </r>
  <r>
    <x v="4"/>
    <s v="ROCK HILL"/>
    <m/>
    <n v="181"/>
    <n v="13105"/>
    <n v="1617"/>
    <n v="3059"/>
    <n v="2"/>
    <n v="14481"/>
    <n v="136"/>
    <m/>
    <n v="7"/>
    <n v="105"/>
    <m/>
    <m/>
    <n v="749"/>
    <n v="22"/>
    <n v="5"/>
    <n v="5"/>
    <n v="18"/>
    <n v="8"/>
    <n v="913"/>
    <n v="99"/>
    <n v="47"/>
    <n v="137"/>
    <n v="364"/>
    <m/>
    <m/>
    <m/>
    <m/>
    <m/>
    <m/>
    <m/>
    <m/>
    <m/>
    <m/>
    <m/>
    <m/>
    <m/>
    <m/>
    <m/>
    <m/>
    <m/>
    <m/>
    <m/>
    <m/>
    <m/>
    <m/>
    <n v="47"/>
    <n v="9"/>
    <n v="48"/>
    <n v="9"/>
    <m/>
    <x v="1"/>
    <n v="199"/>
  </r>
  <r>
    <x v="4"/>
    <s v="CLOVER"/>
    <m/>
    <n v="27"/>
    <n v="2152"/>
    <n v="216"/>
    <n v="457"/>
    <n v="1"/>
    <n v="2594"/>
    <n v="62"/>
    <m/>
    <m/>
    <m/>
    <m/>
    <m/>
    <n v="190"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7"/>
    <n v="38"/>
    <n v="27"/>
    <n v="0"/>
    <m/>
    <x v="1"/>
    <n v="36"/>
  </r>
  <r>
    <x v="4"/>
    <s v="FORT MILL"/>
    <m/>
    <n v="202"/>
    <n v="10010"/>
    <n v="679"/>
    <n v="1570"/>
    <n v="6"/>
    <n v="18615"/>
    <n v="28"/>
    <m/>
    <m/>
    <m/>
    <m/>
    <m/>
    <n v="160"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5"/>
    <n v="0"/>
    <n v="0"/>
    <n v="0"/>
    <m/>
    <x v="1"/>
    <n v="324"/>
  </r>
  <r>
    <x v="4"/>
    <s v="LAKE WYLIE"/>
    <m/>
    <n v="46"/>
    <n v="3150"/>
    <n v="138"/>
    <n v="742"/>
    <n v="9"/>
    <n v="4442"/>
    <n v="16"/>
    <m/>
    <m/>
    <m/>
    <m/>
    <m/>
    <n v="87"/>
    <n v="1"/>
    <n v="2"/>
    <n v="2"/>
    <n v="10"/>
    <n v="0"/>
    <n v="8"/>
    <n v="6"/>
    <n v="4"/>
    <n v="105"/>
    <n v="0"/>
    <m/>
    <m/>
    <m/>
    <m/>
    <m/>
    <m/>
    <m/>
    <m/>
    <m/>
    <m/>
    <m/>
    <m/>
    <m/>
    <m/>
    <m/>
    <m/>
    <m/>
    <m/>
    <m/>
    <m/>
    <m/>
    <m/>
    <n v="7"/>
    <n v="1"/>
    <n v="9"/>
    <n v="2"/>
    <m/>
    <x v="1"/>
    <n v="74"/>
  </r>
  <r>
    <x v="4"/>
    <s v="YORK"/>
    <m/>
    <n v="56"/>
    <n v="3430"/>
    <n v="395"/>
    <n v="457"/>
    <n v="3"/>
    <n v="3551"/>
    <n v="104"/>
    <m/>
    <m/>
    <m/>
    <m/>
    <m/>
    <n v="575"/>
    <n v="10"/>
    <n v="2"/>
    <n v="2"/>
    <n v="9"/>
    <n v="0"/>
    <n v="146"/>
    <n v="56"/>
    <n v="15"/>
    <n v="91"/>
    <n v="0"/>
    <m/>
    <m/>
    <m/>
    <m/>
    <m/>
    <m/>
    <m/>
    <m/>
    <m/>
    <m/>
    <m/>
    <m/>
    <m/>
    <m/>
    <m/>
    <m/>
    <m/>
    <m/>
    <m/>
    <m/>
    <m/>
    <m/>
    <n v="2"/>
    <n v="4"/>
    <n v="16"/>
    <n v="3"/>
    <m/>
    <x v="1"/>
    <n v="58"/>
  </r>
  <r>
    <x v="4"/>
    <s v="OUTREACH / BOOKMOBILE"/>
    <m/>
    <n v="7"/>
    <n v="625"/>
    <m/>
    <m/>
    <m/>
    <n v="1342"/>
    <n v="4"/>
    <m/>
    <m/>
    <m/>
    <m/>
    <m/>
    <m/>
    <n v="3"/>
    <n v="0"/>
    <n v="0"/>
    <n v="0"/>
    <n v="0"/>
    <n v="96"/>
    <n v="0"/>
    <n v="0"/>
    <n v="0"/>
    <n v="0"/>
    <m/>
    <m/>
    <m/>
    <m/>
    <m/>
    <m/>
    <m/>
    <m/>
    <m/>
    <m/>
    <m/>
    <m/>
    <m/>
    <m/>
    <m/>
    <m/>
    <m/>
    <m/>
    <m/>
    <m/>
    <m/>
    <m/>
    <n v="1"/>
    <n v="1"/>
    <n v="1"/>
    <n v="0"/>
    <m/>
    <x v="1"/>
    <m/>
  </r>
  <r>
    <x v="5"/>
    <s v="OUTREACH / BOOKMOBILE"/>
    <n v="13"/>
    <n v="6"/>
    <n v="12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n v="246"/>
    <m/>
    <m/>
    <n v="1"/>
    <m/>
    <x v="1"/>
    <m/>
  </r>
  <r>
    <x v="5"/>
    <s v="CLOVER"/>
    <n v="34"/>
    <n v="12"/>
    <n v="3515"/>
    <n v="245"/>
    <n v="477"/>
    <n v="1"/>
    <m/>
    <m/>
    <m/>
    <m/>
    <m/>
    <m/>
    <m/>
    <m/>
    <n v="10"/>
    <n v="3"/>
    <n v="7"/>
    <n v="5"/>
    <n v="6"/>
    <n v="114"/>
    <n v="39"/>
    <n v="39"/>
    <n v="36"/>
    <n v="126"/>
    <m/>
    <m/>
    <m/>
    <m/>
    <m/>
    <m/>
    <m/>
    <m/>
    <m/>
    <m/>
    <m/>
    <m/>
    <m/>
    <m/>
    <m/>
    <m/>
    <m/>
    <m/>
    <m/>
    <m/>
    <n v="1"/>
    <m/>
    <n v="4"/>
    <n v="14"/>
    <n v="15.8"/>
    <m/>
    <m/>
    <x v="1"/>
    <n v="87"/>
  </r>
  <r>
    <x v="5"/>
    <s v="FORT MILL"/>
    <n v="252"/>
    <n v="76"/>
    <n v="15128"/>
    <n v="772"/>
    <n v="2086"/>
    <m/>
    <m/>
    <m/>
    <m/>
    <m/>
    <m/>
    <m/>
    <m/>
    <m/>
    <n v="24"/>
    <n v="6"/>
    <n v="8"/>
    <n v="12"/>
    <n v="14"/>
    <n v="731"/>
    <n v="148"/>
    <n v="269"/>
    <n v="117"/>
    <n v="803"/>
    <m/>
    <n v="1"/>
    <m/>
    <m/>
    <m/>
    <m/>
    <m/>
    <m/>
    <m/>
    <m/>
    <m/>
    <m/>
    <m/>
    <m/>
    <m/>
    <m/>
    <m/>
    <m/>
    <m/>
    <m/>
    <m/>
    <m/>
    <n v="4"/>
    <n v="9"/>
    <n v="10"/>
    <m/>
    <m/>
    <x v="1"/>
    <n v="674"/>
  </r>
  <r>
    <x v="5"/>
    <s v="LAKE WYLIE"/>
    <n v="67"/>
    <n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57"/>
  </r>
  <r>
    <x v="5"/>
    <s v="ROCK HILL"/>
    <n v="223"/>
    <n v="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13"/>
  </r>
  <r>
    <x v="5"/>
    <s v="ROCK HILL"/>
    <m/>
    <m/>
    <n v="20248"/>
    <n v="2158"/>
    <n v="3826"/>
    <n v="20"/>
    <n v="33792"/>
    <n v="141"/>
    <n v="27"/>
    <m/>
    <n v="123"/>
    <n v="7"/>
    <m/>
    <n v="2011"/>
    <n v="12"/>
    <n v="6"/>
    <n v="21"/>
    <n v="21"/>
    <n v="13"/>
    <n v="547"/>
    <n v="226"/>
    <n v="398"/>
    <n v="192"/>
    <n v="1385"/>
    <m/>
    <n v="4"/>
    <m/>
    <m/>
    <m/>
    <m/>
    <n v="1602"/>
    <m/>
    <m/>
    <m/>
    <m/>
    <n v="2"/>
    <m/>
    <m/>
    <m/>
    <m/>
    <n v="10"/>
    <m/>
    <m/>
    <m/>
    <m/>
    <m/>
    <n v="374"/>
    <n v="20"/>
    <n v="27.5"/>
    <n v="8"/>
    <m/>
    <x v="1"/>
    <m/>
  </r>
  <r>
    <x v="5"/>
    <s v="YORK"/>
    <n v="65"/>
    <n v="21"/>
    <n v="4771"/>
    <n v="471"/>
    <n v="724"/>
    <n v="0"/>
    <n v="6285"/>
    <n v="105"/>
    <m/>
    <m/>
    <m/>
    <m/>
    <m/>
    <n v="1125"/>
    <n v="11"/>
    <n v="3"/>
    <n v="6"/>
    <n v="7"/>
    <n v="4"/>
    <n v="202"/>
    <n v="93"/>
    <n v="57"/>
    <n v="53"/>
    <n v="249"/>
    <m/>
    <m/>
    <m/>
    <m/>
    <m/>
    <m/>
    <m/>
    <m/>
    <m/>
    <m/>
    <m/>
    <m/>
    <m/>
    <m/>
    <m/>
    <m/>
    <m/>
    <m/>
    <m/>
    <m/>
    <m/>
    <m/>
    <n v="95"/>
    <n v="7"/>
    <n v="6"/>
    <n v="0"/>
    <m/>
    <x v="1"/>
    <n v="81"/>
  </r>
  <r>
    <x v="11"/>
    <s v="ROCK HILL"/>
    <n v="349"/>
    <m/>
    <n v="19413"/>
    <n v="2046"/>
    <n v="10094"/>
    <n v="9"/>
    <n v="21648"/>
    <n v="151"/>
    <m/>
    <n v="2"/>
    <n v="137"/>
    <n v="3102"/>
    <n v="1021"/>
    <n v="697"/>
    <n v="13"/>
    <n v="4"/>
    <n v="23"/>
    <n v="22"/>
    <n v="19"/>
    <n v="629"/>
    <n v="92"/>
    <n v="289"/>
    <n v="202"/>
    <n v="1912"/>
    <m/>
    <m/>
    <m/>
    <m/>
    <m/>
    <m/>
    <m/>
    <m/>
    <m/>
    <m/>
    <m/>
    <m/>
    <m/>
    <m/>
    <m/>
    <m/>
    <m/>
    <m/>
    <m/>
    <m/>
    <m/>
    <m/>
    <n v="8"/>
    <n v="15"/>
    <n v="14"/>
    <n v="5"/>
    <m/>
    <x v="1"/>
    <m/>
  </r>
  <r>
    <x v="11"/>
    <s v="CLOVER"/>
    <n v="62"/>
    <m/>
    <n v="3404"/>
    <n v="222"/>
    <n v="490"/>
    <n v="0"/>
    <n v="4678"/>
    <n v="70"/>
    <m/>
    <m/>
    <m/>
    <n v="1359"/>
    <n v="1968"/>
    <n v="208"/>
    <n v="10"/>
    <n v="3"/>
    <n v="4"/>
    <n v="4"/>
    <n v="4"/>
    <n v="130"/>
    <n v="45"/>
    <n v="25"/>
    <n v="21"/>
    <n v="125"/>
    <m/>
    <m/>
    <m/>
    <m/>
    <m/>
    <m/>
    <m/>
    <m/>
    <m/>
    <m/>
    <m/>
    <m/>
    <m/>
    <m/>
    <m/>
    <m/>
    <m/>
    <m/>
    <m/>
    <m/>
    <m/>
    <m/>
    <n v="8"/>
    <n v="1"/>
    <n v="21"/>
    <n v="1"/>
    <m/>
    <x v="1"/>
    <m/>
  </r>
  <r>
    <x v="11"/>
    <s v="FORT MILL"/>
    <n v="265"/>
    <m/>
    <n v="14653"/>
    <n v="766"/>
    <n v="1871"/>
    <n v="1"/>
    <n v="23998"/>
    <n v="38"/>
    <m/>
    <m/>
    <m/>
    <n v="1847"/>
    <n v="7156"/>
    <n v="274"/>
    <n v="22"/>
    <n v="5"/>
    <n v="9"/>
    <n v="12"/>
    <n v="16"/>
    <n v="679"/>
    <n v="129"/>
    <n v="113"/>
    <n v="83"/>
    <n v="1121"/>
    <m/>
    <m/>
    <m/>
    <m/>
    <m/>
    <m/>
    <m/>
    <m/>
    <m/>
    <m/>
    <m/>
    <m/>
    <m/>
    <m/>
    <m/>
    <m/>
    <m/>
    <m/>
    <m/>
    <m/>
    <m/>
    <m/>
    <n v="4"/>
    <n v="1"/>
    <n v="12"/>
    <n v="0"/>
    <m/>
    <x v="1"/>
    <m/>
  </r>
  <r>
    <x v="11"/>
    <s v="LAKE WYLIE"/>
    <n v="137"/>
    <m/>
    <n v="5355"/>
    <n v="214"/>
    <n v="891"/>
    <n v="5"/>
    <n v="6109"/>
    <n v="22"/>
    <m/>
    <m/>
    <m/>
    <n v="1568"/>
    <n v="3167"/>
    <n v="141"/>
    <n v="4"/>
    <n v="12"/>
    <n v="2"/>
    <n v="11"/>
    <n v="5"/>
    <n v="45"/>
    <n v="623"/>
    <n v="20"/>
    <n v="92"/>
    <n v="23"/>
    <m/>
    <m/>
    <m/>
    <m/>
    <m/>
    <m/>
    <m/>
    <m/>
    <m/>
    <m/>
    <m/>
    <m/>
    <m/>
    <m/>
    <m/>
    <m/>
    <m/>
    <m/>
    <m/>
    <m/>
    <m/>
    <m/>
    <n v="9"/>
    <n v="1"/>
    <n v="16"/>
    <n v="8"/>
    <m/>
    <x v="1"/>
    <m/>
  </r>
  <r>
    <x v="11"/>
    <s v="YORK"/>
    <n v="82"/>
    <m/>
    <n v="4774"/>
    <n v="447"/>
    <n v="1015"/>
    <n v="1"/>
    <n v="5010"/>
    <n v="120"/>
    <m/>
    <m/>
    <m/>
    <n v="1501"/>
    <n v="2669"/>
    <n v="242"/>
    <n v="10"/>
    <n v="2"/>
    <n v="3"/>
    <n v="7"/>
    <n v="4"/>
    <n v="246"/>
    <n v="60"/>
    <n v="20"/>
    <n v="99"/>
    <n v="332"/>
    <m/>
    <m/>
    <m/>
    <m/>
    <m/>
    <m/>
    <m/>
    <m/>
    <m/>
    <m/>
    <m/>
    <m/>
    <m/>
    <m/>
    <m/>
    <m/>
    <m/>
    <m/>
    <m/>
    <m/>
    <m/>
    <m/>
    <n v="2"/>
    <n v="10"/>
    <n v="7"/>
    <n v="0"/>
    <m/>
    <x v="1"/>
    <m/>
  </r>
  <r>
    <x v="11"/>
    <s v="OUTREACH / BOOKMOBILE"/>
    <n v="235"/>
    <m/>
    <n v="1346"/>
    <m/>
    <m/>
    <m/>
    <n v="1498"/>
    <n v="4"/>
    <m/>
    <m/>
    <m/>
    <n v="21"/>
    <n v="309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n v="3"/>
    <n v="1"/>
    <n v="4"/>
    <n v="2"/>
    <m/>
    <x v="1"/>
    <m/>
  </r>
  <r>
    <x v="6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6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6"/>
    <s v="LAKE WYLI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6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6"/>
    <s v="YOR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6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6"/>
    <s v="ROCK HILL"/>
    <n v="209"/>
    <m/>
    <n v="15555"/>
    <n v="2125"/>
    <n v="3342"/>
    <n v="6"/>
    <n v="17206"/>
    <n v="141"/>
    <m/>
    <n v="6"/>
    <n v="131"/>
    <n v="2981"/>
    <n v="6480"/>
    <n v="852"/>
    <n v="31"/>
    <n v="5"/>
    <n v="13"/>
    <n v="27"/>
    <n v="6"/>
    <n v="1188"/>
    <n v="116"/>
    <n v="155"/>
    <n v="277"/>
    <n v="106"/>
    <m/>
    <m/>
    <m/>
    <m/>
    <m/>
    <m/>
    <m/>
    <m/>
    <m/>
    <m/>
    <m/>
    <m/>
    <m/>
    <m/>
    <m/>
    <m/>
    <m/>
    <m/>
    <m/>
    <m/>
    <m/>
    <m/>
    <n v="13"/>
    <n v="42"/>
    <n v="41"/>
    <n v="10"/>
    <m/>
    <x v="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August"/>
    <s v="YCL (System Wide)"/>
    <m/>
    <n v="249"/>
    <n v="4"/>
    <n v="80"/>
    <n v="5"/>
    <n v="233"/>
    <n v="0"/>
    <n v="111"/>
    <n v="9"/>
    <n v="139"/>
    <m/>
    <n v="20"/>
    <n v="11"/>
    <n v="710"/>
    <n v="3888"/>
    <n v="873"/>
    <n v="977"/>
    <n v="287"/>
    <n v="114"/>
    <n v="608"/>
    <n v="3994"/>
    <n v="834"/>
    <n v="9946"/>
    <n v="2638"/>
    <n v="662"/>
    <n v="984"/>
    <n v="262"/>
    <n v="1328"/>
    <n v="8026"/>
    <n v="16003"/>
    <n v="4149"/>
    <n v="8"/>
    <n v="1014"/>
    <n v="135"/>
    <n v="923"/>
    <n v="0"/>
    <n v="18"/>
    <n v="10380"/>
    <n v="14"/>
    <n v="0"/>
    <n v="2"/>
    <n v="5"/>
    <n v="0"/>
    <n v="13"/>
    <m/>
    <m/>
    <x v="0"/>
  </r>
  <r>
    <s v="July"/>
    <s v="YCL (System Wide)"/>
    <m/>
    <n v="187"/>
    <n v="16"/>
    <n v="129"/>
    <n v="444"/>
    <n v="224"/>
    <n v="96"/>
    <n v="41"/>
    <n v="9"/>
    <n v="134"/>
    <m/>
    <n v="17"/>
    <n v="3"/>
    <n v="697"/>
    <n v="3962"/>
    <n v="989"/>
    <n v="1077"/>
    <n v="231"/>
    <n v="87"/>
    <n v="462"/>
    <n v="3803"/>
    <n v="830"/>
    <n v="9594"/>
    <n v="2520"/>
    <n v="633"/>
    <n v="397"/>
    <n v="273"/>
    <n v="1055"/>
    <n v="7732"/>
    <n v="12972"/>
    <n v="4024"/>
    <n v="7"/>
    <n v="1613"/>
    <n v="239"/>
    <m/>
    <m/>
    <n v="22"/>
    <n v="11475"/>
    <n v="11"/>
    <n v="0"/>
    <n v="0"/>
    <n v="21"/>
    <n v="0"/>
    <n v="6"/>
    <n v="13"/>
    <n v="0"/>
    <x v="0"/>
  </r>
  <r>
    <s v="September"/>
    <s v="YCL (System Wide)"/>
    <m/>
    <m/>
    <n v="0"/>
    <n v="63"/>
    <n v="183"/>
    <n v="236"/>
    <n v="39"/>
    <n v="65"/>
    <n v="9"/>
    <n v="54"/>
    <m/>
    <n v="22"/>
    <n v="3"/>
    <n v="866"/>
    <n v="3662"/>
    <n v="883"/>
    <n v="906"/>
    <n v="228"/>
    <n v="112"/>
    <n v="547"/>
    <n v="3955"/>
    <n v="776"/>
    <n v="9816"/>
    <n v="2559"/>
    <n v="694"/>
    <n v="931"/>
    <n v="344"/>
    <n v="1082"/>
    <n v="7641"/>
    <n v="15559"/>
    <n v="4075"/>
    <n v="8"/>
    <n v="1127"/>
    <n v="290"/>
    <n v="251"/>
    <n v="3"/>
    <n v="18"/>
    <n v="10246"/>
    <n v="34"/>
    <n v="2"/>
    <n v="12"/>
    <n v="61"/>
    <n v="2"/>
    <n v="15"/>
    <s v="x"/>
    <s v="x"/>
    <x v="0"/>
  </r>
  <r>
    <s v="October"/>
    <s v="YCL (System Wide)"/>
    <m/>
    <m/>
    <n v="0"/>
    <n v="47"/>
    <n v="348"/>
    <n v="351"/>
    <n v="237"/>
    <n v="109"/>
    <m/>
    <m/>
    <m/>
    <n v="1"/>
    <n v="1"/>
    <n v="1112"/>
    <n v="4189"/>
    <n v="818"/>
    <n v="904"/>
    <n v="228"/>
    <n v="142"/>
    <n v="575"/>
    <n v="3697"/>
    <n v="756"/>
    <n v="9914"/>
    <n v="2622"/>
    <n v="707"/>
    <n v="564"/>
    <n v="281"/>
    <m/>
    <n v="8022"/>
    <n v="15076"/>
    <n v="4388"/>
    <n v="9"/>
    <n v="787"/>
    <n v="47"/>
    <n v="193"/>
    <n v="0"/>
    <n v="62"/>
    <m/>
    <n v="14"/>
    <n v="1"/>
    <n v="44"/>
    <n v="32"/>
    <n v="0"/>
    <n v="16"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August"/>
    <s v="YCL (System Wide)"/>
    <m/>
    <n v="249"/>
    <n v="4"/>
    <n v="80"/>
    <n v="5"/>
    <n v="233"/>
    <n v="0"/>
    <n v="111"/>
    <n v="9"/>
    <n v="139"/>
    <x v="0"/>
    <n v="20"/>
    <n v="11"/>
    <n v="710"/>
    <n v="3888"/>
    <n v="873"/>
    <n v="977"/>
    <n v="287"/>
    <n v="114"/>
    <n v="608"/>
    <n v="3994"/>
    <n v="834"/>
    <n v="9946"/>
    <n v="2638"/>
    <n v="662"/>
    <n v="984"/>
    <n v="262"/>
    <n v="1328"/>
    <n v="8026"/>
    <n v="16003"/>
    <n v="4149"/>
    <n v="8"/>
    <n v="1014"/>
    <n v="135"/>
    <n v="923"/>
    <n v="0"/>
    <n v="18"/>
    <n v="10380"/>
    <n v="14"/>
    <n v="0"/>
    <n v="2"/>
    <n v="5"/>
    <n v="0"/>
    <n v="13"/>
    <m/>
    <m/>
    <x v="0"/>
  </r>
  <r>
    <s v="July"/>
    <s v="YCL (System Wide)"/>
    <m/>
    <n v="187"/>
    <n v="16"/>
    <n v="129"/>
    <n v="444"/>
    <n v="224"/>
    <n v="96"/>
    <n v="41"/>
    <n v="9"/>
    <n v="134"/>
    <x v="0"/>
    <n v="17"/>
    <n v="3"/>
    <n v="697"/>
    <n v="3962"/>
    <n v="989"/>
    <n v="1077"/>
    <n v="231"/>
    <n v="87"/>
    <n v="462"/>
    <n v="3803"/>
    <n v="830"/>
    <n v="9594"/>
    <n v="2520"/>
    <n v="633"/>
    <n v="397"/>
    <n v="273"/>
    <n v="1055"/>
    <n v="7732"/>
    <n v="12972"/>
    <n v="4024"/>
    <n v="7"/>
    <n v="1613"/>
    <n v="239"/>
    <m/>
    <m/>
    <n v="22"/>
    <n v="11475"/>
    <n v="11"/>
    <n v="0"/>
    <n v="0"/>
    <n v="21"/>
    <n v="0"/>
    <n v="6"/>
    <n v="13"/>
    <n v="0"/>
    <x v="0"/>
  </r>
  <r>
    <s v="September"/>
    <s v="YCL (System Wide)"/>
    <m/>
    <m/>
    <n v="0"/>
    <n v="63"/>
    <n v="183"/>
    <n v="236"/>
    <n v="39"/>
    <n v="65"/>
    <n v="9"/>
    <n v="54"/>
    <x v="0"/>
    <n v="22"/>
    <n v="3"/>
    <n v="866"/>
    <n v="3662"/>
    <n v="883"/>
    <n v="906"/>
    <n v="228"/>
    <n v="112"/>
    <n v="547"/>
    <n v="3955"/>
    <n v="776"/>
    <n v="9816"/>
    <n v="2559"/>
    <n v="694"/>
    <n v="931"/>
    <n v="344"/>
    <n v="1082"/>
    <n v="7641"/>
    <n v="15559"/>
    <n v="4075"/>
    <n v="8"/>
    <n v="1127"/>
    <n v="290"/>
    <n v="251"/>
    <n v="3"/>
    <n v="18"/>
    <n v="10246"/>
    <n v="34"/>
    <n v="2"/>
    <n v="12"/>
    <n v="61"/>
    <n v="2"/>
    <n v="15"/>
    <s v="x"/>
    <s v="x"/>
    <x v="0"/>
  </r>
  <r>
    <s v="October"/>
    <s v="YCL (System Wide)"/>
    <m/>
    <m/>
    <n v="0"/>
    <n v="47"/>
    <n v="348"/>
    <n v="351"/>
    <n v="237"/>
    <n v="109"/>
    <m/>
    <m/>
    <x v="0"/>
    <n v="1"/>
    <n v="1"/>
    <n v="1112"/>
    <n v="4189"/>
    <n v="818"/>
    <n v="904"/>
    <n v="228"/>
    <n v="142"/>
    <n v="575"/>
    <n v="3697"/>
    <n v="756"/>
    <n v="9914"/>
    <n v="2622"/>
    <n v="707"/>
    <n v="564"/>
    <n v="281"/>
    <m/>
    <n v="8022"/>
    <n v="15076"/>
    <n v="4388"/>
    <n v="9"/>
    <n v="787"/>
    <n v="47"/>
    <n v="193"/>
    <n v="0"/>
    <n v="62"/>
    <m/>
    <n v="14"/>
    <n v="1"/>
    <n v="44"/>
    <n v="32"/>
    <n v="0"/>
    <n v="16"/>
    <m/>
    <m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August"/>
    <s v="YCL (System Wide)"/>
    <m/>
    <n v="249"/>
    <n v="4"/>
    <n v="80"/>
    <n v="5"/>
    <n v="233"/>
    <n v="0"/>
    <n v="111"/>
    <n v="9"/>
    <n v="139"/>
    <m/>
    <n v="20"/>
    <n v="11"/>
    <n v="710"/>
    <n v="3888"/>
    <n v="873"/>
    <n v="977"/>
    <n v="287"/>
    <n v="114"/>
    <n v="608"/>
    <n v="3994"/>
    <n v="834"/>
    <n v="9946"/>
    <n v="2638"/>
    <n v="662"/>
    <n v="984"/>
    <n v="262"/>
    <n v="1328"/>
    <n v="8026"/>
    <n v="16003"/>
    <n v="4149"/>
    <n v="8"/>
    <n v="1014"/>
    <n v="135"/>
    <n v="923"/>
    <n v="0"/>
    <n v="18"/>
    <n v="10380"/>
    <n v="14"/>
    <n v="0"/>
    <n v="2"/>
    <n v="5"/>
    <n v="0"/>
    <n v="13"/>
    <m/>
    <m/>
    <x v="0"/>
  </r>
  <r>
    <s v="July"/>
    <s v="YCL (System Wide)"/>
    <m/>
    <n v="187"/>
    <n v="16"/>
    <n v="129"/>
    <n v="444"/>
    <n v="224"/>
    <n v="96"/>
    <n v="41"/>
    <n v="9"/>
    <n v="134"/>
    <m/>
    <n v="17"/>
    <n v="3"/>
    <n v="697"/>
    <n v="3962"/>
    <n v="989"/>
    <n v="1077"/>
    <n v="231"/>
    <n v="87"/>
    <n v="462"/>
    <n v="3803"/>
    <n v="830"/>
    <n v="9594"/>
    <n v="2520"/>
    <n v="633"/>
    <n v="397"/>
    <n v="273"/>
    <n v="1055"/>
    <n v="7732"/>
    <n v="12972"/>
    <n v="4024"/>
    <n v="7"/>
    <n v="1613"/>
    <n v="239"/>
    <m/>
    <m/>
    <n v="22"/>
    <n v="11475"/>
    <n v="11"/>
    <n v="0"/>
    <n v="0"/>
    <n v="21"/>
    <n v="0"/>
    <n v="6"/>
    <n v="13"/>
    <n v="0"/>
    <x v="0"/>
  </r>
  <r>
    <s v="September"/>
    <s v="YCL (System Wide)"/>
    <m/>
    <m/>
    <n v="0"/>
    <n v="63"/>
    <n v="183"/>
    <n v="236"/>
    <n v="39"/>
    <n v="65"/>
    <n v="9"/>
    <n v="54"/>
    <m/>
    <n v="22"/>
    <n v="3"/>
    <n v="866"/>
    <n v="3662"/>
    <n v="883"/>
    <n v="906"/>
    <n v="228"/>
    <n v="112"/>
    <n v="547"/>
    <n v="3955"/>
    <n v="776"/>
    <n v="9816"/>
    <n v="2559"/>
    <n v="694"/>
    <n v="931"/>
    <n v="344"/>
    <n v="1082"/>
    <n v="7641"/>
    <n v="15559"/>
    <n v="4075"/>
    <n v="8"/>
    <n v="1127"/>
    <n v="290"/>
    <n v="251"/>
    <n v="3"/>
    <n v="18"/>
    <n v="10246"/>
    <n v="34"/>
    <n v="2"/>
    <n v="12"/>
    <n v="61"/>
    <n v="2"/>
    <n v="15"/>
    <s v="x"/>
    <s v="x"/>
    <x v="0"/>
  </r>
  <r>
    <s v="October"/>
    <s v="YCL (System Wide)"/>
    <m/>
    <m/>
    <n v="0"/>
    <n v="47"/>
    <n v="348"/>
    <n v="351"/>
    <n v="237"/>
    <n v="109"/>
    <m/>
    <m/>
    <m/>
    <n v="1"/>
    <n v="1"/>
    <n v="1112"/>
    <n v="4189"/>
    <n v="818"/>
    <n v="904"/>
    <n v="228"/>
    <n v="142"/>
    <n v="575"/>
    <n v="3697"/>
    <n v="756"/>
    <n v="9914"/>
    <n v="2622"/>
    <n v="707"/>
    <n v="564"/>
    <n v="281"/>
    <m/>
    <n v="8022"/>
    <n v="15076"/>
    <n v="4388"/>
    <n v="9"/>
    <n v="787"/>
    <n v="47"/>
    <n v="193"/>
    <n v="0"/>
    <n v="62"/>
    <m/>
    <n v="14"/>
    <n v="1"/>
    <n v="44"/>
    <n v="32"/>
    <n v="0"/>
    <n v="16"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d v="2025-09-06T16:17:32"/>
    <s v="carol.nicol@yclibrary.org"/>
    <s v="August"/>
    <s v="YCL (System Wide)"/>
    <m/>
    <n v="249"/>
    <n v="4"/>
    <n v="80"/>
    <n v="5"/>
    <n v="233"/>
    <n v="0"/>
    <n v="111"/>
    <n v="9"/>
    <n v="139"/>
    <m/>
    <n v="20"/>
    <n v="11"/>
    <n v="710"/>
    <n v="3888"/>
    <n v="873"/>
    <n v="977"/>
    <n v="287"/>
    <n v="114"/>
    <n v="608"/>
    <n v="3994"/>
    <n v="834"/>
    <n v="9946"/>
    <n v="2638"/>
    <n v="662"/>
    <n v="984"/>
    <n v="262"/>
    <n v="1328"/>
    <n v="8026"/>
    <n v="16003"/>
    <n v="4149"/>
    <n v="8"/>
    <n v="1014"/>
    <n v="135"/>
    <n v="923"/>
    <n v="0"/>
    <n v="18"/>
    <n v="10380"/>
    <n v="14"/>
    <n v="0"/>
    <n v="2"/>
    <n v="5"/>
    <n v="0"/>
    <n v="13"/>
    <m/>
    <m/>
    <x v="0"/>
  </r>
  <r>
    <m/>
    <s v="martin.house@yclibrary.org"/>
    <s v="July"/>
    <s v="YCL (System Wide)"/>
    <m/>
    <n v="187"/>
    <n v="16"/>
    <n v="129"/>
    <n v="444"/>
    <n v="224"/>
    <n v="96"/>
    <n v="41"/>
    <n v="9"/>
    <n v="134"/>
    <m/>
    <n v="17"/>
    <n v="3"/>
    <n v="697"/>
    <n v="3962"/>
    <n v="989"/>
    <n v="1077"/>
    <n v="231"/>
    <n v="87"/>
    <n v="462"/>
    <n v="3803"/>
    <n v="830"/>
    <n v="9594"/>
    <n v="2520"/>
    <n v="633"/>
    <n v="397"/>
    <n v="273"/>
    <n v="1055"/>
    <n v="7732"/>
    <n v="12972"/>
    <n v="4024"/>
    <n v="7"/>
    <n v="1613"/>
    <n v="239"/>
    <m/>
    <m/>
    <n v="22"/>
    <n v="11475"/>
    <n v="11"/>
    <n v="0"/>
    <n v="0"/>
    <n v="21"/>
    <n v="0"/>
    <n v="6"/>
    <n v="13"/>
    <n v="0"/>
    <x v="0"/>
  </r>
  <r>
    <d v="2025-10-07T09:46:32"/>
    <s v="carol.nicol@yclibrary.org"/>
    <s v="September"/>
    <s v="YCL (System Wide)"/>
    <m/>
    <m/>
    <n v="0"/>
    <n v="63"/>
    <n v="183"/>
    <n v="236"/>
    <n v="39"/>
    <n v="65"/>
    <n v="9"/>
    <n v="54"/>
    <m/>
    <n v="22"/>
    <n v="3"/>
    <n v="866"/>
    <n v="3662"/>
    <n v="883"/>
    <n v="906"/>
    <n v="228"/>
    <n v="112"/>
    <n v="547"/>
    <n v="3955"/>
    <n v="776"/>
    <n v="9816"/>
    <n v="2559"/>
    <n v="694"/>
    <n v="931"/>
    <n v="344"/>
    <n v="1082"/>
    <n v="7641"/>
    <n v="15559"/>
    <n v="4075"/>
    <n v="8"/>
    <n v="1127"/>
    <n v="290"/>
    <n v="251"/>
    <n v="3"/>
    <n v="18"/>
    <n v="10246"/>
    <n v="34"/>
    <n v="2"/>
    <n v="12"/>
    <n v="61"/>
    <n v="2"/>
    <n v="15"/>
    <s v="x"/>
    <s v="x"/>
    <x v="0"/>
  </r>
  <r>
    <d v="2025-11-04T10:39:33"/>
    <s v="carol.nicol@yclibrary.org"/>
    <s v="October"/>
    <s v="YCL (System Wide)"/>
    <m/>
    <m/>
    <n v="0"/>
    <n v="47"/>
    <n v="348"/>
    <n v="351"/>
    <n v="237"/>
    <n v="109"/>
    <m/>
    <m/>
    <m/>
    <n v="1"/>
    <n v="1"/>
    <n v="1112"/>
    <n v="4189"/>
    <n v="818"/>
    <n v="904"/>
    <n v="228"/>
    <n v="142"/>
    <n v="575"/>
    <n v="3697"/>
    <n v="756"/>
    <n v="9914"/>
    <n v="2622"/>
    <n v="707"/>
    <n v="564"/>
    <n v="281"/>
    <m/>
    <n v="8022"/>
    <n v="15076"/>
    <n v="4388"/>
    <n v="9"/>
    <n v="787"/>
    <n v="47"/>
    <n v="193"/>
    <n v="0"/>
    <n v="62"/>
    <m/>
    <n v="14"/>
    <n v="1"/>
    <n v="44"/>
    <n v="32"/>
    <n v="0"/>
    <n v="16"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August"/>
    <s v="YCL (System Wide)"/>
    <m/>
    <n v="249"/>
    <n v="4"/>
    <n v="80"/>
    <n v="5"/>
    <n v="233"/>
    <n v="0"/>
    <n v="111"/>
    <n v="9"/>
    <n v="139"/>
    <m/>
    <n v="20"/>
    <n v="11"/>
    <n v="710"/>
    <n v="3888"/>
    <n v="873"/>
    <n v="977"/>
    <n v="287"/>
    <n v="114"/>
    <n v="608"/>
    <n v="3994"/>
    <n v="834"/>
    <n v="9946"/>
    <n v="2638"/>
    <n v="662"/>
    <n v="984"/>
    <n v="262"/>
    <n v="1328"/>
    <n v="8026"/>
    <n v="16003"/>
    <n v="4149"/>
    <n v="8"/>
    <n v="1014"/>
    <n v="135"/>
    <n v="923"/>
    <n v="0"/>
    <n v="18"/>
    <n v="10380"/>
    <n v="14"/>
    <n v="0"/>
    <n v="2"/>
    <n v="5"/>
    <n v="0"/>
    <n v="13"/>
    <m/>
    <m/>
    <x v="0"/>
  </r>
  <r>
    <s v="July"/>
    <s v="YCL (System Wide)"/>
    <m/>
    <n v="187"/>
    <n v="16"/>
    <n v="129"/>
    <n v="444"/>
    <n v="224"/>
    <n v="96"/>
    <n v="41"/>
    <n v="9"/>
    <n v="134"/>
    <m/>
    <n v="17"/>
    <n v="3"/>
    <n v="697"/>
    <n v="3962"/>
    <n v="989"/>
    <n v="1077"/>
    <n v="231"/>
    <n v="87"/>
    <n v="462"/>
    <n v="3803"/>
    <n v="830"/>
    <n v="9594"/>
    <n v="2520"/>
    <n v="633"/>
    <n v="397"/>
    <n v="273"/>
    <n v="1055"/>
    <n v="7732"/>
    <n v="12972"/>
    <n v="4024"/>
    <n v="7"/>
    <n v="1613"/>
    <n v="239"/>
    <m/>
    <m/>
    <n v="22"/>
    <n v="11475"/>
    <n v="11"/>
    <n v="0"/>
    <n v="0"/>
    <n v="21"/>
    <n v="0"/>
    <n v="6"/>
    <n v="13"/>
    <n v="0"/>
    <x v="0"/>
  </r>
  <r>
    <s v="September"/>
    <s v="YCL (System Wide)"/>
    <m/>
    <m/>
    <n v="0"/>
    <n v="63"/>
    <n v="183"/>
    <n v="236"/>
    <n v="39"/>
    <n v="65"/>
    <n v="9"/>
    <n v="54"/>
    <m/>
    <n v="22"/>
    <n v="3"/>
    <n v="866"/>
    <n v="3662"/>
    <n v="883"/>
    <n v="906"/>
    <n v="228"/>
    <n v="112"/>
    <n v="547"/>
    <n v="3955"/>
    <n v="776"/>
    <n v="9816"/>
    <n v="2559"/>
    <n v="694"/>
    <n v="931"/>
    <n v="344"/>
    <n v="1082"/>
    <n v="7641"/>
    <n v="15559"/>
    <n v="4075"/>
    <n v="8"/>
    <n v="1127"/>
    <n v="290"/>
    <n v="251"/>
    <n v="3"/>
    <n v="18"/>
    <n v="10246"/>
    <n v="34"/>
    <n v="2"/>
    <n v="12"/>
    <n v="61"/>
    <n v="2"/>
    <n v="15"/>
    <s v="x"/>
    <s v="x"/>
    <x v="0"/>
  </r>
  <r>
    <s v="October"/>
    <s v="YCL (System Wide)"/>
    <m/>
    <m/>
    <n v="0"/>
    <n v="47"/>
    <n v="348"/>
    <n v="351"/>
    <n v="237"/>
    <n v="109"/>
    <m/>
    <m/>
    <m/>
    <n v="1"/>
    <n v="1"/>
    <n v="1112"/>
    <n v="4189"/>
    <n v="818"/>
    <n v="904"/>
    <n v="228"/>
    <n v="142"/>
    <n v="575"/>
    <n v="3697"/>
    <n v="756"/>
    <n v="9914"/>
    <n v="2622"/>
    <n v="707"/>
    <n v="564"/>
    <n v="281"/>
    <m/>
    <n v="8022"/>
    <n v="15076"/>
    <n v="4388"/>
    <n v="9"/>
    <n v="787"/>
    <n v="47"/>
    <n v="193"/>
    <n v="0"/>
    <n v="62"/>
    <m/>
    <n v="14"/>
    <n v="1"/>
    <n v="44"/>
    <n v="32"/>
    <n v="0"/>
    <n v="16"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August"/>
    <s v="YCL (System Wide)"/>
    <m/>
    <n v="249"/>
    <n v="4"/>
    <n v="80"/>
    <n v="5"/>
    <n v="233"/>
    <n v="0"/>
    <n v="111"/>
    <n v="9"/>
    <n v="139"/>
    <m/>
    <n v="20"/>
    <n v="11"/>
    <n v="710"/>
    <n v="3888"/>
    <n v="873"/>
    <n v="977"/>
    <n v="287"/>
    <n v="114"/>
    <n v="608"/>
    <n v="3994"/>
    <n v="834"/>
    <n v="9946"/>
    <n v="2638"/>
    <n v="662"/>
    <n v="984"/>
    <n v="262"/>
    <n v="1328"/>
    <n v="8026"/>
    <n v="16003"/>
    <n v="4149"/>
    <n v="8"/>
    <n v="1014"/>
    <n v="135"/>
    <n v="923"/>
    <n v="0"/>
    <n v="18"/>
    <n v="10380"/>
    <n v="14"/>
    <n v="0"/>
    <n v="2"/>
    <n v="5"/>
    <n v="0"/>
    <n v="13"/>
    <m/>
    <m/>
    <x v="0"/>
  </r>
  <r>
    <s v="July"/>
    <s v="YCL (System Wide)"/>
    <m/>
    <n v="187"/>
    <n v="16"/>
    <n v="129"/>
    <n v="444"/>
    <n v="224"/>
    <n v="96"/>
    <n v="41"/>
    <n v="9"/>
    <n v="134"/>
    <m/>
    <n v="17"/>
    <n v="3"/>
    <n v="697"/>
    <n v="3962"/>
    <n v="989"/>
    <n v="1077"/>
    <n v="231"/>
    <n v="87"/>
    <n v="462"/>
    <n v="3803"/>
    <n v="830"/>
    <n v="9594"/>
    <n v="2520"/>
    <n v="633"/>
    <n v="397"/>
    <n v="273"/>
    <n v="1055"/>
    <n v="7732"/>
    <n v="12972"/>
    <n v="4024"/>
    <n v="7"/>
    <n v="1613"/>
    <n v="239"/>
    <m/>
    <m/>
    <n v="22"/>
    <n v="11475"/>
    <n v="11"/>
    <n v="0"/>
    <n v="0"/>
    <n v="21"/>
    <n v="0"/>
    <n v="6"/>
    <n v="13"/>
    <n v="0"/>
    <x v="0"/>
  </r>
  <r>
    <s v="September"/>
    <s v="YCL (System Wide)"/>
    <m/>
    <m/>
    <n v="0"/>
    <n v="63"/>
    <n v="183"/>
    <n v="236"/>
    <n v="39"/>
    <n v="65"/>
    <n v="9"/>
    <n v="54"/>
    <m/>
    <n v="22"/>
    <n v="3"/>
    <n v="866"/>
    <n v="3662"/>
    <n v="883"/>
    <n v="906"/>
    <n v="228"/>
    <n v="112"/>
    <n v="547"/>
    <n v="3955"/>
    <n v="776"/>
    <n v="9816"/>
    <n v="2559"/>
    <n v="694"/>
    <n v="931"/>
    <n v="344"/>
    <n v="1082"/>
    <n v="7641"/>
    <n v="15559"/>
    <n v="4075"/>
    <n v="8"/>
    <n v="1127"/>
    <n v="290"/>
    <n v="251"/>
    <n v="3"/>
    <n v="18"/>
    <n v="10246"/>
    <n v="34"/>
    <n v="2"/>
    <n v="12"/>
    <n v="61"/>
    <n v="2"/>
    <n v="15"/>
    <s v="x"/>
    <s v="x"/>
    <x v="0"/>
  </r>
  <r>
    <s v="October"/>
    <s v="YCL (System Wide)"/>
    <m/>
    <m/>
    <n v="0"/>
    <n v="47"/>
    <n v="348"/>
    <n v="351"/>
    <n v="237"/>
    <n v="109"/>
    <m/>
    <m/>
    <m/>
    <n v="1"/>
    <n v="1"/>
    <n v="1112"/>
    <n v="4189"/>
    <n v="818"/>
    <n v="904"/>
    <n v="228"/>
    <n v="142"/>
    <n v="575"/>
    <n v="3697"/>
    <n v="756"/>
    <n v="9914"/>
    <n v="2622"/>
    <n v="707"/>
    <n v="564"/>
    <n v="281"/>
    <m/>
    <n v="8022"/>
    <n v="15076"/>
    <n v="4388"/>
    <n v="9"/>
    <n v="787"/>
    <n v="47"/>
    <n v="193"/>
    <n v="0"/>
    <n v="62"/>
    <m/>
    <n v="14"/>
    <n v="1"/>
    <n v="44"/>
    <n v="32"/>
    <n v="0"/>
    <n v="16"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August"/>
    <s v="YCL (System Wide)"/>
    <m/>
    <n v="249"/>
    <n v="4"/>
    <n v="80"/>
    <n v="5"/>
    <n v="233"/>
    <n v="0"/>
    <n v="111"/>
    <n v="9"/>
    <n v="139"/>
    <m/>
    <n v="20"/>
    <n v="11"/>
    <n v="710"/>
    <n v="3888"/>
    <n v="873"/>
    <n v="977"/>
    <n v="287"/>
    <n v="114"/>
    <n v="608"/>
    <n v="3994"/>
    <n v="834"/>
    <n v="9946"/>
    <n v="2638"/>
    <n v="662"/>
    <n v="984"/>
    <n v="262"/>
    <n v="1328"/>
    <n v="8026"/>
    <n v="16003"/>
    <n v="4149"/>
    <n v="8"/>
    <n v="1014"/>
    <n v="135"/>
    <n v="923"/>
    <n v="0"/>
    <n v="18"/>
    <n v="10380"/>
    <n v="14"/>
    <n v="0"/>
    <n v="2"/>
    <n v="5"/>
    <n v="0"/>
    <n v="13"/>
    <m/>
    <m/>
    <x v="0"/>
  </r>
  <r>
    <s v="July"/>
    <s v="YCL (System Wide)"/>
    <m/>
    <n v="187"/>
    <n v="16"/>
    <n v="129"/>
    <n v="444"/>
    <n v="224"/>
    <n v="96"/>
    <n v="41"/>
    <n v="9"/>
    <n v="134"/>
    <m/>
    <n v="17"/>
    <n v="3"/>
    <n v="697"/>
    <n v="3962"/>
    <n v="989"/>
    <n v="1077"/>
    <n v="231"/>
    <n v="87"/>
    <n v="462"/>
    <n v="3803"/>
    <n v="830"/>
    <n v="9594"/>
    <n v="2520"/>
    <n v="633"/>
    <n v="397"/>
    <n v="273"/>
    <n v="1055"/>
    <n v="7732"/>
    <n v="12972"/>
    <n v="4024"/>
    <n v="7"/>
    <n v="1613"/>
    <n v="239"/>
    <m/>
    <m/>
    <n v="22"/>
    <n v="11475"/>
    <n v="11"/>
    <n v="0"/>
    <n v="0"/>
    <n v="21"/>
    <n v="0"/>
    <n v="6"/>
    <n v="13"/>
    <n v="0"/>
    <x v="0"/>
  </r>
  <r>
    <s v="September"/>
    <s v="YCL (System Wide)"/>
    <m/>
    <m/>
    <n v="0"/>
    <n v="63"/>
    <n v="183"/>
    <n v="236"/>
    <n v="39"/>
    <n v="65"/>
    <n v="9"/>
    <n v="54"/>
    <m/>
    <n v="22"/>
    <n v="3"/>
    <n v="866"/>
    <n v="3662"/>
    <n v="883"/>
    <n v="906"/>
    <n v="228"/>
    <n v="112"/>
    <n v="547"/>
    <n v="3955"/>
    <n v="776"/>
    <n v="9816"/>
    <n v="2559"/>
    <n v="694"/>
    <n v="931"/>
    <n v="344"/>
    <n v="1082"/>
    <n v="7641"/>
    <n v="15559"/>
    <n v="4075"/>
    <n v="8"/>
    <n v="1127"/>
    <n v="290"/>
    <n v="251"/>
    <n v="3"/>
    <n v="18"/>
    <n v="10246"/>
    <n v="34"/>
    <n v="2"/>
    <n v="12"/>
    <n v="61"/>
    <n v="2"/>
    <n v="15"/>
    <s v="x"/>
    <s v="x"/>
    <x v="0"/>
  </r>
  <r>
    <s v="October"/>
    <s v="YCL (System Wide)"/>
    <m/>
    <m/>
    <n v="0"/>
    <n v="47"/>
    <n v="348"/>
    <n v="351"/>
    <n v="237"/>
    <n v="109"/>
    <m/>
    <m/>
    <m/>
    <n v="1"/>
    <n v="1"/>
    <n v="1112"/>
    <n v="4189"/>
    <n v="818"/>
    <n v="904"/>
    <n v="228"/>
    <n v="142"/>
    <n v="575"/>
    <n v="3697"/>
    <n v="756"/>
    <n v="9914"/>
    <n v="2622"/>
    <n v="707"/>
    <n v="564"/>
    <n v="281"/>
    <m/>
    <n v="8022"/>
    <n v="15076"/>
    <n v="4388"/>
    <n v="9"/>
    <n v="787"/>
    <n v="47"/>
    <n v="193"/>
    <n v="0"/>
    <n v="62"/>
    <m/>
    <n v="14"/>
    <n v="1"/>
    <n v="44"/>
    <n v="32"/>
    <n v="0"/>
    <n v="16"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August"/>
    <s v="YCL (System Wide)"/>
    <m/>
    <n v="249"/>
    <n v="4"/>
    <n v="80"/>
    <n v="5"/>
    <n v="233"/>
    <n v="0"/>
    <n v="111"/>
    <n v="9"/>
    <n v="139"/>
    <m/>
    <n v="20"/>
    <n v="11"/>
    <n v="710"/>
    <n v="3888"/>
    <n v="873"/>
    <n v="977"/>
    <n v="287"/>
    <n v="114"/>
    <n v="608"/>
    <n v="3994"/>
    <n v="834"/>
    <n v="9946"/>
    <n v="2638"/>
    <n v="662"/>
    <n v="984"/>
    <n v="262"/>
    <n v="1328"/>
    <n v="8026"/>
    <n v="16003"/>
    <n v="4149"/>
    <n v="8"/>
    <n v="1014"/>
    <n v="135"/>
    <n v="923"/>
    <n v="0"/>
    <n v="18"/>
    <n v="10380"/>
    <n v="14"/>
    <n v="0"/>
    <n v="2"/>
    <n v="5"/>
    <n v="0"/>
    <n v="13"/>
    <m/>
    <m/>
    <x v="0"/>
  </r>
  <r>
    <s v="July"/>
    <s v="YCL (System Wide)"/>
    <m/>
    <n v="187"/>
    <n v="16"/>
    <n v="129"/>
    <n v="444"/>
    <n v="224"/>
    <n v="96"/>
    <n v="41"/>
    <n v="9"/>
    <n v="134"/>
    <m/>
    <n v="17"/>
    <n v="3"/>
    <n v="697"/>
    <n v="3962"/>
    <n v="989"/>
    <n v="1077"/>
    <n v="231"/>
    <n v="87"/>
    <n v="462"/>
    <n v="3803"/>
    <n v="830"/>
    <n v="9594"/>
    <n v="2520"/>
    <n v="633"/>
    <n v="397"/>
    <n v="273"/>
    <n v="1055"/>
    <n v="7732"/>
    <n v="12972"/>
    <n v="4024"/>
    <n v="7"/>
    <n v="1613"/>
    <n v="239"/>
    <m/>
    <m/>
    <n v="22"/>
    <n v="11475"/>
    <n v="11"/>
    <n v="0"/>
    <n v="0"/>
    <n v="21"/>
    <n v="0"/>
    <n v="6"/>
    <n v="13"/>
    <n v="0"/>
    <x v="0"/>
  </r>
  <r>
    <s v="September"/>
    <s v="YCL (System Wide)"/>
    <m/>
    <m/>
    <n v="0"/>
    <n v="63"/>
    <n v="183"/>
    <n v="236"/>
    <n v="39"/>
    <n v="65"/>
    <n v="9"/>
    <n v="54"/>
    <m/>
    <n v="22"/>
    <n v="3"/>
    <n v="866"/>
    <n v="3662"/>
    <n v="883"/>
    <n v="906"/>
    <n v="228"/>
    <n v="112"/>
    <n v="547"/>
    <n v="3955"/>
    <n v="776"/>
    <n v="9816"/>
    <n v="2559"/>
    <n v="694"/>
    <n v="931"/>
    <n v="344"/>
    <n v="1082"/>
    <n v="7641"/>
    <n v="15559"/>
    <n v="4075"/>
    <n v="8"/>
    <n v="1127"/>
    <n v="290"/>
    <n v="251"/>
    <n v="3"/>
    <n v="18"/>
    <n v="10246"/>
    <n v="34"/>
    <n v="2"/>
    <n v="12"/>
    <n v="61"/>
    <n v="2"/>
    <n v="15"/>
    <s v="x"/>
    <s v="x"/>
    <x v="0"/>
  </r>
  <r>
    <s v="October"/>
    <s v="YCL (System Wide)"/>
    <m/>
    <m/>
    <n v="0"/>
    <n v="47"/>
    <n v="348"/>
    <n v="351"/>
    <n v="237"/>
    <n v="109"/>
    <m/>
    <m/>
    <m/>
    <n v="1"/>
    <n v="1"/>
    <n v="1112"/>
    <n v="4189"/>
    <n v="818"/>
    <n v="904"/>
    <n v="228"/>
    <n v="142"/>
    <n v="575"/>
    <n v="3697"/>
    <n v="756"/>
    <n v="9914"/>
    <n v="2622"/>
    <n v="707"/>
    <n v="564"/>
    <n v="281"/>
    <m/>
    <n v="8022"/>
    <n v="15076"/>
    <n v="4388"/>
    <n v="9"/>
    <n v="787"/>
    <n v="47"/>
    <n v="193"/>
    <n v="0"/>
    <n v="62"/>
    <m/>
    <n v="14"/>
    <n v="1"/>
    <n v="44"/>
    <n v="32"/>
    <n v="0"/>
    <n v="16"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s v="August"/>
    <s v="YCL (System Wide)"/>
    <m/>
    <n v="249"/>
    <n v="4"/>
    <n v="80"/>
    <n v="5"/>
    <n v="233"/>
    <n v="0"/>
    <n v="111"/>
    <n v="9"/>
    <n v="139"/>
    <m/>
    <n v="20"/>
    <n v="11"/>
    <n v="710"/>
    <n v="3888"/>
    <n v="873"/>
    <n v="977"/>
    <n v="287"/>
    <n v="114"/>
    <n v="608"/>
    <n v="3994"/>
    <n v="834"/>
    <n v="9946"/>
    <n v="2638"/>
    <n v="662"/>
    <n v="984"/>
    <n v="262"/>
    <n v="1328"/>
    <n v="8026"/>
    <n v="16003"/>
    <n v="4149"/>
    <n v="8"/>
    <n v="1014"/>
    <n v="135"/>
    <n v="923"/>
    <n v="0"/>
    <n v="18"/>
    <n v="10380"/>
    <n v="14"/>
    <n v="0"/>
    <n v="2"/>
    <n v="5"/>
    <n v="0"/>
    <n v="13"/>
    <m/>
    <m/>
    <x v="0"/>
  </r>
  <r>
    <s v="July"/>
    <s v="YCL (System Wide)"/>
    <m/>
    <n v="187"/>
    <n v="16"/>
    <n v="129"/>
    <n v="444"/>
    <n v="224"/>
    <n v="96"/>
    <n v="41"/>
    <n v="9"/>
    <n v="134"/>
    <m/>
    <n v="17"/>
    <n v="3"/>
    <n v="697"/>
    <n v="3962"/>
    <n v="989"/>
    <n v="1077"/>
    <n v="231"/>
    <n v="87"/>
    <n v="462"/>
    <n v="3803"/>
    <n v="830"/>
    <n v="9594"/>
    <n v="2520"/>
    <n v="633"/>
    <n v="397"/>
    <n v="273"/>
    <n v="1055"/>
    <n v="7732"/>
    <n v="12972"/>
    <n v="4024"/>
    <n v="7"/>
    <n v="1613"/>
    <n v="239"/>
    <m/>
    <m/>
    <n v="22"/>
    <n v="11475"/>
    <n v="11"/>
    <n v="0"/>
    <n v="0"/>
    <n v="21"/>
    <n v="0"/>
    <n v="6"/>
    <n v="13"/>
    <n v="0"/>
    <x v="0"/>
  </r>
  <r>
    <s v="September"/>
    <s v="YCL (System Wide)"/>
    <m/>
    <m/>
    <n v="0"/>
    <n v="63"/>
    <n v="183"/>
    <n v="236"/>
    <n v="39"/>
    <n v="65"/>
    <n v="9"/>
    <n v="54"/>
    <m/>
    <n v="22"/>
    <n v="3"/>
    <n v="866"/>
    <n v="3662"/>
    <n v="883"/>
    <n v="906"/>
    <n v="228"/>
    <n v="112"/>
    <n v="547"/>
    <n v="3955"/>
    <n v="776"/>
    <n v="9816"/>
    <n v="2559"/>
    <n v="694"/>
    <n v="931"/>
    <n v="344"/>
    <n v="1082"/>
    <n v="7641"/>
    <n v="15559"/>
    <n v="4075"/>
    <n v="8"/>
    <n v="1127"/>
    <n v="290"/>
    <n v="251"/>
    <n v="3"/>
    <n v="18"/>
    <n v="10246"/>
    <n v="34"/>
    <n v="2"/>
    <n v="12"/>
    <n v="61"/>
    <n v="2"/>
    <n v="15"/>
    <s v="x"/>
    <s v="x"/>
    <x v="0"/>
  </r>
  <r>
    <s v="October"/>
    <s v="YCL (System Wide)"/>
    <m/>
    <m/>
    <n v="0"/>
    <n v="47"/>
    <n v="348"/>
    <n v="351"/>
    <n v="237"/>
    <n v="109"/>
    <m/>
    <m/>
    <m/>
    <n v="1"/>
    <n v="1"/>
    <n v="1112"/>
    <n v="4189"/>
    <n v="818"/>
    <n v="904"/>
    <n v="228"/>
    <n v="142"/>
    <n v="575"/>
    <n v="3697"/>
    <n v="756"/>
    <n v="9914"/>
    <n v="2622"/>
    <n v="707"/>
    <n v="564"/>
    <n v="281"/>
    <m/>
    <n v="8022"/>
    <n v="15076"/>
    <n v="4388"/>
    <n v="9"/>
    <n v="787"/>
    <n v="47"/>
    <n v="193"/>
    <n v="0"/>
    <n v="62"/>
    <m/>
    <n v="14"/>
    <n v="1"/>
    <n v="44"/>
    <n v="32"/>
    <n v="0"/>
    <n v="16"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x v="0"/>
    <x v="0"/>
    <m/>
    <n v="381"/>
    <n v="15313"/>
    <n v="2034"/>
    <m/>
    <n v="4"/>
    <m/>
    <m/>
    <n v="27"/>
    <m/>
    <m/>
    <m/>
    <m/>
    <m/>
    <n v="22"/>
    <n v="6"/>
    <n v="15"/>
    <n v="29"/>
    <n v="6"/>
    <n v="890"/>
    <n v="277"/>
    <n v="162"/>
    <n v="292"/>
    <n v="156"/>
    <m/>
    <n v="6"/>
    <m/>
    <m/>
    <m/>
    <m/>
    <n v="60"/>
    <m/>
    <m/>
    <m/>
    <m/>
    <m/>
    <m/>
    <m/>
    <m/>
    <m/>
    <m/>
    <m/>
    <m/>
    <m/>
    <m/>
    <m/>
    <n v="50"/>
    <n v="14"/>
    <n v="21.5"/>
    <n v="8"/>
    <m/>
    <x v="0"/>
  </r>
  <r>
    <x v="0"/>
    <x v="1"/>
    <m/>
    <n v="62"/>
    <n v="2761"/>
    <n v="214"/>
    <m/>
    <n v="1"/>
    <m/>
    <m/>
    <n v="0"/>
    <m/>
    <m/>
    <m/>
    <m/>
    <m/>
    <n v="8"/>
    <n v="2"/>
    <n v="2"/>
    <n v="1"/>
    <n v="3"/>
    <n v="85"/>
    <n v="21"/>
    <n v="6"/>
    <n v="4"/>
    <n v="30"/>
    <m/>
    <n v="0"/>
    <m/>
    <m/>
    <m/>
    <m/>
    <n v="0"/>
    <m/>
    <m/>
    <m/>
    <m/>
    <m/>
    <m/>
    <m/>
    <m/>
    <m/>
    <m/>
    <m/>
    <m/>
    <m/>
    <m/>
    <m/>
    <n v="20"/>
    <n v="4"/>
    <n v="25"/>
    <n v="0"/>
    <m/>
    <x v="0"/>
  </r>
  <r>
    <x v="0"/>
    <x v="2"/>
    <m/>
    <m/>
    <n v="11737"/>
    <n v="781"/>
    <m/>
    <n v="6"/>
    <m/>
    <m/>
    <n v="5"/>
    <m/>
    <m/>
    <m/>
    <m/>
    <m/>
    <n v="21"/>
    <n v="9"/>
    <n v="7"/>
    <n v="11"/>
    <n v="6"/>
    <n v="754"/>
    <n v="778"/>
    <n v="65"/>
    <n v="94"/>
    <n v="265"/>
    <m/>
    <n v="3"/>
    <m/>
    <m/>
    <m/>
    <m/>
    <n v="800"/>
    <m/>
    <m/>
    <m/>
    <m/>
    <m/>
    <m/>
    <m/>
    <m/>
    <m/>
    <m/>
    <m/>
    <m/>
    <m/>
    <m/>
    <m/>
    <n v="402"/>
    <n v="2"/>
    <n v="2"/>
    <m/>
    <m/>
    <x v="0"/>
  </r>
  <r>
    <x v="0"/>
    <x v="3"/>
    <m/>
    <n v="64"/>
    <n v="3866"/>
    <n v="188"/>
    <m/>
    <n v="10"/>
    <m/>
    <m/>
    <n v="2"/>
    <m/>
    <m/>
    <m/>
    <m/>
    <m/>
    <n v="4"/>
    <n v="4"/>
    <n v="2"/>
    <n v="12"/>
    <n v="2"/>
    <n v="40"/>
    <n v="20"/>
    <n v="9"/>
    <n v="100"/>
    <n v="11"/>
    <m/>
    <n v="0"/>
    <m/>
    <m/>
    <m/>
    <m/>
    <n v="0"/>
    <m/>
    <m/>
    <m/>
    <m/>
    <m/>
    <m/>
    <m/>
    <m/>
    <m/>
    <m/>
    <m/>
    <m/>
    <m/>
    <m/>
    <m/>
    <n v="372"/>
    <n v="1"/>
    <n v="24.5"/>
    <n v="5"/>
    <m/>
    <x v="0"/>
  </r>
  <r>
    <x v="0"/>
    <x v="4"/>
    <m/>
    <m/>
    <n v="3598"/>
    <n v="377"/>
    <m/>
    <n v="2"/>
    <m/>
    <m/>
    <n v="0"/>
    <m/>
    <m/>
    <m/>
    <m/>
    <m/>
    <n v="12"/>
    <n v="3"/>
    <n v="1"/>
    <n v="7"/>
    <m/>
    <n v="206"/>
    <n v="66"/>
    <n v="4"/>
    <n v="61"/>
    <m/>
    <m/>
    <n v="1"/>
    <m/>
    <m/>
    <m/>
    <m/>
    <n v="150"/>
    <m/>
    <m/>
    <m/>
    <m/>
    <m/>
    <m/>
    <m/>
    <m/>
    <m/>
    <m/>
    <m/>
    <m/>
    <m/>
    <m/>
    <m/>
    <n v="5"/>
    <n v="4"/>
    <n v="28"/>
    <n v="0"/>
    <m/>
    <x v="0"/>
  </r>
  <r>
    <x v="0"/>
    <x v="5"/>
    <m/>
    <m/>
    <n v="905"/>
    <m/>
    <m/>
    <m/>
    <m/>
    <m/>
    <m/>
    <m/>
    <m/>
    <m/>
    <m/>
    <m/>
    <n v="1"/>
    <m/>
    <m/>
    <n v="2"/>
    <m/>
    <n v="25"/>
    <m/>
    <m/>
    <n v="16"/>
    <m/>
    <m/>
    <m/>
    <m/>
    <m/>
    <m/>
    <m/>
    <m/>
    <m/>
    <m/>
    <m/>
    <m/>
    <m/>
    <m/>
    <m/>
    <m/>
    <m/>
    <m/>
    <m/>
    <m/>
    <m/>
    <m/>
    <m/>
    <n v="385"/>
    <n v="2"/>
    <n v="8"/>
    <m/>
    <m/>
    <x v="0"/>
  </r>
  <r>
    <x v="0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0"/>
    <x v="6"/>
    <m/>
    <m/>
    <m/>
    <m/>
    <m/>
    <m/>
    <m/>
    <m/>
    <m/>
    <n v="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0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0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0"/>
    <x v="6"/>
    <m/>
    <m/>
    <m/>
    <m/>
    <n v="0"/>
    <m/>
    <n v="80838"/>
    <n v="357"/>
    <m/>
    <m/>
    <m/>
    <m/>
    <m/>
    <n v="53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0"/>
    <x v="6"/>
    <m/>
    <n v="6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1"/>
    <x v="0"/>
    <m/>
    <n v="248"/>
    <n v="14835"/>
    <n v="1918"/>
    <m/>
    <m/>
    <m/>
    <m/>
    <n v="20"/>
    <m/>
    <m/>
    <m/>
    <m/>
    <m/>
    <m/>
    <m/>
    <n v="5"/>
    <n v="16"/>
    <n v="1"/>
    <m/>
    <m/>
    <n v="46"/>
    <n v="135"/>
    <n v="34"/>
    <m/>
    <m/>
    <m/>
    <m/>
    <m/>
    <m/>
    <m/>
    <m/>
    <m/>
    <m/>
    <m/>
    <m/>
    <m/>
    <m/>
    <m/>
    <m/>
    <m/>
    <m/>
    <m/>
    <m/>
    <m/>
    <m/>
    <n v="244"/>
    <n v="50"/>
    <n v="375"/>
    <n v="21"/>
    <m/>
    <x v="0"/>
  </r>
  <r>
    <x v="1"/>
    <x v="1"/>
    <m/>
    <n v="51"/>
    <n v="2957"/>
    <n v="353"/>
    <m/>
    <n v="1"/>
    <m/>
    <m/>
    <n v="0"/>
    <m/>
    <m/>
    <m/>
    <m/>
    <m/>
    <n v="1"/>
    <m/>
    <m/>
    <n v="4"/>
    <n v="1"/>
    <n v="16"/>
    <m/>
    <m/>
    <n v="20"/>
    <n v="5"/>
    <m/>
    <m/>
    <m/>
    <m/>
    <m/>
    <m/>
    <m/>
    <m/>
    <m/>
    <m/>
    <m/>
    <m/>
    <m/>
    <m/>
    <m/>
    <m/>
    <m/>
    <m/>
    <m/>
    <m/>
    <m/>
    <m/>
    <n v="100"/>
    <n v="26"/>
    <n v="76.5"/>
    <m/>
    <m/>
    <x v="0"/>
  </r>
  <r>
    <x v="1"/>
    <x v="2"/>
    <m/>
    <n v="191"/>
    <n v="9858"/>
    <n v="765"/>
    <m/>
    <n v="3"/>
    <m/>
    <m/>
    <n v="5"/>
    <m/>
    <m/>
    <m/>
    <m/>
    <m/>
    <m/>
    <n v="1"/>
    <m/>
    <n v="6"/>
    <n v="1"/>
    <m/>
    <n v="15"/>
    <m/>
    <n v="50"/>
    <n v="52"/>
    <m/>
    <m/>
    <m/>
    <m/>
    <m/>
    <m/>
    <m/>
    <m/>
    <m/>
    <m/>
    <m/>
    <m/>
    <m/>
    <m/>
    <m/>
    <m/>
    <m/>
    <m/>
    <m/>
    <m/>
    <m/>
    <m/>
    <n v="242"/>
    <n v="1"/>
    <n v="1"/>
    <m/>
    <m/>
    <x v="0"/>
  </r>
  <r>
    <x v="1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"/>
    <n v="133"/>
    <m/>
    <m/>
    <x v="0"/>
  </r>
  <r>
    <x v="1"/>
    <x v="3"/>
    <m/>
    <n v="60"/>
    <n v="3610"/>
    <n v="196"/>
    <m/>
    <n v="10"/>
    <m/>
    <m/>
    <n v="0"/>
    <m/>
    <m/>
    <m/>
    <m/>
    <m/>
    <n v="1"/>
    <n v="0"/>
    <n v="0"/>
    <n v="10"/>
    <n v="4"/>
    <n v="7"/>
    <n v="0"/>
    <n v="0"/>
    <n v="82"/>
    <n v="27"/>
    <m/>
    <n v="0"/>
    <m/>
    <m/>
    <m/>
    <m/>
    <n v="0"/>
    <m/>
    <m/>
    <m/>
    <m/>
    <m/>
    <m/>
    <m/>
    <m/>
    <m/>
    <m/>
    <m/>
    <m/>
    <m/>
    <m/>
    <m/>
    <n v="249"/>
    <n v="11"/>
    <n v="81.5"/>
    <n v="3"/>
    <m/>
    <x v="0"/>
  </r>
  <r>
    <x v="1"/>
    <x v="4"/>
    <m/>
    <n v="130"/>
    <n v="3663"/>
    <n v="516"/>
    <m/>
    <n v="3"/>
    <m/>
    <m/>
    <n v="0"/>
    <m/>
    <m/>
    <m/>
    <m/>
    <m/>
    <m/>
    <m/>
    <m/>
    <n v="2"/>
    <m/>
    <m/>
    <m/>
    <m/>
    <n v="15"/>
    <m/>
    <m/>
    <n v="1"/>
    <m/>
    <m/>
    <m/>
    <m/>
    <n v="40"/>
    <m/>
    <m/>
    <m/>
    <m/>
    <m/>
    <m/>
    <m/>
    <m/>
    <m/>
    <m/>
    <m/>
    <m/>
    <m/>
    <m/>
    <m/>
    <n v="0"/>
    <n v="6"/>
    <n v="30"/>
    <n v="0"/>
    <m/>
    <x v="0"/>
  </r>
  <r>
    <x v="1"/>
    <x v="5"/>
    <m/>
    <n v="34"/>
    <n v="7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3"/>
    <m/>
    <m/>
    <n v="6"/>
    <m/>
    <x v="0"/>
  </r>
  <r>
    <x v="1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1"/>
    <x v="6"/>
    <m/>
    <m/>
    <m/>
    <m/>
    <m/>
    <m/>
    <m/>
    <m/>
    <m/>
    <n v="5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1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1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1"/>
    <x v="6"/>
    <m/>
    <m/>
    <m/>
    <m/>
    <n v="0"/>
    <m/>
    <n v="84346"/>
    <n v="351"/>
    <m/>
    <m/>
    <m/>
    <m/>
    <m/>
    <n v="57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1"/>
    <x v="6"/>
    <m/>
    <n v="7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2"/>
    <x v="0"/>
    <m/>
    <n v="122"/>
    <n v="12444"/>
    <n v="1383"/>
    <m/>
    <n v="5"/>
    <m/>
    <m/>
    <n v="13"/>
    <m/>
    <m/>
    <m/>
    <m/>
    <m/>
    <n v="23"/>
    <n v="73"/>
    <n v="20"/>
    <n v="21"/>
    <n v="9"/>
    <n v="899"/>
    <n v="73"/>
    <n v="1402"/>
    <n v="175"/>
    <n v="216"/>
    <m/>
    <n v="7"/>
    <m/>
    <m/>
    <m/>
    <m/>
    <n v="1308"/>
    <m/>
    <m/>
    <m/>
    <m/>
    <m/>
    <m/>
    <m/>
    <m/>
    <m/>
    <m/>
    <m/>
    <m/>
    <m/>
    <m/>
    <m/>
    <n v="259"/>
    <n v="10"/>
    <n v="23"/>
    <n v="9"/>
    <m/>
    <x v="0"/>
  </r>
  <r>
    <x v="2"/>
    <x v="2"/>
    <m/>
    <m/>
    <n v="9136"/>
    <n v="541"/>
    <m/>
    <n v="2"/>
    <m/>
    <m/>
    <n v="5"/>
    <m/>
    <m/>
    <m/>
    <m/>
    <m/>
    <n v="14"/>
    <n v="4"/>
    <n v="6"/>
    <n v="11"/>
    <n v="3"/>
    <n v="418"/>
    <n v="49"/>
    <n v="68"/>
    <n v="71"/>
    <n v="114"/>
    <m/>
    <m/>
    <m/>
    <m/>
    <m/>
    <m/>
    <m/>
    <m/>
    <m/>
    <m/>
    <m/>
    <m/>
    <m/>
    <m/>
    <m/>
    <m/>
    <m/>
    <m/>
    <m/>
    <m/>
    <m/>
    <m/>
    <n v="368"/>
    <m/>
    <m/>
    <m/>
    <m/>
    <x v="0"/>
  </r>
  <r>
    <x v="2"/>
    <x v="3"/>
    <m/>
    <n v="48"/>
    <n v="3025"/>
    <n v="148"/>
    <m/>
    <n v="9"/>
    <m/>
    <m/>
    <n v="2"/>
    <m/>
    <m/>
    <m/>
    <m/>
    <m/>
    <n v="7"/>
    <n v="4"/>
    <n v="2"/>
    <n v="5"/>
    <n v="0"/>
    <n v="127"/>
    <n v="43"/>
    <n v="5"/>
    <n v="41"/>
    <n v="0"/>
    <m/>
    <n v="0"/>
    <m/>
    <m/>
    <m/>
    <m/>
    <n v="0"/>
    <m/>
    <m/>
    <m/>
    <m/>
    <m/>
    <m/>
    <m/>
    <m/>
    <m/>
    <m/>
    <m/>
    <m/>
    <m/>
    <m/>
    <m/>
    <n v="301"/>
    <n v="1"/>
    <n v="8"/>
    <n v="8"/>
    <m/>
    <x v="0"/>
  </r>
  <r>
    <x v="2"/>
    <x v="4"/>
    <m/>
    <m/>
    <n v="2841"/>
    <n v="347"/>
    <m/>
    <n v="2"/>
    <m/>
    <m/>
    <n v="0"/>
    <m/>
    <m/>
    <m/>
    <m/>
    <m/>
    <n v="9"/>
    <n v="3"/>
    <n v="1"/>
    <n v="7"/>
    <m/>
    <n v="166"/>
    <n v="81"/>
    <n v="7"/>
    <n v="60"/>
    <m/>
    <m/>
    <m/>
    <m/>
    <m/>
    <m/>
    <m/>
    <m/>
    <m/>
    <m/>
    <m/>
    <m/>
    <m/>
    <m/>
    <m/>
    <m/>
    <m/>
    <m/>
    <m/>
    <m/>
    <m/>
    <m/>
    <m/>
    <n v="70"/>
    <n v="5"/>
    <n v="10"/>
    <n v="0"/>
    <m/>
    <x v="0"/>
  </r>
  <r>
    <x v="2"/>
    <x v="5"/>
    <m/>
    <m/>
    <n v="600"/>
    <m/>
    <m/>
    <m/>
    <m/>
    <m/>
    <m/>
    <m/>
    <m/>
    <m/>
    <m/>
    <m/>
    <n v="3"/>
    <m/>
    <m/>
    <m/>
    <m/>
    <n v="98"/>
    <m/>
    <m/>
    <m/>
    <m/>
    <m/>
    <m/>
    <m/>
    <m/>
    <m/>
    <m/>
    <m/>
    <m/>
    <m/>
    <m/>
    <m/>
    <m/>
    <m/>
    <m/>
    <m/>
    <m/>
    <m/>
    <m/>
    <m/>
    <m/>
    <m/>
    <m/>
    <n v="586"/>
    <m/>
    <m/>
    <m/>
    <m/>
    <x v="0"/>
  </r>
  <r>
    <x v="2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2"/>
    <x v="6"/>
    <m/>
    <m/>
    <m/>
    <m/>
    <m/>
    <m/>
    <m/>
    <m/>
    <m/>
    <n v="2"/>
    <n v="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2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2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2"/>
    <x v="6"/>
    <m/>
    <m/>
    <m/>
    <m/>
    <n v="0"/>
    <m/>
    <n v="65379"/>
    <n v="312"/>
    <m/>
    <m/>
    <m/>
    <m/>
    <m/>
    <n v="44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2"/>
    <x v="1"/>
    <m/>
    <m/>
    <n v="20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2"/>
    <x v="6"/>
    <m/>
    <n v="3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3"/>
    <x v="1"/>
    <m/>
    <m/>
    <n v="2241"/>
    <n v="207"/>
    <m/>
    <m/>
    <m/>
    <m/>
    <m/>
    <m/>
    <m/>
    <m/>
    <m/>
    <m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0"/>
    <n v="35"/>
    <n v="59.5"/>
    <m/>
    <m/>
    <x v="0"/>
  </r>
  <r>
    <x v="3"/>
    <x v="2"/>
    <m/>
    <m/>
    <n v="11408"/>
    <n v="686"/>
    <m/>
    <n v="14"/>
    <m/>
    <m/>
    <n v="6"/>
    <m/>
    <m/>
    <m/>
    <m/>
    <m/>
    <n v="23"/>
    <n v="6"/>
    <n v="7"/>
    <n v="14"/>
    <n v="4"/>
    <n v="683"/>
    <n v="66"/>
    <n v="93"/>
    <n v="116"/>
    <n v="154"/>
    <m/>
    <n v="1"/>
    <m/>
    <m/>
    <m/>
    <m/>
    <n v="400"/>
    <m/>
    <m/>
    <m/>
    <m/>
    <m/>
    <m/>
    <m/>
    <m/>
    <m/>
    <m/>
    <m/>
    <m/>
    <m/>
    <m/>
    <m/>
    <n v="365"/>
    <n v="16"/>
    <n v="120"/>
    <m/>
    <m/>
    <x v="0"/>
  </r>
  <r>
    <x v="3"/>
    <x v="3"/>
    <m/>
    <m/>
    <n v="3400"/>
    <n v="193"/>
    <m/>
    <n v="11"/>
    <m/>
    <m/>
    <n v="3"/>
    <m/>
    <m/>
    <m/>
    <m/>
    <m/>
    <n v="5"/>
    <n v="4"/>
    <n v="2"/>
    <n v="13"/>
    <n v="0"/>
    <n v="52"/>
    <n v="47"/>
    <n v="8"/>
    <n v="118"/>
    <n v="0"/>
    <m/>
    <n v="0"/>
    <m/>
    <m/>
    <m/>
    <m/>
    <n v="0"/>
    <m/>
    <m/>
    <m/>
    <m/>
    <m/>
    <m/>
    <m/>
    <m/>
    <m/>
    <m/>
    <m/>
    <m/>
    <m/>
    <m/>
    <m/>
    <n v="432"/>
    <n v="1"/>
    <n v="86"/>
    <n v="5"/>
    <m/>
    <x v="0"/>
  </r>
  <r>
    <x v="3"/>
    <x v="4"/>
    <m/>
    <m/>
    <n v="3286"/>
    <n v="409"/>
    <m/>
    <n v="5"/>
    <m/>
    <m/>
    <n v="0"/>
    <m/>
    <m/>
    <m/>
    <m/>
    <m/>
    <n v="7"/>
    <n v="3"/>
    <n v="1"/>
    <n v="8"/>
    <n v="1"/>
    <n v="73"/>
    <n v="68"/>
    <n v="5"/>
    <n v="67"/>
    <n v="20"/>
    <m/>
    <n v="1"/>
    <m/>
    <m/>
    <m/>
    <m/>
    <n v="57"/>
    <m/>
    <m/>
    <m/>
    <m/>
    <m/>
    <m/>
    <m/>
    <m/>
    <m/>
    <m/>
    <m/>
    <m/>
    <m/>
    <m/>
    <m/>
    <n v="48"/>
    <n v="18"/>
    <n v="86.5"/>
    <n v="2"/>
    <m/>
    <x v="0"/>
  </r>
  <r>
    <x v="3"/>
    <x v="5"/>
    <m/>
    <m/>
    <n v="1153"/>
    <m/>
    <m/>
    <m/>
    <m/>
    <m/>
    <m/>
    <m/>
    <m/>
    <m/>
    <m/>
    <m/>
    <n v="4"/>
    <m/>
    <m/>
    <m/>
    <m/>
    <n v="104"/>
    <m/>
    <m/>
    <m/>
    <m/>
    <m/>
    <m/>
    <m/>
    <m/>
    <m/>
    <m/>
    <m/>
    <m/>
    <m/>
    <m/>
    <m/>
    <m/>
    <m/>
    <m/>
    <m/>
    <m/>
    <m/>
    <m/>
    <m/>
    <m/>
    <m/>
    <m/>
    <m/>
    <n v="1"/>
    <n v="1.5"/>
    <m/>
    <m/>
    <x v="0"/>
  </r>
  <r>
    <x v="3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3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3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3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3"/>
    <x v="6"/>
    <m/>
    <m/>
    <m/>
    <m/>
    <n v="0"/>
    <m/>
    <n v="73349"/>
    <n v="333"/>
    <m/>
    <m/>
    <m/>
    <m/>
    <m/>
    <n v="54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3"/>
    <x v="0"/>
    <m/>
    <m/>
    <n v="138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3"/>
    <x v="6"/>
    <m/>
    <n v="5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4"/>
    <x v="1"/>
    <m/>
    <n v="27"/>
    <n v="2152"/>
    <n v="216"/>
    <m/>
    <n v="1"/>
    <m/>
    <m/>
    <m/>
    <m/>
    <m/>
    <m/>
    <m/>
    <m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30"/>
    <n v="38"/>
    <n v="26.5"/>
    <m/>
    <m/>
    <x v="0"/>
  </r>
  <r>
    <x v="4"/>
    <x v="2"/>
    <m/>
    <m/>
    <n v="10005"/>
    <n v="679"/>
    <m/>
    <n v="6"/>
    <m/>
    <m/>
    <n v="5"/>
    <m/>
    <m/>
    <m/>
    <m/>
    <m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469"/>
    <m/>
    <m/>
    <m/>
    <m/>
    <x v="0"/>
  </r>
  <r>
    <x v="4"/>
    <x v="3"/>
    <m/>
    <n v="46"/>
    <n v="3147"/>
    <n v="138"/>
    <m/>
    <n v="9"/>
    <m/>
    <m/>
    <n v="3"/>
    <m/>
    <m/>
    <m/>
    <m/>
    <m/>
    <n v="1"/>
    <n v="2"/>
    <n v="2"/>
    <n v="10"/>
    <n v="0"/>
    <n v="8"/>
    <n v="6"/>
    <n v="4"/>
    <n v="105"/>
    <n v="0"/>
    <m/>
    <n v="0"/>
    <m/>
    <m/>
    <m/>
    <m/>
    <n v="0"/>
    <m/>
    <m/>
    <m/>
    <m/>
    <m/>
    <m/>
    <m/>
    <m/>
    <m/>
    <m/>
    <m/>
    <m/>
    <m/>
    <m/>
    <m/>
    <n v="261"/>
    <n v="1"/>
    <n v="9"/>
    <n v="2"/>
    <m/>
    <x v="0"/>
  </r>
  <r>
    <x v="4"/>
    <x v="4"/>
    <m/>
    <n v="56"/>
    <n v="3430"/>
    <n v="395"/>
    <m/>
    <n v="3"/>
    <m/>
    <m/>
    <n v="0"/>
    <m/>
    <m/>
    <m/>
    <m/>
    <m/>
    <n v="10"/>
    <n v="2"/>
    <n v="2"/>
    <n v="9"/>
    <m/>
    <n v="146"/>
    <n v="56"/>
    <n v="15"/>
    <n v="91"/>
    <m/>
    <m/>
    <m/>
    <m/>
    <m/>
    <m/>
    <m/>
    <m/>
    <m/>
    <m/>
    <m/>
    <m/>
    <m/>
    <m/>
    <m/>
    <m/>
    <m/>
    <m/>
    <m/>
    <m/>
    <m/>
    <m/>
    <m/>
    <n v="150"/>
    <n v="4"/>
    <n v="16"/>
    <n v="3"/>
    <m/>
    <x v="0"/>
  </r>
  <r>
    <x v="4"/>
    <x v="5"/>
    <m/>
    <m/>
    <n v="625"/>
    <m/>
    <m/>
    <m/>
    <m/>
    <m/>
    <m/>
    <m/>
    <m/>
    <m/>
    <m/>
    <m/>
    <n v="3"/>
    <m/>
    <m/>
    <m/>
    <m/>
    <n v="96"/>
    <m/>
    <m/>
    <m/>
    <m/>
    <m/>
    <m/>
    <m/>
    <m/>
    <m/>
    <m/>
    <m/>
    <m/>
    <m/>
    <m/>
    <m/>
    <m/>
    <m/>
    <m/>
    <m/>
    <m/>
    <m/>
    <m/>
    <m/>
    <m/>
    <m/>
    <m/>
    <n v="130"/>
    <n v="1"/>
    <n v="1"/>
    <m/>
    <m/>
    <x v="0"/>
  </r>
  <r>
    <x v="4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4"/>
    <x v="6"/>
    <m/>
    <m/>
    <m/>
    <m/>
    <m/>
    <m/>
    <m/>
    <m/>
    <m/>
    <n v="7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4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4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4"/>
    <x v="6"/>
    <m/>
    <m/>
    <m/>
    <m/>
    <m/>
    <m/>
    <m/>
    <m/>
    <m/>
    <n v="2"/>
    <n v="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4"/>
    <x v="6"/>
    <m/>
    <m/>
    <m/>
    <m/>
    <n v="0"/>
    <m/>
    <n v="77438"/>
    <n v="350"/>
    <m/>
    <m/>
    <m/>
    <m/>
    <m/>
    <n v="45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4"/>
    <x v="0"/>
    <m/>
    <m/>
    <n v="13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4"/>
    <x v="6"/>
    <m/>
    <n v="5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5"/>
    <x v="0"/>
    <m/>
    <n v="241"/>
    <n v="19042"/>
    <n v="2069"/>
    <m/>
    <n v="2"/>
    <m/>
    <m/>
    <n v="40"/>
    <m/>
    <m/>
    <m/>
    <m/>
    <m/>
    <n v="11"/>
    <n v="5"/>
    <n v="25"/>
    <n v="20"/>
    <n v="13"/>
    <n v="652"/>
    <n v="153"/>
    <n v="315"/>
    <n v="165"/>
    <n v="1092"/>
    <m/>
    <n v="2"/>
    <m/>
    <m/>
    <m/>
    <m/>
    <n v="71"/>
    <m/>
    <m/>
    <m/>
    <m/>
    <m/>
    <m/>
    <m/>
    <m/>
    <m/>
    <m/>
    <m/>
    <m/>
    <m/>
    <m/>
    <m/>
    <n v="674"/>
    <n v="9"/>
    <n v="53"/>
    <n v="7"/>
    <m/>
    <x v="0"/>
  </r>
  <r>
    <x v="5"/>
    <x v="1"/>
    <m/>
    <n v="33"/>
    <n v="3101"/>
    <n v="320"/>
    <m/>
    <m/>
    <m/>
    <m/>
    <n v="0"/>
    <m/>
    <m/>
    <m/>
    <m/>
    <m/>
    <n v="14"/>
    <n v="3"/>
    <n v="5"/>
    <n v="6"/>
    <n v="6"/>
    <n v="177"/>
    <n v="17"/>
    <n v="30"/>
    <n v="53"/>
    <n v="106"/>
    <m/>
    <m/>
    <m/>
    <m/>
    <m/>
    <m/>
    <m/>
    <m/>
    <m/>
    <m/>
    <m/>
    <m/>
    <m/>
    <m/>
    <m/>
    <m/>
    <m/>
    <m/>
    <m/>
    <m/>
    <m/>
    <m/>
    <n v="108"/>
    <n v="17"/>
    <n v="20.5"/>
    <m/>
    <m/>
    <x v="0"/>
  </r>
  <r>
    <x v="5"/>
    <x v="2"/>
    <m/>
    <n v="332"/>
    <n v="13217"/>
    <n v="935"/>
    <m/>
    <n v="2"/>
    <m/>
    <m/>
    <n v="5"/>
    <m/>
    <m/>
    <m/>
    <m/>
    <m/>
    <n v="24"/>
    <n v="5"/>
    <n v="7"/>
    <n v="8"/>
    <n v="15"/>
    <n v="737"/>
    <n v="95"/>
    <n v="86"/>
    <n v="75"/>
    <n v="741"/>
    <m/>
    <n v="1"/>
    <m/>
    <m/>
    <m/>
    <m/>
    <n v="12"/>
    <m/>
    <m/>
    <m/>
    <m/>
    <m/>
    <m/>
    <m/>
    <m/>
    <m/>
    <m/>
    <m/>
    <m/>
    <m/>
    <m/>
    <m/>
    <n v="491"/>
    <n v="1"/>
    <n v="1"/>
    <m/>
    <m/>
    <x v="0"/>
  </r>
  <r>
    <x v="5"/>
    <x v="4"/>
    <m/>
    <n v="72"/>
    <n v="4740"/>
    <n v="538"/>
    <m/>
    <n v="2"/>
    <m/>
    <m/>
    <n v="0"/>
    <m/>
    <m/>
    <m/>
    <m/>
    <m/>
    <n v="9"/>
    <n v="10"/>
    <n v="3"/>
    <n v="7"/>
    <n v="0"/>
    <n v="143"/>
    <n v="292"/>
    <n v="32"/>
    <n v="114"/>
    <n v="0"/>
    <m/>
    <n v="0"/>
    <m/>
    <m/>
    <m/>
    <m/>
    <n v="0"/>
    <m/>
    <m/>
    <m/>
    <m/>
    <m/>
    <m/>
    <m/>
    <m/>
    <m/>
    <m/>
    <m/>
    <m/>
    <m/>
    <m/>
    <m/>
    <n v="35"/>
    <n v="6"/>
    <n v="108"/>
    <n v="0"/>
    <m/>
    <x v="0"/>
  </r>
  <r>
    <x v="5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5"/>
    <x v="6"/>
    <m/>
    <m/>
    <m/>
    <m/>
    <m/>
    <m/>
    <m/>
    <m/>
    <m/>
    <n v="11"/>
    <n v="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5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5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5"/>
    <x v="6"/>
    <m/>
    <m/>
    <m/>
    <m/>
    <n v="0"/>
    <m/>
    <n v="76749"/>
    <n v="376"/>
    <m/>
    <m/>
    <m/>
    <m/>
    <m/>
    <n v="48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5"/>
    <x v="3"/>
    <m/>
    <n v="75"/>
    <n v="47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5"/>
    <x v="6"/>
    <m/>
    <n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5"/>
    <x v="7"/>
    <m/>
    <n v="24"/>
    <n v="8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6"/>
    <x v="0"/>
    <m/>
    <n v="206"/>
    <n v="15534"/>
    <n v="2125"/>
    <m/>
    <n v="6"/>
    <m/>
    <m/>
    <n v="21"/>
    <m/>
    <m/>
    <m/>
    <m/>
    <m/>
    <n v="31"/>
    <n v="5"/>
    <n v="13"/>
    <n v="27"/>
    <n v="6"/>
    <n v="1188"/>
    <n v="116"/>
    <n v="155"/>
    <n v="277"/>
    <n v="106"/>
    <m/>
    <n v="7"/>
    <m/>
    <m/>
    <m/>
    <m/>
    <n v="111"/>
    <m/>
    <m/>
    <m/>
    <m/>
    <m/>
    <m/>
    <m/>
    <m/>
    <m/>
    <m/>
    <m/>
    <m/>
    <m/>
    <m/>
    <m/>
    <n v="30"/>
    <n v="42"/>
    <n v="40.5"/>
    <n v="10"/>
    <m/>
    <x v="0"/>
  </r>
  <r>
    <x v="6"/>
    <x v="1"/>
    <m/>
    <n v="35"/>
    <n v="2402"/>
    <n v="208"/>
    <m/>
    <n v="0"/>
    <m/>
    <m/>
    <m/>
    <m/>
    <m/>
    <m/>
    <m/>
    <m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0"/>
    <n v="19"/>
    <n v="20"/>
    <n v="0"/>
    <m/>
    <x v="0"/>
  </r>
  <r>
    <x v="6"/>
    <x v="2"/>
    <m/>
    <m/>
    <n v="12508"/>
    <n v="810"/>
    <m/>
    <n v="14"/>
    <m/>
    <m/>
    <n v="5"/>
    <m/>
    <m/>
    <m/>
    <m/>
    <m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320"/>
    <n v="5"/>
    <n v="5"/>
    <m/>
    <m/>
    <x v="0"/>
  </r>
  <r>
    <x v="6"/>
    <x v="3"/>
    <m/>
    <n v="55"/>
    <n v="3808"/>
    <n v="218"/>
    <m/>
    <n v="12"/>
    <m/>
    <m/>
    <n v="2"/>
    <m/>
    <m/>
    <m/>
    <m/>
    <m/>
    <n v="4"/>
    <n v="2"/>
    <n v="2"/>
    <n v="13"/>
    <n v="2"/>
    <n v="39"/>
    <n v="7"/>
    <n v="19"/>
    <n v="122"/>
    <n v="16"/>
    <m/>
    <n v="0"/>
    <m/>
    <m/>
    <m/>
    <m/>
    <n v="0"/>
    <m/>
    <m/>
    <m/>
    <m/>
    <m/>
    <m/>
    <m/>
    <m/>
    <m/>
    <m/>
    <m/>
    <m/>
    <m/>
    <m/>
    <m/>
    <n v="365"/>
    <n v="1"/>
    <n v="53"/>
    <n v="9"/>
    <m/>
    <x v="0"/>
  </r>
  <r>
    <x v="6"/>
    <x v="4"/>
    <m/>
    <m/>
    <n v="3798"/>
    <n v="458"/>
    <m/>
    <n v="4"/>
    <m/>
    <m/>
    <n v="0"/>
    <m/>
    <m/>
    <m/>
    <m/>
    <m/>
    <n v="14"/>
    <n v="1"/>
    <n v="1"/>
    <n v="8"/>
    <m/>
    <n v="162"/>
    <n v="4"/>
    <n v="4"/>
    <n v="61"/>
    <m/>
    <m/>
    <n v="1"/>
    <m/>
    <m/>
    <m/>
    <m/>
    <n v="20"/>
    <m/>
    <m/>
    <m/>
    <m/>
    <m/>
    <m/>
    <m/>
    <m/>
    <m/>
    <m/>
    <m/>
    <m/>
    <m/>
    <m/>
    <m/>
    <n v="45"/>
    <n v="11"/>
    <n v="66"/>
    <n v="0"/>
    <m/>
    <x v="0"/>
  </r>
  <r>
    <x v="6"/>
    <x v="5"/>
    <m/>
    <m/>
    <n v="507"/>
    <m/>
    <m/>
    <m/>
    <m/>
    <m/>
    <m/>
    <m/>
    <m/>
    <m/>
    <m/>
    <m/>
    <n v="4"/>
    <m/>
    <m/>
    <m/>
    <m/>
    <n v="123"/>
    <m/>
    <m/>
    <m/>
    <m/>
    <m/>
    <m/>
    <m/>
    <m/>
    <m/>
    <m/>
    <m/>
    <m/>
    <m/>
    <m/>
    <m/>
    <m/>
    <m/>
    <m/>
    <m/>
    <m/>
    <m/>
    <m/>
    <m/>
    <m/>
    <m/>
    <m/>
    <n v="489"/>
    <n v="2"/>
    <n v="2"/>
    <n v="3"/>
    <m/>
    <x v="0"/>
  </r>
  <r>
    <x v="6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6"/>
    <x v="6"/>
    <m/>
    <m/>
    <m/>
    <m/>
    <m/>
    <m/>
    <m/>
    <m/>
    <m/>
    <n v="6"/>
    <n v="1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6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6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6"/>
    <x v="6"/>
    <m/>
    <m/>
    <m/>
    <m/>
    <n v="0"/>
    <m/>
    <n v="82902"/>
    <n v="380"/>
    <m/>
    <m/>
    <m/>
    <m/>
    <m/>
    <n v="64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6"/>
    <x v="6"/>
    <m/>
    <n v="5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7"/>
    <x v="0"/>
    <m/>
    <n v="376"/>
    <n v="17040"/>
    <n v="1972"/>
    <m/>
    <n v="12"/>
    <m/>
    <m/>
    <n v="38"/>
    <m/>
    <m/>
    <m/>
    <m/>
    <m/>
    <n v="15"/>
    <n v="6"/>
    <n v="10"/>
    <n v="22"/>
    <n v="8"/>
    <n v="636"/>
    <n v="140"/>
    <n v="59"/>
    <n v="245"/>
    <n v="1644"/>
    <m/>
    <n v="5"/>
    <m/>
    <m/>
    <m/>
    <m/>
    <n v="21"/>
    <m/>
    <m/>
    <m/>
    <m/>
    <m/>
    <m/>
    <m/>
    <m/>
    <m/>
    <m/>
    <m/>
    <m/>
    <m/>
    <m/>
    <m/>
    <n v="0"/>
    <n v="15"/>
    <n v="14.5"/>
    <n v="7"/>
    <m/>
    <x v="0"/>
  </r>
  <r>
    <x v="7"/>
    <x v="1"/>
    <m/>
    <n v="59"/>
    <n v="2618"/>
    <n v="229"/>
    <m/>
    <n v="1"/>
    <m/>
    <m/>
    <n v="0"/>
    <n v="0"/>
    <n v="0"/>
    <m/>
    <m/>
    <m/>
    <n v="10"/>
    <n v="2"/>
    <n v="3"/>
    <n v="3"/>
    <n v="0"/>
    <n v="155"/>
    <n v="12"/>
    <n v="17"/>
    <n v="28"/>
    <n v="0"/>
    <m/>
    <n v="0"/>
    <m/>
    <m/>
    <m/>
    <m/>
    <n v="0"/>
    <m/>
    <m/>
    <m/>
    <m/>
    <m/>
    <m/>
    <m/>
    <m/>
    <m/>
    <m/>
    <m/>
    <m/>
    <m/>
    <m/>
    <m/>
    <n v="0"/>
    <n v="1"/>
    <n v="25"/>
    <n v="0"/>
    <m/>
    <x v="0"/>
  </r>
  <r>
    <x v="7"/>
    <x v="2"/>
    <m/>
    <m/>
    <n v="12340"/>
    <n v="747"/>
    <m/>
    <n v="4"/>
    <m/>
    <m/>
    <n v="5"/>
    <m/>
    <m/>
    <m/>
    <m/>
    <m/>
    <n v="21"/>
    <n v="5"/>
    <n v="5"/>
    <n v="10"/>
    <n v="5"/>
    <n v="714"/>
    <n v="70"/>
    <n v="84"/>
    <n v="96"/>
    <n v="894"/>
    <m/>
    <n v="1"/>
    <m/>
    <m/>
    <m/>
    <m/>
    <n v="770"/>
    <m/>
    <m/>
    <m/>
    <m/>
    <m/>
    <m/>
    <m/>
    <m/>
    <m/>
    <m/>
    <m/>
    <m/>
    <m/>
    <m/>
    <m/>
    <n v="504"/>
    <n v="2"/>
    <n v="2"/>
    <m/>
    <m/>
    <x v="0"/>
  </r>
  <r>
    <x v="7"/>
    <x v="3"/>
    <m/>
    <n v="68"/>
    <n v="3939"/>
    <n v="163"/>
    <m/>
    <n v="4"/>
    <m/>
    <m/>
    <n v="2"/>
    <m/>
    <m/>
    <m/>
    <m/>
    <m/>
    <n v="4"/>
    <n v="5"/>
    <n v="2"/>
    <n v="9"/>
    <n v="3"/>
    <n v="50"/>
    <n v="51"/>
    <n v="11"/>
    <n v="91"/>
    <n v="3"/>
    <m/>
    <n v="0"/>
    <m/>
    <m/>
    <m/>
    <m/>
    <n v="0"/>
    <m/>
    <m/>
    <m/>
    <m/>
    <m/>
    <m/>
    <m/>
    <m/>
    <m/>
    <m/>
    <m/>
    <m/>
    <m/>
    <m/>
    <m/>
    <n v="411"/>
    <n v="1"/>
    <n v="9"/>
    <n v="1"/>
    <m/>
    <x v="0"/>
  </r>
  <r>
    <x v="7"/>
    <x v="4"/>
    <m/>
    <n v="64"/>
    <n v="3958"/>
    <n v="451"/>
    <m/>
    <n v="2"/>
    <m/>
    <m/>
    <n v="0"/>
    <m/>
    <m/>
    <m/>
    <m/>
    <m/>
    <n v="10"/>
    <n v="3"/>
    <n v="7"/>
    <n v="9"/>
    <n v="1"/>
    <n v="135"/>
    <n v="72"/>
    <n v="7"/>
    <n v="69"/>
    <n v="112"/>
    <m/>
    <m/>
    <m/>
    <m/>
    <m/>
    <m/>
    <m/>
    <m/>
    <m/>
    <m/>
    <m/>
    <m/>
    <m/>
    <m/>
    <m/>
    <m/>
    <m/>
    <m/>
    <m/>
    <m/>
    <m/>
    <m/>
    <n v="0"/>
    <n v="3"/>
    <n v="9"/>
    <n v="0"/>
    <m/>
    <x v="0"/>
  </r>
  <r>
    <x v="7"/>
    <x v="5"/>
    <m/>
    <m/>
    <n v="571"/>
    <m/>
    <m/>
    <m/>
    <m/>
    <m/>
    <m/>
    <m/>
    <m/>
    <m/>
    <m/>
    <m/>
    <n v="1"/>
    <m/>
    <m/>
    <m/>
    <m/>
    <n v="8"/>
    <m/>
    <m/>
    <m/>
    <m/>
    <m/>
    <m/>
    <m/>
    <m/>
    <m/>
    <m/>
    <m/>
    <m/>
    <m/>
    <m/>
    <m/>
    <m/>
    <m/>
    <m/>
    <m/>
    <m/>
    <m/>
    <m/>
    <m/>
    <m/>
    <m/>
    <m/>
    <n v="133"/>
    <m/>
    <m/>
    <m/>
    <m/>
    <x v="0"/>
  </r>
  <r>
    <x v="7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7"/>
    <x v="6"/>
    <m/>
    <m/>
    <m/>
    <m/>
    <m/>
    <m/>
    <m/>
    <m/>
    <m/>
    <n v="4"/>
    <n v="1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7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7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7"/>
    <x v="6"/>
    <m/>
    <m/>
    <m/>
    <m/>
    <n v="0"/>
    <m/>
    <n v="89643"/>
    <n v="346"/>
    <m/>
    <m/>
    <m/>
    <m/>
    <m/>
    <n v="65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7"/>
    <x v="6"/>
    <m/>
    <n v="8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8"/>
    <x v="0"/>
    <m/>
    <m/>
    <n v="12852"/>
    <m/>
    <m/>
    <n v="6"/>
    <m/>
    <m/>
    <n v="20"/>
    <m/>
    <m/>
    <m/>
    <m/>
    <m/>
    <n v="23"/>
    <n v="5"/>
    <n v="8"/>
    <n v="18"/>
    <n v="4"/>
    <n v="900"/>
    <n v="132"/>
    <n v="1719"/>
    <n v="162"/>
    <n v="70"/>
    <m/>
    <n v="3"/>
    <m/>
    <m/>
    <m/>
    <m/>
    <n v="1645"/>
    <m/>
    <m/>
    <m/>
    <m/>
    <m/>
    <m/>
    <m/>
    <m/>
    <m/>
    <m/>
    <m/>
    <m/>
    <m/>
    <m/>
    <m/>
    <n v="140"/>
    <n v="17"/>
    <n v="76.25"/>
    <n v="8"/>
    <m/>
    <x v="0"/>
  </r>
  <r>
    <x v="8"/>
    <x v="1"/>
    <m/>
    <m/>
    <n v="2039"/>
    <n v="180"/>
    <m/>
    <m/>
    <m/>
    <m/>
    <m/>
    <m/>
    <m/>
    <m/>
    <m/>
    <m/>
    <n v="7"/>
    <n v="3"/>
    <n v="2"/>
    <n v="6"/>
    <n v="2"/>
    <n v="104"/>
    <n v="19"/>
    <n v="14"/>
    <n v="50"/>
    <n v="69"/>
    <m/>
    <m/>
    <m/>
    <m/>
    <m/>
    <m/>
    <m/>
    <m/>
    <m/>
    <m/>
    <m/>
    <m/>
    <m/>
    <m/>
    <m/>
    <m/>
    <m/>
    <m/>
    <m/>
    <m/>
    <m/>
    <m/>
    <n v="85"/>
    <n v="21"/>
    <n v="22"/>
    <m/>
    <m/>
    <x v="0"/>
  </r>
  <r>
    <x v="8"/>
    <x v="2"/>
    <m/>
    <m/>
    <n v="8773"/>
    <n v="515"/>
    <m/>
    <n v="4"/>
    <m/>
    <m/>
    <n v="5"/>
    <m/>
    <m/>
    <m/>
    <m/>
    <m/>
    <n v="25"/>
    <n v="6"/>
    <n v="6"/>
    <n v="11"/>
    <n v="3"/>
    <n v="609"/>
    <n v="82"/>
    <n v="52"/>
    <n v="88"/>
    <n v="112"/>
    <m/>
    <m/>
    <m/>
    <m/>
    <m/>
    <m/>
    <m/>
    <m/>
    <m/>
    <m/>
    <m/>
    <m/>
    <m/>
    <m/>
    <m/>
    <m/>
    <m/>
    <m/>
    <m/>
    <m/>
    <m/>
    <m/>
    <n v="388"/>
    <m/>
    <m/>
    <m/>
    <m/>
    <x v="0"/>
  </r>
  <r>
    <x v="8"/>
    <x v="3"/>
    <m/>
    <n v="41"/>
    <n v="2877"/>
    <n v="149"/>
    <m/>
    <n v="7"/>
    <m/>
    <m/>
    <n v="2"/>
    <m/>
    <m/>
    <m/>
    <m/>
    <m/>
    <n v="7"/>
    <n v="5"/>
    <n v="2"/>
    <n v="8"/>
    <n v="1"/>
    <n v="122"/>
    <n v="44"/>
    <n v="5"/>
    <n v="60"/>
    <n v="8"/>
    <m/>
    <n v="0"/>
    <m/>
    <m/>
    <m/>
    <m/>
    <n v="0"/>
    <m/>
    <m/>
    <m/>
    <m/>
    <m/>
    <m/>
    <m/>
    <m/>
    <m/>
    <m/>
    <m/>
    <m/>
    <m/>
    <m/>
    <m/>
    <n v="349"/>
    <n v="14"/>
    <n v="85"/>
    <n v="4"/>
    <m/>
    <x v="0"/>
  </r>
  <r>
    <x v="8"/>
    <x v="4"/>
    <m/>
    <m/>
    <n v="3025"/>
    <n v="327"/>
    <m/>
    <n v="3"/>
    <m/>
    <m/>
    <n v="0"/>
    <m/>
    <m/>
    <m/>
    <m/>
    <m/>
    <n v="10"/>
    <n v="2"/>
    <n v="1"/>
    <n v="8"/>
    <m/>
    <n v="104"/>
    <n v="27"/>
    <n v="5"/>
    <n v="162"/>
    <m/>
    <m/>
    <n v="1"/>
    <m/>
    <m/>
    <m/>
    <m/>
    <n v="150"/>
    <m/>
    <m/>
    <m/>
    <m/>
    <m/>
    <m/>
    <m/>
    <m/>
    <m/>
    <m/>
    <m/>
    <m/>
    <m/>
    <m/>
    <m/>
    <n v="0"/>
    <n v="5"/>
    <n v="75"/>
    <n v="1"/>
    <m/>
    <x v="0"/>
  </r>
  <r>
    <x v="8"/>
    <x v="5"/>
    <m/>
    <m/>
    <n v="830"/>
    <m/>
    <m/>
    <m/>
    <m/>
    <m/>
    <m/>
    <m/>
    <m/>
    <m/>
    <m/>
    <m/>
    <n v="4"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x v="0"/>
  </r>
  <r>
    <x v="8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8"/>
    <x v="6"/>
    <m/>
    <m/>
    <m/>
    <m/>
    <m/>
    <m/>
    <m/>
    <m/>
    <m/>
    <n v="4"/>
    <n v="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8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8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8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8"/>
    <x v="6"/>
    <m/>
    <m/>
    <m/>
    <m/>
    <n v="0"/>
    <m/>
    <n v="67938"/>
    <n v="270"/>
    <m/>
    <m/>
    <m/>
    <m/>
    <m/>
    <n v="38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8"/>
    <x v="6"/>
    <m/>
    <n v="3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9"/>
    <x v="5"/>
    <m/>
    <m/>
    <n v="815"/>
    <m/>
    <m/>
    <m/>
    <m/>
    <m/>
    <m/>
    <m/>
    <m/>
    <m/>
    <m/>
    <m/>
    <n v="4"/>
    <m/>
    <m/>
    <m/>
    <m/>
    <n v="58"/>
    <m/>
    <m/>
    <m/>
    <m/>
    <m/>
    <m/>
    <m/>
    <m/>
    <m/>
    <m/>
    <m/>
    <m/>
    <m/>
    <m/>
    <m/>
    <m/>
    <m/>
    <m/>
    <m/>
    <m/>
    <m/>
    <m/>
    <m/>
    <m/>
    <m/>
    <m/>
    <n v="445"/>
    <m/>
    <m/>
    <n v="7"/>
    <m/>
    <x v="0"/>
  </r>
  <r>
    <x v="9"/>
    <x v="0"/>
    <m/>
    <m/>
    <n v="15812"/>
    <n v="1930"/>
    <m/>
    <n v="3"/>
    <m/>
    <m/>
    <n v="31"/>
    <m/>
    <m/>
    <m/>
    <m/>
    <m/>
    <n v="25"/>
    <n v="9"/>
    <n v="11"/>
    <n v="20"/>
    <n v="7"/>
    <n v="959"/>
    <n v="221"/>
    <n v="137"/>
    <n v="161"/>
    <n v="178"/>
    <m/>
    <n v="5"/>
    <m/>
    <m/>
    <m/>
    <m/>
    <n v="221"/>
    <m/>
    <m/>
    <m/>
    <m/>
    <m/>
    <m/>
    <m/>
    <m/>
    <m/>
    <m/>
    <m/>
    <m/>
    <m/>
    <m/>
    <m/>
    <n v="180"/>
    <n v="14"/>
    <n v="47.75"/>
    <n v="13"/>
    <m/>
    <x v="0"/>
  </r>
  <r>
    <x v="9"/>
    <x v="1"/>
    <m/>
    <n v="35"/>
    <n v="2983"/>
    <n v="288"/>
    <m/>
    <m/>
    <m/>
    <m/>
    <m/>
    <m/>
    <m/>
    <m/>
    <m/>
    <m/>
    <n v="12"/>
    <n v="2"/>
    <n v="2"/>
    <n v="7"/>
    <n v="3"/>
    <n v="140"/>
    <n v="16"/>
    <n v="11"/>
    <n v="60"/>
    <n v="251"/>
    <m/>
    <m/>
    <m/>
    <m/>
    <m/>
    <m/>
    <m/>
    <m/>
    <m/>
    <m/>
    <m/>
    <m/>
    <m/>
    <m/>
    <m/>
    <m/>
    <m/>
    <m/>
    <m/>
    <m/>
    <m/>
    <m/>
    <n v="86"/>
    <n v="30"/>
    <n v="76"/>
    <m/>
    <m/>
    <x v="0"/>
  </r>
  <r>
    <x v="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9"/>
    <x v="2"/>
    <m/>
    <m/>
    <n v="11091"/>
    <n v="729"/>
    <m/>
    <m/>
    <m/>
    <m/>
    <n v="5"/>
    <m/>
    <m/>
    <m/>
    <m/>
    <m/>
    <n v="40"/>
    <n v="6"/>
    <n v="8"/>
    <n v="10"/>
    <n v="4"/>
    <n v="806"/>
    <n v="82"/>
    <n v="71"/>
    <n v="100"/>
    <n v="108"/>
    <m/>
    <m/>
    <m/>
    <m/>
    <m/>
    <m/>
    <m/>
    <m/>
    <m/>
    <m/>
    <m/>
    <m/>
    <m/>
    <m/>
    <m/>
    <m/>
    <m/>
    <m/>
    <m/>
    <m/>
    <m/>
    <m/>
    <n v="328"/>
    <m/>
    <m/>
    <m/>
    <m/>
    <x v="0"/>
  </r>
  <r>
    <x v="9"/>
    <x v="3"/>
    <m/>
    <n v="47"/>
    <n v="3989"/>
    <n v="167"/>
    <m/>
    <n v="9"/>
    <m/>
    <m/>
    <n v="2"/>
    <m/>
    <m/>
    <m/>
    <m/>
    <m/>
    <n v="8"/>
    <n v="6"/>
    <n v="3"/>
    <n v="10"/>
    <n v="3"/>
    <n v="178"/>
    <n v="78"/>
    <n v="13"/>
    <n v="83"/>
    <n v="13"/>
    <m/>
    <n v="1"/>
    <m/>
    <m/>
    <m/>
    <m/>
    <n v="24"/>
    <m/>
    <m/>
    <m/>
    <m/>
    <m/>
    <m/>
    <m/>
    <m/>
    <m/>
    <m/>
    <m/>
    <m/>
    <m/>
    <m/>
    <m/>
    <n v="290"/>
    <n v="1"/>
    <n v="6"/>
    <n v="3"/>
    <m/>
    <x v="0"/>
  </r>
  <r>
    <x v="9"/>
    <x v="4"/>
    <m/>
    <m/>
    <n v="4509"/>
    <n v="616"/>
    <m/>
    <n v="1"/>
    <m/>
    <m/>
    <n v="0"/>
    <m/>
    <m/>
    <m/>
    <m/>
    <m/>
    <n v="11"/>
    <n v="4"/>
    <n v="2"/>
    <n v="9"/>
    <m/>
    <n v="152"/>
    <n v="116"/>
    <n v="11"/>
    <n v="77"/>
    <m/>
    <m/>
    <m/>
    <m/>
    <m/>
    <m/>
    <m/>
    <m/>
    <m/>
    <m/>
    <m/>
    <m/>
    <m/>
    <m/>
    <m/>
    <m/>
    <m/>
    <m/>
    <m/>
    <m/>
    <m/>
    <m/>
    <m/>
    <n v="46"/>
    <n v="6"/>
    <n v="12"/>
    <n v="2"/>
    <m/>
    <x v="0"/>
  </r>
  <r>
    <x v="9"/>
    <x v="5"/>
    <m/>
    <m/>
    <n v="944"/>
    <m/>
    <m/>
    <m/>
    <m/>
    <m/>
    <m/>
    <m/>
    <m/>
    <m/>
    <m/>
    <m/>
    <m/>
    <m/>
    <m/>
    <m/>
    <n v="2"/>
    <m/>
    <m/>
    <m/>
    <m/>
    <n v="45"/>
    <m/>
    <m/>
    <m/>
    <m/>
    <m/>
    <m/>
    <m/>
    <m/>
    <m/>
    <m/>
    <m/>
    <m/>
    <m/>
    <m/>
    <m/>
    <m/>
    <m/>
    <m/>
    <m/>
    <m/>
    <m/>
    <m/>
    <n v="426"/>
    <m/>
    <m/>
    <n v="5"/>
    <m/>
    <x v="0"/>
  </r>
  <r>
    <x v="9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9"/>
    <x v="6"/>
    <m/>
    <m/>
    <m/>
    <m/>
    <m/>
    <m/>
    <m/>
    <m/>
    <m/>
    <n v="4"/>
    <n v="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9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9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9"/>
    <x v="6"/>
    <m/>
    <m/>
    <m/>
    <m/>
    <n v="0"/>
    <m/>
    <n v="85295"/>
    <n v="364"/>
    <m/>
    <m/>
    <m/>
    <m/>
    <m/>
    <n v="4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9"/>
    <x v="6"/>
    <m/>
    <n v="5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10"/>
    <x v="0"/>
    <m/>
    <n v="202"/>
    <n v="14352"/>
    <m/>
    <m/>
    <n v="2"/>
    <m/>
    <m/>
    <n v="26"/>
    <m/>
    <m/>
    <m/>
    <m/>
    <m/>
    <n v="27"/>
    <n v="7"/>
    <n v="11"/>
    <n v="21"/>
    <n v="7"/>
    <n v="1083"/>
    <n v="1357"/>
    <n v="123"/>
    <n v="184"/>
    <n v="813"/>
    <m/>
    <n v="8"/>
    <m/>
    <m/>
    <m/>
    <m/>
    <n v="2010"/>
    <m/>
    <m/>
    <m/>
    <m/>
    <m/>
    <m/>
    <m/>
    <m/>
    <m/>
    <m/>
    <m/>
    <m/>
    <m/>
    <m/>
    <m/>
    <n v="75"/>
    <n v="10"/>
    <n v="28"/>
    <n v="3"/>
    <m/>
    <x v="0"/>
  </r>
  <r>
    <x v="10"/>
    <x v="1"/>
    <m/>
    <n v="34"/>
    <n v="2576"/>
    <n v="265"/>
    <m/>
    <n v="1"/>
    <m/>
    <m/>
    <m/>
    <m/>
    <m/>
    <m/>
    <m/>
    <m/>
    <n v="9"/>
    <n v="2"/>
    <n v="2"/>
    <n v="6"/>
    <n v="2"/>
    <n v="118"/>
    <n v="28"/>
    <n v="8"/>
    <n v="48"/>
    <n v="65"/>
    <m/>
    <m/>
    <m/>
    <m/>
    <m/>
    <m/>
    <m/>
    <m/>
    <m/>
    <m/>
    <m/>
    <m/>
    <m/>
    <m/>
    <m/>
    <m/>
    <m/>
    <m/>
    <m/>
    <m/>
    <m/>
    <m/>
    <n v="115"/>
    <n v="4"/>
    <n v="9.5"/>
    <m/>
    <m/>
    <x v="0"/>
  </r>
  <r>
    <x v="10"/>
    <x v="2"/>
    <m/>
    <n v="208"/>
    <n v="10362"/>
    <n v="672"/>
    <m/>
    <n v="2"/>
    <m/>
    <m/>
    <n v="5"/>
    <m/>
    <m/>
    <m/>
    <m/>
    <m/>
    <n v="31"/>
    <n v="5"/>
    <n v="7"/>
    <n v="11"/>
    <n v="1"/>
    <n v="819"/>
    <n v="66"/>
    <n v="85"/>
    <n v="88"/>
    <n v="62"/>
    <m/>
    <m/>
    <m/>
    <m/>
    <m/>
    <m/>
    <m/>
    <m/>
    <m/>
    <m/>
    <m/>
    <m/>
    <m/>
    <m/>
    <m/>
    <m/>
    <m/>
    <m/>
    <m/>
    <m/>
    <m/>
    <m/>
    <n v="407"/>
    <n v="2"/>
    <n v="9"/>
    <m/>
    <m/>
    <x v="0"/>
  </r>
  <r>
    <x v="10"/>
    <x v="3"/>
    <m/>
    <n v="40"/>
    <n v="3476"/>
    <n v="162"/>
    <m/>
    <n v="11"/>
    <m/>
    <m/>
    <n v="0"/>
    <m/>
    <m/>
    <m/>
    <m/>
    <m/>
    <n v="5"/>
    <n v="5"/>
    <n v="1"/>
    <n v="9"/>
    <n v="3"/>
    <n v="82"/>
    <n v="74"/>
    <n v="3"/>
    <n v="59"/>
    <n v="8"/>
    <m/>
    <n v="0"/>
    <m/>
    <m/>
    <m/>
    <m/>
    <n v="0"/>
    <m/>
    <m/>
    <m/>
    <m/>
    <m/>
    <m/>
    <m/>
    <m/>
    <m/>
    <m/>
    <m/>
    <m/>
    <m/>
    <m/>
    <m/>
    <n v="256"/>
    <n v="1"/>
    <n v="16.5"/>
    <n v="5"/>
    <m/>
    <x v="0"/>
  </r>
  <r>
    <x v="10"/>
    <x v="4"/>
    <m/>
    <n v="62"/>
    <n v="3624"/>
    <n v="432"/>
    <m/>
    <n v="3"/>
    <m/>
    <m/>
    <n v="0"/>
    <m/>
    <m/>
    <m/>
    <m/>
    <m/>
    <n v="13"/>
    <n v="3"/>
    <n v="1"/>
    <n v="9"/>
    <m/>
    <n v="201"/>
    <n v="81"/>
    <n v="4"/>
    <n v="78"/>
    <m/>
    <m/>
    <n v="1"/>
    <m/>
    <m/>
    <m/>
    <m/>
    <n v="200"/>
    <m/>
    <m/>
    <m/>
    <m/>
    <m/>
    <m/>
    <m/>
    <m/>
    <m/>
    <m/>
    <m/>
    <m/>
    <m/>
    <m/>
    <m/>
    <n v="26"/>
    <n v="11"/>
    <n v="16"/>
    <n v="4"/>
    <m/>
    <x v="0"/>
  </r>
  <r>
    <x v="10"/>
    <x v="5"/>
    <m/>
    <n v="31"/>
    <n v="8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8"/>
    <n v="3"/>
    <n v="18"/>
    <n v="3"/>
    <m/>
    <x v="0"/>
  </r>
  <r>
    <x v="10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10"/>
    <x v="6"/>
    <m/>
    <m/>
    <m/>
    <m/>
    <m/>
    <m/>
    <m/>
    <m/>
    <m/>
    <n v="5"/>
    <n v="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10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10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10"/>
    <x v="6"/>
    <m/>
    <m/>
    <m/>
    <m/>
    <n v="0"/>
    <m/>
    <n v="77925"/>
    <n v="317"/>
    <m/>
    <m/>
    <m/>
    <m/>
    <m/>
    <n v="42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10"/>
    <x v="6"/>
    <m/>
    <n v="5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11"/>
    <x v="0"/>
    <n v="325"/>
    <m/>
    <n v="17538"/>
    <n v="1922"/>
    <n v="3497"/>
    <n v="3"/>
    <n v="19988"/>
    <n v="0"/>
    <m/>
    <n v="122"/>
    <n v="4"/>
    <n v="2857"/>
    <n v="6142"/>
    <m/>
    <n v="11"/>
    <n v="4"/>
    <n v="18"/>
    <n v="19"/>
    <n v="16"/>
    <n v="456"/>
    <n v="88"/>
    <n v="237"/>
    <n v="164"/>
    <n v="1609"/>
    <m/>
    <m/>
    <m/>
    <m/>
    <m/>
    <m/>
    <m/>
    <m/>
    <m/>
    <m/>
    <m/>
    <m/>
    <m/>
    <m/>
    <m/>
    <m/>
    <m/>
    <m/>
    <m/>
    <m/>
    <m/>
    <m/>
    <m/>
    <n v="15"/>
    <n v="14"/>
    <n v="18"/>
    <m/>
    <x v="0"/>
  </r>
  <r>
    <x v="11"/>
    <x v="1"/>
    <n v="50"/>
    <m/>
    <n v="3142"/>
    <n v="323"/>
    <n v="505"/>
    <n v="1"/>
    <n v="4091"/>
    <n v="50"/>
    <m/>
    <m/>
    <m/>
    <n v="992"/>
    <n v="1832"/>
    <m/>
    <n v="11"/>
    <n v="3"/>
    <n v="2"/>
    <n v="6"/>
    <n v="7"/>
    <n v="175"/>
    <n v="47"/>
    <n v="17"/>
    <n v="46"/>
    <n v="260"/>
    <m/>
    <m/>
    <m/>
    <m/>
    <m/>
    <m/>
    <m/>
    <m/>
    <m/>
    <m/>
    <m/>
    <m/>
    <m/>
    <m/>
    <m/>
    <m/>
    <m/>
    <m/>
    <m/>
    <m/>
    <m/>
    <m/>
    <m/>
    <n v="28"/>
    <n v="31"/>
    <n v="0"/>
    <m/>
    <x v="0"/>
  </r>
  <r>
    <x v="11"/>
    <x v="2"/>
    <n v="329"/>
    <m/>
    <n v="12647"/>
    <n v="913"/>
    <n v="1944"/>
    <n v="0"/>
    <n v="24821"/>
    <n v="26"/>
    <m/>
    <m/>
    <m/>
    <n v="1523"/>
    <n v="6441"/>
    <m/>
    <n v="22"/>
    <n v="4"/>
    <n v="7"/>
    <n v="8"/>
    <n v="17"/>
    <n v="684"/>
    <n v="113"/>
    <n v="71"/>
    <n v="76"/>
    <n v="998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</r>
  <r>
    <x v="11"/>
    <x v="3"/>
    <n v="91"/>
    <m/>
    <n v="4927"/>
    <n v="202"/>
    <n v="665"/>
    <n v="6"/>
    <n v="6628"/>
    <n v="19"/>
    <m/>
    <m/>
    <m/>
    <n v="1337"/>
    <n v="2787"/>
    <m/>
    <n v="6"/>
    <n v="3"/>
    <n v="3"/>
    <n v="9"/>
    <n v="1"/>
    <n v="138"/>
    <n v="32"/>
    <n v="31"/>
    <n v="71"/>
    <n v="72"/>
    <m/>
    <m/>
    <m/>
    <m/>
    <m/>
    <m/>
    <m/>
    <m/>
    <m/>
    <m/>
    <m/>
    <m/>
    <m/>
    <m/>
    <m/>
    <m/>
    <m/>
    <m/>
    <m/>
    <m/>
    <m/>
    <m/>
    <m/>
    <n v="1"/>
    <n v="20"/>
    <n v="5"/>
    <m/>
    <x v="0"/>
  </r>
  <r>
    <x v="11"/>
    <x v="4"/>
    <n v="91"/>
    <m/>
    <n v="4363"/>
    <n v="482"/>
    <n v="877"/>
    <n v="2"/>
    <n v="5114"/>
    <n v="82"/>
    <m/>
    <m/>
    <m/>
    <n v="1349"/>
    <n v="2303"/>
    <m/>
    <n v="11"/>
    <n v="8"/>
    <n v="1"/>
    <n v="6"/>
    <n v="0"/>
    <n v="204"/>
    <n v="452"/>
    <n v="7"/>
    <n v="40"/>
    <n v="0"/>
    <m/>
    <m/>
    <m/>
    <m/>
    <m/>
    <m/>
    <m/>
    <m/>
    <m/>
    <m/>
    <m/>
    <m/>
    <m/>
    <m/>
    <m/>
    <m/>
    <m/>
    <m/>
    <m/>
    <m/>
    <m/>
    <m/>
    <m/>
    <n v="6"/>
    <n v="12"/>
    <n v="3"/>
    <m/>
    <x v="0"/>
  </r>
  <r>
    <x v="11"/>
    <x v="7"/>
    <n v="36"/>
    <m/>
    <n v="756"/>
    <m/>
    <m/>
    <m/>
    <n v="1542"/>
    <m/>
    <m/>
    <m/>
    <m/>
    <n v="19"/>
    <n v="397"/>
    <m/>
    <n v="1"/>
    <n v="0"/>
    <n v="0"/>
    <n v="0"/>
    <n v="0"/>
    <n v="10"/>
    <n v="0"/>
    <n v="0"/>
    <n v="0"/>
    <n v="0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</r>
  <r>
    <x v="0"/>
    <x v="1"/>
    <m/>
    <n v="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x v="0"/>
    <x v="2"/>
    <m/>
    <n v="4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x v="0"/>
    <x v="3"/>
    <m/>
    <n v="1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x v="0"/>
    <x v="0"/>
    <m/>
    <n v="3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x v="0"/>
    <x v="4"/>
    <m/>
    <n v="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x v="0"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x v="0"/>
    <x v="0"/>
    <n v="218"/>
    <m/>
    <n v="15340"/>
    <n v="2034"/>
    <n v="3639"/>
    <n v="4"/>
    <n v="15145"/>
    <n v="139"/>
    <m/>
    <n v="6"/>
    <n v="116"/>
    <n v="2870"/>
    <n v="6318"/>
    <n v="563"/>
    <n v="22"/>
    <n v="6"/>
    <n v="15"/>
    <n v="29"/>
    <n v="6"/>
    <n v="890"/>
    <n v="277"/>
    <n v="162"/>
    <n v="292"/>
    <n v="156"/>
    <m/>
    <m/>
    <m/>
    <m/>
    <m/>
    <m/>
    <m/>
    <m/>
    <m/>
    <m/>
    <m/>
    <m/>
    <m/>
    <m/>
    <m/>
    <m/>
    <m/>
    <m/>
    <m/>
    <m/>
    <m/>
    <m/>
    <n v="12"/>
    <n v="14"/>
    <n v="22"/>
    <n v="8"/>
    <m/>
    <x v="1"/>
  </r>
  <r>
    <x v="0"/>
    <x v="1"/>
    <n v="62"/>
    <m/>
    <n v="2761"/>
    <n v="214"/>
    <n v="557"/>
    <n v="1"/>
    <n v="3132"/>
    <n v="59"/>
    <m/>
    <m/>
    <m/>
    <n v="985"/>
    <n v="2044"/>
    <n v="163"/>
    <n v="8"/>
    <n v="2"/>
    <n v="2"/>
    <n v="1"/>
    <n v="3"/>
    <n v="85"/>
    <n v="21"/>
    <n v="6"/>
    <n v="4"/>
    <n v="30"/>
    <m/>
    <m/>
    <m/>
    <m/>
    <m/>
    <m/>
    <m/>
    <m/>
    <m/>
    <m/>
    <m/>
    <m/>
    <m/>
    <m/>
    <m/>
    <m/>
    <m/>
    <m/>
    <m/>
    <m/>
    <m/>
    <m/>
    <n v="1"/>
    <n v="4"/>
    <n v="25"/>
    <n v="0"/>
    <m/>
    <x v="1"/>
  </r>
  <r>
    <x v="0"/>
    <x v="2"/>
    <n v="203"/>
    <m/>
    <n v="11742"/>
    <n v="781"/>
    <n v="1868"/>
    <n v="6"/>
    <n v="19642"/>
    <n v="28"/>
    <m/>
    <m/>
    <m/>
    <n v="1762"/>
    <n v="6719"/>
    <n v="380"/>
    <n v="21"/>
    <n v="9"/>
    <n v="7"/>
    <n v="11"/>
    <n v="6"/>
    <n v="754"/>
    <n v="778"/>
    <n v="65"/>
    <n v="94"/>
    <n v="265"/>
    <m/>
    <m/>
    <m/>
    <m/>
    <m/>
    <m/>
    <m/>
    <m/>
    <m/>
    <m/>
    <m/>
    <m/>
    <m/>
    <m/>
    <m/>
    <m/>
    <m/>
    <m/>
    <m/>
    <m/>
    <m/>
    <m/>
    <n v="5"/>
    <n v="4"/>
    <n v="20"/>
    <n v="0"/>
    <m/>
    <x v="1"/>
  </r>
  <r>
    <x v="0"/>
    <x v="3"/>
    <n v="64"/>
    <m/>
    <n v="3868"/>
    <n v="188"/>
    <n v="857"/>
    <n v="10"/>
    <n v="4663"/>
    <n v="15"/>
    <m/>
    <m/>
    <m/>
    <n v="1418"/>
    <n v="2758"/>
    <n v="107"/>
    <n v="4"/>
    <n v="4"/>
    <n v="2"/>
    <n v="12"/>
    <n v="2"/>
    <n v="40"/>
    <n v="20"/>
    <n v="9"/>
    <n v="100"/>
    <n v="11"/>
    <m/>
    <m/>
    <m/>
    <m/>
    <m/>
    <m/>
    <m/>
    <m/>
    <m/>
    <m/>
    <m/>
    <m/>
    <m/>
    <m/>
    <m/>
    <m/>
    <m/>
    <m/>
    <m/>
    <m/>
    <m/>
    <m/>
    <n v="9"/>
    <n v="1"/>
    <n v="25"/>
    <n v="5"/>
    <m/>
    <x v="1"/>
  </r>
  <r>
    <x v="0"/>
    <x v="4"/>
    <n v="82"/>
    <m/>
    <n v="3598"/>
    <n v="377"/>
    <n v="932"/>
    <n v="2"/>
    <n v="3804"/>
    <n v="112"/>
    <m/>
    <m/>
    <m/>
    <n v="1341"/>
    <n v="2373"/>
    <n v="184"/>
    <n v="12"/>
    <n v="3"/>
    <n v="1"/>
    <n v="7"/>
    <n v="0"/>
    <n v="206"/>
    <n v="66"/>
    <n v="4"/>
    <n v="61"/>
    <n v="0"/>
    <m/>
    <m/>
    <m/>
    <m/>
    <m/>
    <m/>
    <m/>
    <m/>
    <m/>
    <m/>
    <m/>
    <m/>
    <m/>
    <m/>
    <m/>
    <m/>
    <m/>
    <m/>
    <m/>
    <m/>
    <m/>
    <m/>
    <n v="2"/>
    <n v="4"/>
    <n v="28"/>
    <n v="0"/>
    <m/>
    <x v="1"/>
  </r>
  <r>
    <x v="0"/>
    <x v="7"/>
    <n v="43"/>
    <m/>
    <n v="905"/>
    <m/>
    <m/>
    <m/>
    <n v="1647"/>
    <n v="4"/>
    <m/>
    <m/>
    <m/>
    <n v="15"/>
    <n v="404"/>
    <m/>
    <n v="1"/>
    <n v="0"/>
    <n v="0"/>
    <n v="2"/>
    <n v="0"/>
    <n v="25"/>
    <n v="0"/>
    <n v="0"/>
    <n v="16"/>
    <n v="0"/>
    <m/>
    <m/>
    <m/>
    <m/>
    <m/>
    <m/>
    <m/>
    <m/>
    <m/>
    <m/>
    <m/>
    <m/>
    <m/>
    <m/>
    <m/>
    <m/>
    <m/>
    <m/>
    <m/>
    <m/>
    <m/>
    <m/>
    <n v="21"/>
    <n v="2"/>
    <n v="8"/>
    <n v="0"/>
    <m/>
    <x v="1"/>
  </r>
  <r>
    <x v="1"/>
    <x v="7"/>
    <n v="19"/>
    <n v="20"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n v="20"/>
    <m/>
    <m/>
    <m/>
    <m/>
    <m/>
    <m/>
    <m/>
    <m/>
    <m/>
    <m/>
    <m/>
    <n v="3"/>
    <n v="184"/>
    <n v="170"/>
    <n v="7"/>
    <n v="62"/>
    <n v="1"/>
    <m/>
    <x v="1"/>
  </r>
  <r>
    <x v="1"/>
    <x v="4"/>
    <n v="60"/>
    <n v="118"/>
    <n v="3914"/>
    <n v="505"/>
    <n v="781"/>
    <n v="2"/>
    <n v="5939"/>
    <n v="92"/>
    <n v="0"/>
    <m/>
    <m/>
    <m/>
    <m/>
    <n v="1090"/>
    <m/>
    <m/>
    <m/>
    <n v="3"/>
    <m/>
    <m/>
    <m/>
    <m/>
    <n v="25"/>
    <m/>
    <m/>
    <m/>
    <m/>
    <m/>
    <m/>
    <m/>
    <m/>
    <m/>
    <m/>
    <m/>
    <m/>
    <m/>
    <m/>
    <m/>
    <m/>
    <m/>
    <m/>
    <m/>
    <m/>
    <m/>
    <n v="1"/>
    <n v="150"/>
    <n v="175"/>
    <n v="10"/>
    <n v="80"/>
    <n v="0"/>
    <m/>
    <x v="1"/>
  </r>
  <r>
    <x v="1"/>
    <x v="3"/>
    <n v="72"/>
    <n v="15"/>
    <n v="3764"/>
    <n v="167"/>
    <n v="524"/>
    <n v="12"/>
    <n v="5908"/>
    <n v="14"/>
    <n v="3"/>
    <m/>
    <m/>
    <m/>
    <m/>
    <n v="491"/>
    <n v="0"/>
    <n v="0"/>
    <n v="0"/>
    <n v="7"/>
    <n v="2"/>
    <n v="0"/>
    <n v="0"/>
    <n v="0"/>
    <n v="5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7"/>
    <n v="10"/>
    <n v="88.5"/>
    <n v="6"/>
    <m/>
    <x v="1"/>
  </r>
  <r>
    <x v="1"/>
    <x v="1"/>
    <n v="38"/>
    <n v="4"/>
    <n v="2694"/>
    <n v="223"/>
    <n v="419"/>
    <n v="2"/>
    <n v="5121"/>
    <n v="66"/>
    <n v="0"/>
    <m/>
    <m/>
    <m/>
    <m/>
    <n v="1146"/>
    <n v="0"/>
    <n v="1"/>
    <n v="3"/>
    <n v="3"/>
    <n v="0"/>
    <n v="0"/>
    <n v="11"/>
    <n v="17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"/>
    <n v="6"/>
    <n v="36.5"/>
    <n v="0"/>
    <m/>
    <x v="1"/>
  </r>
  <r>
    <x v="1"/>
    <x v="2"/>
    <n v="213"/>
    <n v="43"/>
    <n v="10805"/>
    <n v="709"/>
    <n v="1621"/>
    <n v="3"/>
    <n v="19906"/>
    <n v="33"/>
    <n v="6"/>
    <m/>
    <m/>
    <m/>
    <m/>
    <n v="1958"/>
    <m/>
    <m/>
    <n v="1"/>
    <n v="17"/>
    <n v="1"/>
    <m/>
    <m/>
    <n v="30"/>
    <n v="114"/>
    <n v="80"/>
    <m/>
    <m/>
    <m/>
    <m/>
    <m/>
    <m/>
    <m/>
    <m/>
    <m/>
    <m/>
    <m/>
    <m/>
    <m/>
    <m/>
    <m/>
    <m/>
    <m/>
    <m/>
    <m/>
    <m/>
    <m/>
    <m/>
    <n v="988"/>
    <n v="17"/>
    <n v="104"/>
    <m/>
    <m/>
    <x v="1"/>
  </r>
  <r>
    <x v="1"/>
    <x v="0"/>
    <n v="199"/>
    <n v="57"/>
    <n v="15257"/>
    <n v="199"/>
    <n v="3482"/>
    <n v="13"/>
    <n v="171619"/>
    <n v="123"/>
    <n v="42"/>
    <n v="5"/>
    <n v="139"/>
    <n v="9611"/>
    <n v="23150"/>
    <n v="1714"/>
    <n v="0"/>
    <n v="0"/>
    <n v="5"/>
    <n v="20"/>
    <n v="0"/>
    <n v="0"/>
    <n v="0"/>
    <n v="43"/>
    <n v="175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5"/>
    <n v="35"/>
    <n v="0"/>
    <n v="0"/>
    <n v="0"/>
    <n v="385"/>
    <n v="39"/>
    <n v="221"/>
    <n v="4"/>
    <m/>
    <x v="1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31544"/>
    <n v="161"/>
    <n v="178"/>
    <n v="84"/>
    <n v="101"/>
    <n v="104"/>
    <n v="4452"/>
    <n v="12501"/>
    <n v="24"/>
    <n v="13"/>
    <n v="0"/>
    <n v="21"/>
    <n v="0"/>
    <n v="6"/>
    <n v="1230"/>
    <n v="1439"/>
    <n v="57.5"/>
    <n v="787"/>
    <n v="56"/>
    <n v="1731"/>
    <n v="9918"/>
    <n v="9089"/>
    <n v="2078"/>
    <m/>
    <m/>
    <x v="0"/>
  </r>
  <r>
    <x v="1"/>
    <m/>
    <m/>
    <m/>
    <m/>
    <m/>
    <m/>
    <m/>
    <m/>
    <m/>
    <m/>
    <m/>
    <m/>
    <m/>
    <m/>
    <m/>
    <m/>
    <m/>
    <m/>
    <m/>
    <m/>
    <m/>
    <n v="9134"/>
    <n v="2121"/>
    <m/>
    <m/>
    <x v="0"/>
  </r>
  <r>
    <x v="1"/>
    <n v="29744"/>
    <n v="112"/>
    <n v="954"/>
    <n v="45"/>
    <n v="191"/>
    <n v="96"/>
    <n v="641"/>
    <n v="7589"/>
    <n v="5"/>
    <m/>
    <m/>
    <m/>
    <m/>
    <m/>
    <n v="1230"/>
    <n v="2880"/>
    <n v="92.8"/>
    <n v="795"/>
    <n v="54"/>
    <n v="2119"/>
    <n v="10556"/>
    <m/>
    <m/>
    <n v="0"/>
    <n v="68"/>
    <x v="0"/>
  </r>
  <r>
    <x v="1"/>
    <n v="30051"/>
    <n v="102"/>
    <n v="1017"/>
    <n v="227"/>
    <m/>
    <n v="16"/>
    <m/>
    <m/>
    <m/>
    <n v="20"/>
    <n v="0"/>
    <n v="11"/>
    <n v="9"/>
    <m/>
    <n v="1160"/>
    <n v="5067"/>
    <n v="151.30000000000001"/>
    <m/>
    <n v="32"/>
    <m/>
    <m/>
    <n v="8090"/>
    <n v="1845"/>
    <m/>
    <m/>
    <x v="1"/>
  </r>
  <r>
    <x v="0"/>
    <n v="44243"/>
    <n v="120"/>
    <n v="666"/>
    <n v="114"/>
    <m/>
    <n v="74"/>
    <m/>
    <m/>
    <m/>
    <n v="24"/>
    <n v="1"/>
    <n v="114"/>
    <m/>
    <m/>
    <n v="1160"/>
    <n v="5143"/>
    <n v="141.9"/>
    <m/>
    <n v="38"/>
    <m/>
    <m/>
    <n v="8027"/>
    <n v="1830"/>
    <m/>
    <m/>
    <x v="1"/>
  </r>
  <r>
    <x v="2"/>
    <n v="31022"/>
    <n v="87"/>
    <n v="279"/>
    <n v="158"/>
    <m/>
    <n v="64"/>
    <m/>
    <m/>
    <m/>
    <n v="13"/>
    <n v="1"/>
    <n v="85"/>
    <n v="5"/>
    <m/>
    <n v="1170"/>
    <n v="2533"/>
    <n v="89.4"/>
    <m/>
    <n v="133"/>
    <m/>
    <m/>
    <n v="8241"/>
    <n v="1900"/>
    <m/>
    <m/>
    <x v="1"/>
  </r>
  <r>
    <x v="3"/>
    <n v="28904"/>
    <n v="90"/>
    <n v="2733"/>
    <n v="107"/>
    <m/>
    <n v="30"/>
    <m/>
    <m/>
    <m/>
    <n v="21"/>
    <n v="5"/>
    <n v="115"/>
    <n v="2"/>
    <m/>
    <n v="1170"/>
    <n v="4156"/>
    <n v="121.7"/>
    <m/>
    <n v="38"/>
    <m/>
    <m/>
    <n v="8147"/>
    <n v="1877"/>
    <m/>
    <m/>
    <x v="1"/>
  </r>
  <r>
    <x v="4"/>
    <n v="23974"/>
    <n v="74"/>
    <n v="93"/>
    <n v="106"/>
    <m/>
    <n v="41"/>
    <m/>
    <m/>
    <m/>
    <n v="9"/>
    <n v="0"/>
    <n v="26"/>
    <n v="59"/>
    <m/>
    <n v="1170"/>
    <n v="2360"/>
    <n v="201.6"/>
    <m/>
    <n v="50"/>
    <m/>
    <m/>
    <n v="8279"/>
    <n v="1903"/>
    <m/>
    <m/>
    <x v="1"/>
  </r>
  <r>
    <x v="5"/>
    <n v="23158"/>
    <n v="110"/>
    <n v="96"/>
    <n v="147"/>
    <m/>
    <n v="69"/>
    <m/>
    <m/>
    <m/>
    <n v="13"/>
    <n v="0"/>
    <n v="23"/>
    <n v="6"/>
    <m/>
    <n v="1180"/>
    <n v="1620"/>
    <n v="85.3"/>
    <m/>
    <n v="36"/>
    <m/>
    <m/>
    <n v="8354"/>
    <n v="1913"/>
    <m/>
    <m/>
    <x v="1"/>
  </r>
  <r>
    <x v="6"/>
    <n v="30550"/>
    <n v="151"/>
    <n v="97"/>
    <n v="231"/>
    <m/>
    <n v="85"/>
    <m/>
    <m/>
    <m/>
    <n v="6"/>
    <n v="1"/>
    <n v="15"/>
    <n v="4"/>
    <m/>
    <n v="1190"/>
    <n v="2148"/>
    <n v="90.4"/>
    <m/>
    <m/>
    <m/>
    <m/>
    <n v="8448"/>
    <n v="1921"/>
    <m/>
    <m/>
    <x v="1"/>
  </r>
  <r>
    <x v="7"/>
    <n v="25532"/>
    <n v="112"/>
    <n v="108"/>
    <n v="119"/>
    <m/>
    <n v="51"/>
    <m/>
    <m/>
    <m/>
    <n v="10"/>
    <n v="1"/>
    <m/>
    <m/>
    <m/>
    <n v="1190"/>
    <n v="2939"/>
    <n v="114.8"/>
    <m/>
    <n v="37"/>
    <m/>
    <m/>
    <n v="8533"/>
    <n v="1944"/>
    <m/>
    <m/>
    <x v="1"/>
  </r>
  <r>
    <x v="8"/>
    <n v="26431"/>
    <n v="193"/>
    <n v="119"/>
    <n v="151"/>
    <m/>
    <n v="131"/>
    <m/>
    <m/>
    <m/>
    <n v="9"/>
    <n v="0"/>
    <n v="3"/>
    <n v="0"/>
    <m/>
    <n v="1200"/>
    <n v="3525"/>
    <n v="140.1"/>
    <m/>
    <n v="53"/>
    <m/>
    <m/>
    <n v="8619"/>
    <n v="1972"/>
    <m/>
    <m/>
    <x v="1"/>
  </r>
  <r>
    <x v="9"/>
    <n v="25974"/>
    <n v="120"/>
    <n v="85"/>
    <n v="131"/>
    <m/>
    <n v="82"/>
    <m/>
    <m/>
    <m/>
    <n v="21"/>
    <n v="0"/>
    <n v="59"/>
    <n v="4"/>
    <m/>
    <n v="1210"/>
    <n v="2435"/>
    <n v="87.8"/>
    <m/>
    <m/>
    <m/>
    <m/>
    <n v="8703"/>
    <n v="1990"/>
    <m/>
    <m/>
    <x v="1"/>
  </r>
  <r>
    <x v="9"/>
    <m/>
    <m/>
    <m/>
    <m/>
    <m/>
    <m/>
    <m/>
    <m/>
    <m/>
    <n v="21"/>
    <n v="0"/>
    <n v="59"/>
    <n v="4"/>
    <m/>
    <m/>
    <m/>
    <m/>
    <m/>
    <m/>
    <m/>
    <m/>
    <m/>
    <m/>
    <m/>
    <m/>
    <x v="1"/>
  </r>
  <r>
    <x v="10"/>
    <m/>
    <m/>
    <m/>
    <m/>
    <m/>
    <m/>
    <m/>
    <m/>
    <m/>
    <m/>
    <m/>
    <m/>
    <m/>
    <m/>
    <m/>
    <m/>
    <m/>
    <m/>
    <m/>
    <m/>
    <m/>
    <n v="8875"/>
    <n v="2031"/>
    <m/>
    <m/>
    <x v="1"/>
  </r>
  <r>
    <x v="10"/>
    <m/>
    <m/>
    <m/>
    <m/>
    <m/>
    <m/>
    <m/>
    <m/>
    <m/>
    <m/>
    <m/>
    <m/>
    <m/>
    <m/>
    <m/>
    <m/>
    <m/>
    <m/>
    <m/>
    <m/>
    <m/>
    <m/>
    <m/>
    <m/>
    <m/>
    <x v="1"/>
  </r>
  <r>
    <x v="10"/>
    <n v="30295"/>
    <n v="88"/>
    <n v="117"/>
    <n v="197"/>
    <m/>
    <n v="64"/>
    <m/>
    <m/>
    <m/>
    <n v="11"/>
    <n v="0"/>
    <n v="43"/>
    <n v="8"/>
    <m/>
    <n v="1220"/>
    <n v="2540"/>
    <n v="93.9"/>
    <m/>
    <n v="34"/>
    <m/>
    <m/>
    <m/>
    <m/>
    <m/>
    <m/>
    <x v="1"/>
  </r>
  <r>
    <x v="10"/>
    <m/>
    <m/>
    <m/>
    <m/>
    <m/>
    <m/>
    <m/>
    <m/>
    <m/>
    <n v="11"/>
    <n v="0"/>
    <n v="43"/>
    <n v="8"/>
    <m/>
    <m/>
    <m/>
    <m/>
    <m/>
    <m/>
    <m/>
    <m/>
    <m/>
    <m/>
    <m/>
    <m/>
    <x v="1"/>
  </r>
  <r>
    <x v="11"/>
    <n v="43697"/>
    <m/>
    <m/>
    <m/>
    <m/>
    <m/>
    <m/>
    <m/>
    <m/>
    <m/>
    <m/>
    <m/>
    <m/>
    <m/>
    <n v="1160"/>
    <n v="7639"/>
    <n v="182"/>
    <m/>
    <n v="32"/>
    <m/>
    <m/>
    <n v="7985"/>
    <n v="1805"/>
    <m/>
    <m/>
    <x v="1"/>
  </r>
  <r>
    <x v="3"/>
    <m/>
    <m/>
    <m/>
    <m/>
    <m/>
    <m/>
    <m/>
    <m/>
    <m/>
    <m/>
    <m/>
    <m/>
    <m/>
    <m/>
    <m/>
    <m/>
    <m/>
    <m/>
    <m/>
    <m/>
    <m/>
    <n v="9225"/>
    <n v="2160"/>
    <m/>
    <m/>
    <x v="0"/>
  </r>
  <r>
    <x v="3"/>
    <n v="29805"/>
    <n v="94"/>
    <n v="1637"/>
    <n v="84"/>
    <n v="98"/>
    <n v="61"/>
    <n v="213"/>
    <n v="9911"/>
    <n v="11"/>
    <m/>
    <m/>
    <m/>
    <m/>
    <m/>
    <n v="1250"/>
    <n v="1301"/>
    <n v="84.3"/>
    <n v="808"/>
    <n v="44"/>
    <n v="1933"/>
    <n v="10270"/>
    <m/>
    <m/>
    <n v="3"/>
    <n v="8"/>
    <x v="0"/>
  </r>
  <r>
    <x v="2"/>
    <n v="24187"/>
    <n v="105"/>
    <n v="165"/>
    <n v="99"/>
    <n v="133"/>
    <n v="89"/>
    <n v="155"/>
    <n v="8590"/>
    <n v="9"/>
    <m/>
    <m/>
    <m/>
    <m/>
    <m/>
    <n v="1250"/>
    <n v="1883"/>
    <n v="75.900000000000006"/>
    <n v="813"/>
    <n v="50"/>
    <n v="1915"/>
    <n v="9724"/>
    <m/>
    <m/>
    <n v="6"/>
    <n v="13"/>
    <x v="0"/>
  </r>
  <r>
    <x v="2"/>
    <m/>
    <m/>
    <m/>
    <m/>
    <m/>
    <m/>
    <m/>
    <m/>
    <m/>
    <m/>
    <m/>
    <m/>
    <m/>
    <m/>
    <m/>
    <m/>
    <m/>
    <m/>
    <m/>
    <m/>
    <m/>
    <n v="9302"/>
    <n v="2193"/>
    <m/>
    <m/>
    <x v="0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m/>
    <s v="04-April"/>
    <s v="ROCK HILL"/>
    <m/>
    <n v="381"/>
    <n v="15313"/>
    <n v="2034"/>
    <m/>
    <n v="4"/>
    <m/>
    <m/>
    <n v="27"/>
    <m/>
    <m/>
    <m/>
    <m/>
    <m/>
    <n v="22"/>
    <n v="6"/>
    <n v="15"/>
    <n v="29"/>
    <n v="6"/>
    <n v="890"/>
    <n v="277"/>
    <n v="162"/>
    <n v="292"/>
    <n v="156"/>
    <m/>
    <n v="6"/>
    <m/>
    <m/>
    <m/>
    <m/>
    <n v="60"/>
    <m/>
    <m/>
    <m/>
    <m/>
    <m/>
    <m/>
    <m/>
    <m/>
    <m/>
    <m/>
    <m/>
    <m/>
    <m/>
    <m/>
    <m/>
    <n v="50"/>
    <n v="14"/>
    <n v="21.5"/>
    <n v="8"/>
    <m/>
    <x v="0"/>
  </r>
  <r>
    <m/>
    <s v="04-April"/>
    <s v="CLOVER"/>
    <m/>
    <n v="62"/>
    <n v="2761"/>
    <n v="214"/>
    <m/>
    <n v="1"/>
    <m/>
    <m/>
    <n v="0"/>
    <m/>
    <m/>
    <m/>
    <m/>
    <m/>
    <n v="8"/>
    <n v="2"/>
    <n v="2"/>
    <n v="1"/>
    <n v="3"/>
    <n v="85"/>
    <n v="21"/>
    <n v="6"/>
    <n v="4"/>
    <n v="30"/>
    <m/>
    <n v="0"/>
    <m/>
    <m/>
    <m/>
    <m/>
    <n v="0"/>
    <m/>
    <m/>
    <m/>
    <m/>
    <m/>
    <m/>
    <m/>
    <m/>
    <m/>
    <m/>
    <m/>
    <m/>
    <m/>
    <m/>
    <m/>
    <n v="20"/>
    <n v="4"/>
    <n v="25"/>
    <n v="0"/>
    <m/>
    <x v="0"/>
  </r>
  <r>
    <m/>
    <s v="04-April"/>
    <s v="FORT MILL"/>
    <m/>
    <m/>
    <n v="11737"/>
    <n v="781"/>
    <m/>
    <n v="6"/>
    <m/>
    <m/>
    <n v="5"/>
    <m/>
    <m/>
    <m/>
    <m/>
    <m/>
    <n v="21"/>
    <n v="9"/>
    <n v="7"/>
    <n v="11"/>
    <n v="6"/>
    <n v="754"/>
    <n v="778"/>
    <n v="65"/>
    <n v="94"/>
    <n v="265"/>
    <m/>
    <n v="3"/>
    <m/>
    <m/>
    <m/>
    <m/>
    <n v="800"/>
    <m/>
    <m/>
    <m/>
    <m/>
    <m/>
    <m/>
    <m/>
    <m/>
    <m/>
    <m/>
    <m/>
    <m/>
    <m/>
    <m/>
    <m/>
    <n v="402"/>
    <n v="2"/>
    <n v="2"/>
    <m/>
    <m/>
    <x v="0"/>
  </r>
  <r>
    <m/>
    <s v="04-April"/>
    <s v="LAKE WYLIE"/>
    <m/>
    <n v="64"/>
    <n v="3866"/>
    <n v="188"/>
    <m/>
    <n v="10"/>
    <m/>
    <m/>
    <n v="2"/>
    <m/>
    <m/>
    <m/>
    <m/>
    <m/>
    <n v="4"/>
    <n v="4"/>
    <n v="2"/>
    <n v="12"/>
    <n v="2"/>
    <n v="40"/>
    <n v="20"/>
    <n v="9"/>
    <n v="100"/>
    <n v="11"/>
    <m/>
    <n v="0"/>
    <m/>
    <m/>
    <m/>
    <m/>
    <n v="0"/>
    <m/>
    <m/>
    <m/>
    <m/>
    <m/>
    <m/>
    <m/>
    <m/>
    <m/>
    <m/>
    <m/>
    <m/>
    <m/>
    <m/>
    <m/>
    <n v="372"/>
    <n v="1"/>
    <n v="24.5"/>
    <n v="5"/>
    <m/>
    <x v="0"/>
  </r>
  <r>
    <m/>
    <s v="04-April"/>
    <s v="YORK"/>
    <m/>
    <m/>
    <n v="3598"/>
    <n v="377"/>
    <m/>
    <n v="2"/>
    <m/>
    <m/>
    <n v="0"/>
    <m/>
    <m/>
    <m/>
    <m/>
    <m/>
    <n v="12"/>
    <n v="3"/>
    <n v="1"/>
    <n v="7"/>
    <m/>
    <n v="206"/>
    <n v="66"/>
    <n v="4"/>
    <n v="61"/>
    <m/>
    <m/>
    <n v="1"/>
    <m/>
    <m/>
    <m/>
    <m/>
    <n v="150"/>
    <m/>
    <m/>
    <m/>
    <m/>
    <m/>
    <m/>
    <m/>
    <m/>
    <m/>
    <m/>
    <m/>
    <m/>
    <m/>
    <m/>
    <m/>
    <n v="5"/>
    <n v="4"/>
    <n v="28"/>
    <n v="0"/>
    <m/>
    <x v="0"/>
  </r>
  <r>
    <m/>
    <s v="04-April"/>
    <s v="OUTREACH/BOOKMOBILE"/>
    <m/>
    <m/>
    <n v="905"/>
    <m/>
    <m/>
    <m/>
    <m/>
    <m/>
    <m/>
    <m/>
    <m/>
    <m/>
    <m/>
    <m/>
    <n v="1"/>
    <m/>
    <m/>
    <n v="2"/>
    <m/>
    <n v="25"/>
    <m/>
    <m/>
    <n v="16"/>
    <m/>
    <m/>
    <m/>
    <m/>
    <m/>
    <m/>
    <m/>
    <m/>
    <m/>
    <m/>
    <m/>
    <m/>
    <m/>
    <m/>
    <m/>
    <m/>
    <m/>
    <m/>
    <m/>
    <m/>
    <m/>
    <m/>
    <m/>
    <n v="385"/>
    <n v="2"/>
    <n v="8"/>
    <m/>
    <m/>
    <x v="0"/>
  </r>
  <r>
    <m/>
    <s v="04-April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4-April"/>
    <s v="YCL (System Wide)"/>
    <m/>
    <m/>
    <m/>
    <m/>
    <m/>
    <m/>
    <m/>
    <m/>
    <m/>
    <n v="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4-April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4-April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4-April"/>
    <s v="YCL (System Wide)"/>
    <m/>
    <m/>
    <m/>
    <m/>
    <n v="0"/>
    <m/>
    <n v="80838"/>
    <n v="357"/>
    <m/>
    <m/>
    <m/>
    <m/>
    <m/>
    <n v="53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4-April"/>
    <s v="YCL (System Wide)"/>
    <m/>
    <n v="6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8-August"/>
    <s v="ROCK HILL"/>
    <m/>
    <n v="248"/>
    <n v="14835"/>
    <n v="1918"/>
    <m/>
    <m/>
    <m/>
    <m/>
    <n v="20"/>
    <m/>
    <m/>
    <m/>
    <m/>
    <m/>
    <m/>
    <m/>
    <n v="5"/>
    <n v="16"/>
    <n v="1"/>
    <m/>
    <m/>
    <n v="46"/>
    <n v="135"/>
    <n v="34"/>
    <m/>
    <m/>
    <m/>
    <m/>
    <m/>
    <m/>
    <m/>
    <m/>
    <m/>
    <m/>
    <m/>
    <m/>
    <m/>
    <m/>
    <m/>
    <m/>
    <m/>
    <m/>
    <m/>
    <m/>
    <m/>
    <m/>
    <n v="244"/>
    <n v="50"/>
    <n v="375"/>
    <n v="21"/>
    <m/>
    <x v="0"/>
  </r>
  <r>
    <m/>
    <s v="08-August"/>
    <s v="CLOVER"/>
    <m/>
    <n v="51"/>
    <n v="2957"/>
    <n v="353"/>
    <m/>
    <n v="1"/>
    <m/>
    <m/>
    <n v="0"/>
    <m/>
    <m/>
    <m/>
    <m/>
    <m/>
    <n v="1"/>
    <m/>
    <m/>
    <n v="4"/>
    <n v="1"/>
    <n v="16"/>
    <m/>
    <m/>
    <n v="20"/>
    <n v="5"/>
    <m/>
    <m/>
    <m/>
    <m/>
    <m/>
    <m/>
    <m/>
    <m/>
    <m/>
    <m/>
    <m/>
    <m/>
    <m/>
    <m/>
    <m/>
    <m/>
    <m/>
    <m/>
    <m/>
    <m/>
    <m/>
    <m/>
    <n v="100"/>
    <n v="26"/>
    <n v="76.5"/>
    <m/>
    <m/>
    <x v="0"/>
  </r>
  <r>
    <m/>
    <s v="08-August"/>
    <s v="FORT MILL"/>
    <m/>
    <n v="191"/>
    <n v="9858"/>
    <n v="765"/>
    <m/>
    <n v="3"/>
    <m/>
    <m/>
    <n v="5"/>
    <m/>
    <m/>
    <m/>
    <m/>
    <m/>
    <m/>
    <n v="1"/>
    <m/>
    <n v="6"/>
    <n v="1"/>
    <m/>
    <n v="15"/>
    <m/>
    <n v="50"/>
    <n v="52"/>
    <m/>
    <m/>
    <m/>
    <m/>
    <m/>
    <m/>
    <m/>
    <m/>
    <m/>
    <m/>
    <m/>
    <m/>
    <m/>
    <m/>
    <m/>
    <m/>
    <m/>
    <m/>
    <m/>
    <m/>
    <m/>
    <m/>
    <n v="242"/>
    <n v="1"/>
    <n v="1"/>
    <m/>
    <m/>
    <x v="0"/>
  </r>
  <r>
    <m/>
    <s v="08-August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"/>
    <n v="133"/>
    <m/>
    <m/>
    <x v="0"/>
  </r>
  <r>
    <m/>
    <s v="08-August"/>
    <s v="LAKE WYLIE"/>
    <m/>
    <n v="60"/>
    <n v="3610"/>
    <n v="196"/>
    <m/>
    <n v="10"/>
    <m/>
    <m/>
    <n v="0"/>
    <m/>
    <m/>
    <m/>
    <m/>
    <m/>
    <n v="1"/>
    <n v="0"/>
    <n v="0"/>
    <n v="10"/>
    <n v="4"/>
    <n v="7"/>
    <n v="0"/>
    <n v="0"/>
    <n v="82"/>
    <n v="27"/>
    <m/>
    <n v="0"/>
    <m/>
    <m/>
    <m/>
    <m/>
    <n v="0"/>
    <m/>
    <m/>
    <m/>
    <m/>
    <m/>
    <m/>
    <m/>
    <m/>
    <m/>
    <m/>
    <m/>
    <m/>
    <m/>
    <m/>
    <m/>
    <n v="249"/>
    <n v="11"/>
    <n v="81.5"/>
    <n v="3"/>
    <m/>
    <x v="0"/>
  </r>
  <r>
    <m/>
    <s v="08-August"/>
    <s v="YORK"/>
    <m/>
    <n v="130"/>
    <n v="3663"/>
    <n v="516"/>
    <m/>
    <n v="3"/>
    <m/>
    <m/>
    <n v="0"/>
    <m/>
    <m/>
    <m/>
    <m/>
    <m/>
    <m/>
    <m/>
    <m/>
    <n v="2"/>
    <m/>
    <m/>
    <m/>
    <m/>
    <n v="15"/>
    <m/>
    <m/>
    <n v="1"/>
    <m/>
    <m/>
    <m/>
    <m/>
    <n v="40"/>
    <m/>
    <m/>
    <m/>
    <m/>
    <m/>
    <m/>
    <m/>
    <m/>
    <m/>
    <m/>
    <m/>
    <m/>
    <m/>
    <m/>
    <m/>
    <n v="0"/>
    <n v="6"/>
    <n v="30"/>
    <n v="0"/>
    <m/>
    <x v="0"/>
  </r>
  <r>
    <m/>
    <s v="08-August"/>
    <s v="OUTREACH/BOOKMOBILE"/>
    <m/>
    <n v="34"/>
    <n v="7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3"/>
    <m/>
    <m/>
    <n v="6"/>
    <m/>
    <x v="0"/>
  </r>
  <r>
    <m/>
    <s v="08-August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8-August"/>
    <s v="YCL (System Wide)"/>
    <m/>
    <m/>
    <m/>
    <m/>
    <m/>
    <m/>
    <m/>
    <m/>
    <m/>
    <n v="5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8-August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8-August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8-August"/>
    <s v="YCL (System Wide)"/>
    <m/>
    <m/>
    <m/>
    <m/>
    <n v="0"/>
    <m/>
    <n v="84346"/>
    <n v="351"/>
    <m/>
    <m/>
    <m/>
    <m/>
    <m/>
    <n v="57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8-August"/>
    <s v="YCL (System Wide)"/>
    <m/>
    <n v="7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2-December"/>
    <s v="ROCK HILL"/>
    <m/>
    <n v="122"/>
    <n v="12444"/>
    <n v="1383"/>
    <m/>
    <n v="5"/>
    <m/>
    <m/>
    <n v="13"/>
    <m/>
    <m/>
    <m/>
    <m/>
    <m/>
    <n v="23"/>
    <n v="73"/>
    <n v="20"/>
    <n v="21"/>
    <n v="9"/>
    <n v="899"/>
    <n v="73"/>
    <n v="1402"/>
    <n v="175"/>
    <n v="216"/>
    <m/>
    <n v="7"/>
    <m/>
    <m/>
    <m/>
    <m/>
    <n v="1308"/>
    <m/>
    <m/>
    <m/>
    <m/>
    <m/>
    <m/>
    <m/>
    <m/>
    <m/>
    <m/>
    <m/>
    <m/>
    <m/>
    <m/>
    <m/>
    <n v="259"/>
    <n v="10"/>
    <n v="23"/>
    <n v="9"/>
    <m/>
    <x v="0"/>
  </r>
  <r>
    <m/>
    <s v="12-December"/>
    <s v="FORT MILL"/>
    <m/>
    <m/>
    <n v="9136"/>
    <n v="541"/>
    <m/>
    <n v="2"/>
    <m/>
    <m/>
    <n v="5"/>
    <m/>
    <m/>
    <m/>
    <m/>
    <m/>
    <n v="14"/>
    <n v="4"/>
    <n v="6"/>
    <n v="11"/>
    <n v="3"/>
    <n v="418"/>
    <n v="49"/>
    <n v="68"/>
    <n v="71"/>
    <n v="114"/>
    <m/>
    <m/>
    <m/>
    <m/>
    <m/>
    <m/>
    <m/>
    <m/>
    <m/>
    <m/>
    <m/>
    <m/>
    <m/>
    <m/>
    <m/>
    <m/>
    <m/>
    <m/>
    <m/>
    <m/>
    <m/>
    <m/>
    <n v="368"/>
    <m/>
    <m/>
    <m/>
    <m/>
    <x v="0"/>
  </r>
  <r>
    <m/>
    <s v="12-December"/>
    <s v="LAKE WYLIE"/>
    <m/>
    <n v="48"/>
    <n v="3025"/>
    <n v="148"/>
    <m/>
    <n v="9"/>
    <m/>
    <m/>
    <n v="2"/>
    <m/>
    <m/>
    <m/>
    <m/>
    <m/>
    <n v="7"/>
    <n v="4"/>
    <n v="2"/>
    <n v="5"/>
    <n v="0"/>
    <n v="127"/>
    <n v="43"/>
    <n v="5"/>
    <n v="41"/>
    <n v="0"/>
    <m/>
    <n v="0"/>
    <m/>
    <m/>
    <m/>
    <m/>
    <n v="0"/>
    <m/>
    <m/>
    <m/>
    <m/>
    <m/>
    <m/>
    <m/>
    <m/>
    <m/>
    <m/>
    <m/>
    <m/>
    <m/>
    <m/>
    <m/>
    <n v="301"/>
    <n v="1"/>
    <n v="8"/>
    <n v="8"/>
    <m/>
    <x v="0"/>
  </r>
  <r>
    <m/>
    <s v="12-December"/>
    <s v="YORK"/>
    <m/>
    <m/>
    <n v="2841"/>
    <n v="347"/>
    <m/>
    <n v="2"/>
    <m/>
    <m/>
    <n v="0"/>
    <m/>
    <m/>
    <m/>
    <m/>
    <m/>
    <n v="9"/>
    <n v="3"/>
    <n v="1"/>
    <n v="7"/>
    <m/>
    <n v="166"/>
    <n v="81"/>
    <n v="7"/>
    <n v="60"/>
    <m/>
    <m/>
    <m/>
    <m/>
    <m/>
    <m/>
    <m/>
    <m/>
    <m/>
    <m/>
    <m/>
    <m/>
    <m/>
    <m/>
    <m/>
    <m/>
    <m/>
    <m/>
    <m/>
    <m/>
    <m/>
    <m/>
    <m/>
    <n v="70"/>
    <n v="5"/>
    <n v="10"/>
    <n v="0"/>
    <m/>
    <x v="0"/>
  </r>
  <r>
    <m/>
    <s v="12-December"/>
    <s v="OUTREACH/BOOKMOBILE"/>
    <m/>
    <m/>
    <n v="600"/>
    <m/>
    <m/>
    <m/>
    <m/>
    <m/>
    <m/>
    <m/>
    <m/>
    <m/>
    <m/>
    <m/>
    <n v="3"/>
    <m/>
    <m/>
    <m/>
    <m/>
    <n v="98"/>
    <m/>
    <m/>
    <m/>
    <m/>
    <m/>
    <m/>
    <m/>
    <m/>
    <m/>
    <m/>
    <m/>
    <m/>
    <m/>
    <m/>
    <m/>
    <m/>
    <m/>
    <m/>
    <m/>
    <m/>
    <m/>
    <m/>
    <m/>
    <m/>
    <m/>
    <m/>
    <n v="586"/>
    <m/>
    <m/>
    <m/>
    <m/>
    <x v="0"/>
  </r>
  <r>
    <m/>
    <s v="12-Dec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2-December"/>
    <s v="YCL (System Wide)"/>
    <m/>
    <m/>
    <m/>
    <m/>
    <m/>
    <m/>
    <m/>
    <m/>
    <m/>
    <n v="2"/>
    <n v="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2-Dec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2-Dec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2-December"/>
    <s v="YCL (System Wide)"/>
    <m/>
    <m/>
    <m/>
    <m/>
    <n v="0"/>
    <m/>
    <n v="65379"/>
    <n v="312"/>
    <m/>
    <m/>
    <m/>
    <m/>
    <m/>
    <n v="44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2-December"/>
    <s v="CLOVER"/>
    <m/>
    <m/>
    <n v="20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2-December"/>
    <s v="YCL (System Wide)"/>
    <m/>
    <n v="3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2-February"/>
    <s v="CLOVER"/>
    <m/>
    <m/>
    <n v="2241"/>
    <n v="207"/>
    <m/>
    <m/>
    <m/>
    <m/>
    <m/>
    <m/>
    <m/>
    <m/>
    <m/>
    <m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0"/>
    <n v="35"/>
    <n v="59.5"/>
    <m/>
    <m/>
    <x v="0"/>
  </r>
  <r>
    <m/>
    <s v="02-February"/>
    <s v="FORT MILL"/>
    <m/>
    <m/>
    <n v="11408"/>
    <n v="686"/>
    <m/>
    <n v="14"/>
    <m/>
    <m/>
    <n v="6"/>
    <m/>
    <m/>
    <m/>
    <m/>
    <m/>
    <n v="23"/>
    <n v="6"/>
    <n v="7"/>
    <n v="14"/>
    <n v="4"/>
    <n v="683"/>
    <n v="66"/>
    <n v="93"/>
    <n v="116"/>
    <n v="154"/>
    <m/>
    <n v="1"/>
    <m/>
    <m/>
    <m/>
    <m/>
    <n v="400"/>
    <m/>
    <m/>
    <m/>
    <m/>
    <m/>
    <m/>
    <m/>
    <m/>
    <m/>
    <m/>
    <m/>
    <m/>
    <m/>
    <m/>
    <m/>
    <n v="365"/>
    <n v="16"/>
    <n v="120"/>
    <m/>
    <m/>
    <x v="0"/>
  </r>
  <r>
    <m/>
    <s v="02-February"/>
    <s v="LAKE WYLIE"/>
    <m/>
    <m/>
    <n v="3400"/>
    <n v="193"/>
    <m/>
    <n v="11"/>
    <m/>
    <m/>
    <n v="3"/>
    <m/>
    <m/>
    <m/>
    <m/>
    <m/>
    <n v="5"/>
    <n v="4"/>
    <n v="2"/>
    <n v="13"/>
    <n v="0"/>
    <n v="52"/>
    <n v="47"/>
    <n v="8"/>
    <n v="118"/>
    <n v="0"/>
    <m/>
    <n v="0"/>
    <m/>
    <m/>
    <m/>
    <m/>
    <n v="0"/>
    <m/>
    <m/>
    <m/>
    <m/>
    <m/>
    <m/>
    <m/>
    <m/>
    <m/>
    <m/>
    <m/>
    <m/>
    <m/>
    <m/>
    <m/>
    <n v="432"/>
    <n v="1"/>
    <n v="86"/>
    <n v="5"/>
    <m/>
    <x v="0"/>
  </r>
  <r>
    <m/>
    <s v="02-February"/>
    <s v="YORK"/>
    <m/>
    <m/>
    <n v="3286"/>
    <n v="409"/>
    <m/>
    <n v="5"/>
    <m/>
    <m/>
    <n v="0"/>
    <m/>
    <m/>
    <m/>
    <m/>
    <m/>
    <n v="7"/>
    <n v="3"/>
    <n v="1"/>
    <n v="8"/>
    <n v="1"/>
    <n v="73"/>
    <n v="68"/>
    <n v="5"/>
    <n v="67"/>
    <n v="20"/>
    <m/>
    <n v="1"/>
    <m/>
    <m/>
    <m/>
    <m/>
    <n v="57"/>
    <m/>
    <m/>
    <m/>
    <m/>
    <m/>
    <m/>
    <m/>
    <m/>
    <m/>
    <m/>
    <m/>
    <m/>
    <m/>
    <m/>
    <m/>
    <n v="48"/>
    <n v="18"/>
    <n v="86.5"/>
    <n v="2"/>
    <m/>
    <x v="0"/>
  </r>
  <r>
    <m/>
    <s v="02-February"/>
    <s v="OUTREACH/BOOKMOBILE"/>
    <m/>
    <m/>
    <n v="1153"/>
    <m/>
    <m/>
    <m/>
    <m/>
    <m/>
    <m/>
    <m/>
    <m/>
    <m/>
    <m/>
    <m/>
    <n v="4"/>
    <m/>
    <m/>
    <m/>
    <m/>
    <n v="104"/>
    <m/>
    <m/>
    <m/>
    <m/>
    <m/>
    <m/>
    <m/>
    <m/>
    <m/>
    <m/>
    <m/>
    <m/>
    <m/>
    <m/>
    <m/>
    <m/>
    <m/>
    <m/>
    <m/>
    <m/>
    <m/>
    <m/>
    <m/>
    <m/>
    <m/>
    <m/>
    <m/>
    <n v="1"/>
    <n v="1.5"/>
    <m/>
    <m/>
    <x v="0"/>
  </r>
  <r>
    <m/>
    <s v="02-Febr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2-Febr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2-Febr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2-Febr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2-February"/>
    <s v="YCL (System Wide)"/>
    <m/>
    <m/>
    <m/>
    <m/>
    <n v="0"/>
    <m/>
    <n v="73349"/>
    <n v="333"/>
    <m/>
    <m/>
    <m/>
    <m/>
    <m/>
    <n v="54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2-February"/>
    <s v="ROCK HILL"/>
    <m/>
    <m/>
    <n v="138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2-February"/>
    <s v="YCL (System Wide)"/>
    <m/>
    <n v="5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1-January"/>
    <s v="CLOVER"/>
    <m/>
    <n v="27"/>
    <n v="2152"/>
    <n v="216"/>
    <m/>
    <n v="1"/>
    <m/>
    <m/>
    <m/>
    <m/>
    <m/>
    <m/>
    <m/>
    <m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30"/>
    <n v="38"/>
    <n v="26.5"/>
    <m/>
    <m/>
    <x v="0"/>
  </r>
  <r>
    <m/>
    <s v="01-January"/>
    <s v="FORT MILL"/>
    <m/>
    <m/>
    <n v="10005"/>
    <n v="679"/>
    <m/>
    <n v="6"/>
    <m/>
    <m/>
    <n v="5"/>
    <m/>
    <m/>
    <m/>
    <m/>
    <m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469"/>
    <m/>
    <m/>
    <m/>
    <m/>
    <x v="0"/>
  </r>
  <r>
    <m/>
    <s v="01-January"/>
    <s v="LAKE WYLIE"/>
    <m/>
    <n v="46"/>
    <n v="3147"/>
    <n v="138"/>
    <m/>
    <n v="9"/>
    <m/>
    <m/>
    <n v="3"/>
    <m/>
    <m/>
    <m/>
    <m/>
    <m/>
    <n v="1"/>
    <n v="2"/>
    <n v="2"/>
    <n v="10"/>
    <n v="0"/>
    <n v="8"/>
    <n v="6"/>
    <n v="4"/>
    <n v="105"/>
    <n v="0"/>
    <m/>
    <n v="0"/>
    <m/>
    <m/>
    <m/>
    <m/>
    <n v="0"/>
    <m/>
    <m/>
    <m/>
    <m/>
    <m/>
    <m/>
    <m/>
    <m/>
    <m/>
    <m/>
    <m/>
    <m/>
    <m/>
    <m/>
    <m/>
    <n v="261"/>
    <n v="1"/>
    <n v="9"/>
    <n v="2"/>
    <m/>
    <x v="0"/>
  </r>
  <r>
    <m/>
    <s v="01-January"/>
    <s v="YORK"/>
    <m/>
    <n v="56"/>
    <n v="3430"/>
    <n v="395"/>
    <m/>
    <n v="3"/>
    <m/>
    <m/>
    <n v="0"/>
    <m/>
    <m/>
    <m/>
    <m/>
    <m/>
    <n v="10"/>
    <n v="2"/>
    <n v="2"/>
    <n v="9"/>
    <m/>
    <n v="146"/>
    <n v="56"/>
    <n v="15"/>
    <n v="91"/>
    <m/>
    <m/>
    <m/>
    <m/>
    <m/>
    <m/>
    <m/>
    <m/>
    <m/>
    <m/>
    <m/>
    <m/>
    <m/>
    <m/>
    <m/>
    <m/>
    <m/>
    <m/>
    <m/>
    <m/>
    <m/>
    <m/>
    <m/>
    <n v="150"/>
    <n v="4"/>
    <n v="16"/>
    <n v="3"/>
    <m/>
    <x v="0"/>
  </r>
  <r>
    <m/>
    <s v="01-January"/>
    <s v="OUTREACH/BOOKMOBILE"/>
    <m/>
    <m/>
    <n v="625"/>
    <m/>
    <m/>
    <m/>
    <m/>
    <m/>
    <m/>
    <m/>
    <m/>
    <m/>
    <m/>
    <m/>
    <n v="3"/>
    <m/>
    <m/>
    <m/>
    <m/>
    <n v="96"/>
    <m/>
    <m/>
    <m/>
    <m/>
    <m/>
    <m/>
    <m/>
    <m/>
    <m/>
    <m/>
    <m/>
    <m/>
    <m/>
    <m/>
    <m/>
    <m/>
    <m/>
    <m/>
    <m/>
    <m/>
    <m/>
    <m/>
    <m/>
    <m/>
    <m/>
    <m/>
    <n v="130"/>
    <n v="1"/>
    <n v="1"/>
    <m/>
    <m/>
    <x v="0"/>
  </r>
  <r>
    <m/>
    <s v="01-Jan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1-January"/>
    <s v="YCL (System Wide)"/>
    <m/>
    <m/>
    <m/>
    <m/>
    <m/>
    <m/>
    <m/>
    <m/>
    <m/>
    <n v="7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1-Jan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1-Jan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1-January"/>
    <s v="YCL (System Wide)"/>
    <m/>
    <m/>
    <m/>
    <m/>
    <m/>
    <m/>
    <m/>
    <m/>
    <m/>
    <n v="2"/>
    <n v="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1-January"/>
    <s v="YCL (System Wide)"/>
    <m/>
    <m/>
    <m/>
    <m/>
    <n v="0"/>
    <m/>
    <n v="77438"/>
    <n v="350"/>
    <m/>
    <m/>
    <m/>
    <m/>
    <m/>
    <n v="45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1-January"/>
    <s v="ROCK HILL"/>
    <m/>
    <m/>
    <n v="13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1-January"/>
    <s v="YCL (System Wide)"/>
    <m/>
    <n v="5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7-July"/>
    <s v="ROCK HILL"/>
    <m/>
    <n v="241"/>
    <n v="19042"/>
    <n v="2069"/>
    <m/>
    <n v="2"/>
    <m/>
    <m/>
    <n v="40"/>
    <m/>
    <m/>
    <m/>
    <m/>
    <m/>
    <n v="11"/>
    <n v="5"/>
    <n v="25"/>
    <n v="20"/>
    <n v="13"/>
    <n v="652"/>
    <n v="153"/>
    <n v="315"/>
    <n v="165"/>
    <n v="1092"/>
    <m/>
    <n v="2"/>
    <m/>
    <m/>
    <m/>
    <m/>
    <n v="71"/>
    <m/>
    <m/>
    <m/>
    <m/>
    <m/>
    <m/>
    <m/>
    <m/>
    <m/>
    <m/>
    <m/>
    <m/>
    <m/>
    <m/>
    <m/>
    <n v="674"/>
    <n v="9"/>
    <n v="53"/>
    <n v="7"/>
    <m/>
    <x v="0"/>
  </r>
  <r>
    <m/>
    <s v="07-July"/>
    <s v="CLOVER"/>
    <m/>
    <n v="33"/>
    <n v="3101"/>
    <n v="320"/>
    <m/>
    <m/>
    <m/>
    <m/>
    <n v="0"/>
    <m/>
    <m/>
    <m/>
    <m/>
    <m/>
    <n v="14"/>
    <n v="3"/>
    <n v="5"/>
    <n v="6"/>
    <n v="6"/>
    <n v="177"/>
    <n v="17"/>
    <n v="30"/>
    <n v="53"/>
    <n v="106"/>
    <m/>
    <m/>
    <m/>
    <m/>
    <m/>
    <m/>
    <m/>
    <m/>
    <m/>
    <m/>
    <m/>
    <m/>
    <m/>
    <m/>
    <m/>
    <m/>
    <m/>
    <m/>
    <m/>
    <m/>
    <m/>
    <m/>
    <n v="108"/>
    <n v="17"/>
    <n v="20.5"/>
    <m/>
    <m/>
    <x v="0"/>
  </r>
  <r>
    <m/>
    <s v="07-July"/>
    <s v="FORT MILL"/>
    <m/>
    <n v="332"/>
    <n v="13217"/>
    <n v="935"/>
    <m/>
    <n v="2"/>
    <m/>
    <m/>
    <n v="5"/>
    <m/>
    <m/>
    <m/>
    <m/>
    <m/>
    <n v="24"/>
    <n v="5"/>
    <n v="7"/>
    <n v="8"/>
    <n v="15"/>
    <n v="737"/>
    <n v="95"/>
    <n v="86"/>
    <n v="75"/>
    <n v="741"/>
    <m/>
    <n v="1"/>
    <m/>
    <m/>
    <m/>
    <m/>
    <n v="12"/>
    <m/>
    <m/>
    <m/>
    <m/>
    <m/>
    <m/>
    <m/>
    <m/>
    <m/>
    <m/>
    <m/>
    <m/>
    <m/>
    <m/>
    <m/>
    <n v="491"/>
    <n v="1"/>
    <n v="1"/>
    <m/>
    <m/>
    <x v="0"/>
  </r>
  <r>
    <m/>
    <s v="07-July"/>
    <s v="YORK"/>
    <m/>
    <n v="72"/>
    <n v="4740"/>
    <n v="538"/>
    <m/>
    <n v="2"/>
    <m/>
    <m/>
    <n v="0"/>
    <m/>
    <m/>
    <m/>
    <m/>
    <m/>
    <n v="9"/>
    <n v="10"/>
    <n v="3"/>
    <n v="7"/>
    <n v="0"/>
    <n v="143"/>
    <n v="292"/>
    <n v="32"/>
    <n v="114"/>
    <n v="0"/>
    <m/>
    <n v="0"/>
    <m/>
    <m/>
    <m/>
    <m/>
    <n v="0"/>
    <m/>
    <m/>
    <m/>
    <m/>
    <m/>
    <m/>
    <m/>
    <m/>
    <m/>
    <m/>
    <m/>
    <m/>
    <m/>
    <m/>
    <m/>
    <n v="35"/>
    <n v="6"/>
    <n v="108"/>
    <n v="0"/>
    <m/>
    <x v="0"/>
  </r>
  <r>
    <m/>
    <s v="07-Jul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7-July"/>
    <s v="YCL (System Wide)"/>
    <m/>
    <m/>
    <m/>
    <m/>
    <m/>
    <m/>
    <m/>
    <m/>
    <m/>
    <n v="11"/>
    <n v="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7-Jul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7-Jul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7-July"/>
    <s v="YCL (System Wide)"/>
    <m/>
    <m/>
    <m/>
    <m/>
    <n v="0"/>
    <m/>
    <n v="76749"/>
    <n v="376"/>
    <m/>
    <m/>
    <m/>
    <m/>
    <m/>
    <n v="48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7-July"/>
    <s v="LAKE WYLIE"/>
    <m/>
    <n v="75"/>
    <n v="47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7-July"/>
    <s v="YCL (System Wide)"/>
    <m/>
    <n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7-July"/>
    <s v="OUTREACH / BOOKMOBILE"/>
    <m/>
    <n v="24"/>
    <n v="8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3-March"/>
    <s v="ROCK HILL"/>
    <m/>
    <n v="206"/>
    <n v="15534"/>
    <n v="2125"/>
    <m/>
    <n v="6"/>
    <m/>
    <m/>
    <n v="21"/>
    <m/>
    <m/>
    <m/>
    <m/>
    <m/>
    <n v="31"/>
    <n v="5"/>
    <n v="13"/>
    <n v="27"/>
    <n v="6"/>
    <n v="1188"/>
    <n v="116"/>
    <n v="155"/>
    <n v="277"/>
    <n v="106"/>
    <m/>
    <n v="7"/>
    <m/>
    <m/>
    <m/>
    <m/>
    <n v="111"/>
    <m/>
    <m/>
    <m/>
    <m/>
    <m/>
    <m/>
    <m/>
    <m/>
    <m/>
    <m/>
    <m/>
    <m/>
    <m/>
    <m/>
    <m/>
    <n v="30"/>
    <n v="42"/>
    <n v="40.5"/>
    <n v="10"/>
    <m/>
    <x v="0"/>
  </r>
  <r>
    <m/>
    <s v="03-March"/>
    <s v="CLOVER"/>
    <m/>
    <n v="35"/>
    <n v="2402"/>
    <n v="208"/>
    <m/>
    <n v="0"/>
    <m/>
    <m/>
    <m/>
    <m/>
    <m/>
    <m/>
    <m/>
    <m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0"/>
    <n v="19"/>
    <n v="20"/>
    <n v="0"/>
    <m/>
    <x v="0"/>
  </r>
  <r>
    <m/>
    <s v="03-March"/>
    <s v="FORT MILL"/>
    <m/>
    <m/>
    <n v="12508"/>
    <n v="810"/>
    <m/>
    <n v="14"/>
    <m/>
    <m/>
    <n v="5"/>
    <m/>
    <m/>
    <m/>
    <m/>
    <m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320"/>
    <n v="5"/>
    <n v="5"/>
    <m/>
    <m/>
    <x v="0"/>
  </r>
  <r>
    <m/>
    <s v="03-March"/>
    <s v="LAKE WYLIE"/>
    <m/>
    <n v="55"/>
    <n v="3808"/>
    <n v="218"/>
    <m/>
    <n v="12"/>
    <m/>
    <m/>
    <n v="2"/>
    <m/>
    <m/>
    <m/>
    <m/>
    <m/>
    <n v="4"/>
    <n v="2"/>
    <n v="2"/>
    <n v="13"/>
    <n v="2"/>
    <n v="39"/>
    <n v="7"/>
    <n v="19"/>
    <n v="122"/>
    <n v="16"/>
    <m/>
    <n v="0"/>
    <m/>
    <m/>
    <m/>
    <m/>
    <n v="0"/>
    <m/>
    <m/>
    <m/>
    <m/>
    <m/>
    <m/>
    <m/>
    <m/>
    <m/>
    <m/>
    <m/>
    <m/>
    <m/>
    <m/>
    <m/>
    <n v="365"/>
    <n v="1"/>
    <n v="53"/>
    <n v="9"/>
    <m/>
    <x v="0"/>
  </r>
  <r>
    <m/>
    <s v="03-March"/>
    <s v="YORK"/>
    <m/>
    <m/>
    <n v="3798"/>
    <n v="458"/>
    <m/>
    <n v="4"/>
    <m/>
    <m/>
    <n v="0"/>
    <m/>
    <m/>
    <m/>
    <m/>
    <m/>
    <n v="14"/>
    <n v="1"/>
    <n v="1"/>
    <n v="8"/>
    <m/>
    <n v="162"/>
    <n v="4"/>
    <n v="4"/>
    <n v="61"/>
    <m/>
    <m/>
    <n v="1"/>
    <m/>
    <m/>
    <m/>
    <m/>
    <n v="20"/>
    <m/>
    <m/>
    <m/>
    <m/>
    <m/>
    <m/>
    <m/>
    <m/>
    <m/>
    <m/>
    <m/>
    <m/>
    <m/>
    <m/>
    <m/>
    <n v="45"/>
    <n v="11"/>
    <n v="66"/>
    <n v="0"/>
    <m/>
    <x v="0"/>
  </r>
  <r>
    <m/>
    <s v="03-March"/>
    <s v="OUTREACH/BOOKMOBILE"/>
    <m/>
    <m/>
    <n v="507"/>
    <m/>
    <m/>
    <m/>
    <m/>
    <m/>
    <m/>
    <m/>
    <m/>
    <m/>
    <m/>
    <m/>
    <n v="4"/>
    <m/>
    <m/>
    <m/>
    <m/>
    <n v="123"/>
    <m/>
    <m/>
    <m/>
    <m/>
    <m/>
    <m/>
    <m/>
    <m/>
    <m/>
    <m/>
    <m/>
    <m/>
    <m/>
    <m/>
    <m/>
    <m/>
    <m/>
    <m/>
    <m/>
    <m/>
    <m/>
    <m/>
    <m/>
    <m/>
    <m/>
    <m/>
    <n v="489"/>
    <n v="2"/>
    <n v="2"/>
    <n v="3"/>
    <m/>
    <x v="0"/>
  </r>
  <r>
    <m/>
    <s v="03-March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3-March"/>
    <s v="YCL (System Wide)"/>
    <m/>
    <m/>
    <m/>
    <m/>
    <m/>
    <m/>
    <m/>
    <m/>
    <m/>
    <n v="6"/>
    <n v="1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3-March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3-March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3-March"/>
    <s v="YCL (System Wide)"/>
    <m/>
    <m/>
    <m/>
    <m/>
    <n v="0"/>
    <m/>
    <n v="82902"/>
    <n v="380"/>
    <m/>
    <m/>
    <m/>
    <m/>
    <m/>
    <n v="64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3-March"/>
    <s v="YCL (System Wide)"/>
    <m/>
    <n v="5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5-May"/>
    <s v="ROCK HILL"/>
    <m/>
    <n v="376"/>
    <n v="17040"/>
    <n v="1972"/>
    <m/>
    <n v="12"/>
    <m/>
    <m/>
    <n v="38"/>
    <m/>
    <m/>
    <m/>
    <m/>
    <m/>
    <n v="15"/>
    <n v="6"/>
    <n v="10"/>
    <n v="22"/>
    <n v="8"/>
    <n v="636"/>
    <n v="140"/>
    <n v="59"/>
    <n v="245"/>
    <n v="1644"/>
    <m/>
    <n v="5"/>
    <m/>
    <m/>
    <m/>
    <m/>
    <n v="21"/>
    <m/>
    <m/>
    <m/>
    <m/>
    <m/>
    <m/>
    <m/>
    <m/>
    <m/>
    <m/>
    <m/>
    <m/>
    <m/>
    <m/>
    <m/>
    <n v="0"/>
    <n v="15"/>
    <n v="14.5"/>
    <n v="7"/>
    <m/>
    <x v="0"/>
  </r>
  <r>
    <m/>
    <s v="05-May"/>
    <s v="CLOVER"/>
    <m/>
    <n v="59"/>
    <n v="2618"/>
    <n v="229"/>
    <m/>
    <n v="1"/>
    <m/>
    <m/>
    <n v="0"/>
    <n v="0"/>
    <n v="0"/>
    <m/>
    <m/>
    <m/>
    <n v="10"/>
    <n v="2"/>
    <n v="3"/>
    <n v="3"/>
    <n v="0"/>
    <n v="155"/>
    <n v="12"/>
    <n v="17"/>
    <n v="28"/>
    <n v="0"/>
    <m/>
    <n v="0"/>
    <m/>
    <m/>
    <m/>
    <m/>
    <n v="0"/>
    <m/>
    <m/>
    <m/>
    <m/>
    <m/>
    <m/>
    <m/>
    <m/>
    <m/>
    <m/>
    <m/>
    <m/>
    <m/>
    <m/>
    <m/>
    <n v="0"/>
    <n v="1"/>
    <n v="25"/>
    <n v="0"/>
    <m/>
    <x v="0"/>
  </r>
  <r>
    <m/>
    <s v="05-May"/>
    <s v="FORT MILL"/>
    <m/>
    <m/>
    <n v="12340"/>
    <n v="747"/>
    <m/>
    <n v="4"/>
    <m/>
    <m/>
    <n v="5"/>
    <m/>
    <m/>
    <m/>
    <m/>
    <m/>
    <n v="21"/>
    <n v="5"/>
    <n v="5"/>
    <n v="10"/>
    <n v="5"/>
    <n v="714"/>
    <n v="70"/>
    <n v="84"/>
    <n v="96"/>
    <n v="894"/>
    <m/>
    <n v="1"/>
    <m/>
    <m/>
    <m/>
    <m/>
    <n v="770"/>
    <m/>
    <m/>
    <m/>
    <m/>
    <m/>
    <m/>
    <m/>
    <m/>
    <m/>
    <m/>
    <m/>
    <m/>
    <m/>
    <m/>
    <m/>
    <n v="504"/>
    <n v="2"/>
    <n v="2"/>
    <m/>
    <m/>
    <x v="0"/>
  </r>
  <r>
    <m/>
    <s v="05-May"/>
    <s v="LAKE WYLIE"/>
    <m/>
    <n v="68"/>
    <n v="3939"/>
    <n v="163"/>
    <m/>
    <n v="4"/>
    <m/>
    <m/>
    <n v="2"/>
    <m/>
    <m/>
    <m/>
    <m/>
    <m/>
    <n v="4"/>
    <n v="5"/>
    <n v="2"/>
    <n v="9"/>
    <n v="3"/>
    <n v="50"/>
    <n v="51"/>
    <n v="11"/>
    <n v="91"/>
    <n v="3"/>
    <m/>
    <n v="0"/>
    <m/>
    <m/>
    <m/>
    <m/>
    <n v="0"/>
    <m/>
    <m/>
    <m/>
    <m/>
    <m/>
    <m/>
    <m/>
    <m/>
    <m/>
    <m/>
    <m/>
    <m/>
    <m/>
    <m/>
    <m/>
    <n v="411"/>
    <n v="1"/>
    <n v="9"/>
    <n v="1"/>
    <m/>
    <x v="0"/>
  </r>
  <r>
    <m/>
    <s v="05-May"/>
    <s v="YORK"/>
    <m/>
    <n v="64"/>
    <n v="3958"/>
    <n v="451"/>
    <m/>
    <n v="2"/>
    <m/>
    <m/>
    <n v="0"/>
    <m/>
    <m/>
    <m/>
    <m/>
    <m/>
    <n v="10"/>
    <n v="3"/>
    <n v="7"/>
    <n v="9"/>
    <n v="1"/>
    <n v="135"/>
    <n v="72"/>
    <n v="7"/>
    <n v="69"/>
    <n v="112"/>
    <m/>
    <m/>
    <m/>
    <m/>
    <m/>
    <m/>
    <m/>
    <m/>
    <m/>
    <m/>
    <m/>
    <m/>
    <m/>
    <m/>
    <m/>
    <m/>
    <m/>
    <m/>
    <m/>
    <m/>
    <m/>
    <m/>
    <n v="0"/>
    <n v="3"/>
    <n v="9"/>
    <n v="0"/>
    <m/>
    <x v="0"/>
  </r>
  <r>
    <m/>
    <s v="05-May"/>
    <s v="OUTREACH/BOOKMOBILE"/>
    <m/>
    <m/>
    <n v="571"/>
    <m/>
    <m/>
    <m/>
    <m/>
    <m/>
    <m/>
    <m/>
    <m/>
    <m/>
    <m/>
    <m/>
    <n v="1"/>
    <m/>
    <m/>
    <m/>
    <m/>
    <n v="8"/>
    <m/>
    <m/>
    <m/>
    <m/>
    <m/>
    <m/>
    <m/>
    <m/>
    <m/>
    <m/>
    <m/>
    <m/>
    <m/>
    <m/>
    <m/>
    <m/>
    <m/>
    <m/>
    <m/>
    <m/>
    <m/>
    <m/>
    <m/>
    <m/>
    <m/>
    <m/>
    <n v="133"/>
    <m/>
    <m/>
    <m/>
    <m/>
    <x v="0"/>
  </r>
  <r>
    <m/>
    <s v="05-Ma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5-May"/>
    <s v="YCL (System Wide)"/>
    <m/>
    <m/>
    <m/>
    <m/>
    <m/>
    <m/>
    <m/>
    <m/>
    <m/>
    <n v="4"/>
    <n v="1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5-Ma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5-Ma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5-May"/>
    <s v="YCL (System Wide)"/>
    <m/>
    <m/>
    <m/>
    <m/>
    <n v="0"/>
    <m/>
    <n v="89643"/>
    <n v="346"/>
    <m/>
    <m/>
    <m/>
    <m/>
    <m/>
    <n v="65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5-May"/>
    <s v="YCL (System Wide)"/>
    <m/>
    <n v="8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1-November"/>
    <s v="ROCK HILL"/>
    <m/>
    <m/>
    <n v="12852"/>
    <m/>
    <m/>
    <n v="6"/>
    <m/>
    <m/>
    <n v="20"/>
    <m/>
    <m/>
    <m/>
    <m/>
    <m/>
    <n v="23"/>
    <n v="5"/>
    <n v="8"/>
    <n v="18"/>
    <n v="4"/>
    <n v="900"/>
    <n v="132"/>
    <n v="1719"/>
    <n v="162"/>
    <n v="70"/>
    <m/>
    <n v="3"/>
    <m/>
    <m/>
    <m/>
    <m/>
    <n v="1645"/>
    <m/>
    <m/>
    <m/>
    <m/>
    <m/>
    <m/>
    <m/>
    <m/>
    <m/>
    <m/>
    <m/>
    <m/>
    <m/>
    <m/>
    <m/>
    <n v="140"/>
    <n v="17"/>
    <n v="76.25"/>
    <n v="8"/>
    <m/>
    <x v="0"/>
  </r>
  <r>
    <m/>
    <s v="11-November"/>
    <s v="CLOVER"/>
    <m/>
    <m/>
    <n v="2039"/>
    <n v="180"/>
    <m/>
    <m/>
    <m/>
    <m/>
    <m/>
    <m/>
    <m/>
    <m/>
    <m/>
    <m/>
    <n v="7"/>
    <n v="3"/>
    <n v="2"/>
    <n v="6"/>
    <n v="2"/>
    <n v="104"/>
    <n v="19"/>
    <n v="14"/>
    <n v="50"/>
    <n v="69"/>
    <m/>
    <m/>
    <m/>
    <m/>
    <m/>
    <m/>
    <m/>
    <m/>
    <m/>
    <m/>
    <m/>
    <m/>
    <m/>
    <m/>
    <m/>
    <m/>
    <m/>
    <m/>
    <m/>
    <m/>
    <m/>
    <m/>
    <n v="85"/>
    <n v="21"/>
    <n v="22"/>
    <m/>
    <m/>
    <x v="0"/>
  </r>
  <r>
    <m/>
    <s v="11-November"/>
    <s v="FORT MILL"/>
    <m/>
    <m/>
    <n v="8773"/>
    <n v="515"/>
    <m/>
    <n v="4"/>
    <m/>
    <m/>
    <n v="5"/>
    <m/>
    <m/>
    <m/>
    <m/>
    <m/>
    <n v="25"/>
    <n v="6"/>
    <n v="6"/>
    <n v="11"/>
    <n v="3"/>
    <n v="609"/>
    <n v="82"/>
    <n v="52"/>
    <n v="88"/>
    <n v="112"/>
    <m/>
    <m/>
    <m/>
    <m/>
    <m/>
    <m/>
    <m/>
    <m/>
    <m/>
    <m/>
    <m/>
    <m/>
    <m/>
    <m/>
    <m/>
    <m/>
    <m/>
    <m/>
    <m/>
    <m/>
    <m/>
    <m/>
    <n v="388"/>
    <m/>
    <m/>
    <m/>
    <m/>
    <x v="0"/>
  </r>
  <r>
    <m/>
    <s v="11-November"/>
    <s v="LAKE WYLIE"/>
    <m/>
    <n v="41"/>
    <n v="2877"/>
    <n v="149"/>
    <m/>
    <n v="7"/>
    <m/>
    <m/>
    <n v="2"/>
    <m/>
    <m/>
    <m/>
    <m/>
    <m/>
    <n v="7"/>
    <n v="5"/>
    <n v="2"/>
    <n v="8"/>
    <n v="1"/>
    <n v="122"/>
    <n v="44"/>
    <n v="5"/>
    <n v="60"/>
    <n v="8"/>
    <m/>
    <n v="0"/>
    <m/>
    <m/>
    <m/>
    <m/>
    <n v="0"/>
    <m/>
    <m/>
    <m/>
    <m/>
    <m/>
    <m/>
    <m/>
    <m/>
    <m/>
    <m/>
    <m/>
    <m/>
    <m/>
    <m/>
    <m/>
    <n v="349"/>
    <n v="14"/>
    <n v="85"/>
    <n v="4"/>
    <m/>
    <x v="0"/>
  </r>
  <r>
    <m/>
    <s v="11-November"/>
    <s v="YORK"/>
    <m/>
    <m/>
    <n v="3025"/>
    <n v="327"/>
    <m/>
    <n v="3"/>
    <m/>
    <m/>
    <n v="0"/>
    <m/>
    <m/>
    <m/>
    <m/>
    <m/>
    <n v="10"/>
    <n v="2"/>
    <n v="1"/>
    <n v="8"/>
    <m/>
    <n v="104"/>
    <n v="27"/>
    <n v="5"/>
    <n v="162"/>
    <m/>
    <m/>
    <n v="1"/>
    <m/>
    <m/>
    <m/>
    <m/>
    <n v="150"/>
    <m/>
    <m/>
    <m/>
    <m/>
    <m/>
    <m/>
    <m/>
    <m/>
    <m/>
    <m/>
    <m/>
    <m/>
    <m/>
    <m/>
    <m/>
    <n v="0"/>
    <n v="5"/>
    <n v="75"/>
    <n v="1"/>
    <m/>
    <x v="0"/>
  </r>
  <r>
    <m/>
    <s v="11-November"/>
    <s v="OUTREACH/BOOKMOBILE"/>
    <m/>
    <m/>
    <n v="830"/>
    <m/>
    <m/>
    <m/>
    <m/>
    <m/>
    <m/>
    <m/>
    <m/>
    <m/>
    <m/>
    <m/>
    <n v="4"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x v="0"/>
  </r>
  <r>
    <m/>
    <s v="11-Nov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1-November"/>
    <s v="YCL (System Wide)"/>
    <m/>
    <m/>
    <m/>
    <m/>
    <m/>
    <m/>
    <m/>
    <m/>
    <m/>
    <n v="4"/>
    <n v="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1-Nov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1-Nov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1-Nov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1-November"/>
    <s v="YCL (System Wide)"/>
    <m/>
    <m/>
    <m/>
    <m/>
    <n v="0"/>
    <m/>
    <n v="67938"/>
    <n v="270"/>
    <m/>
    <m/>
    <m/>
    <m/>
    <m/>
    <n v="38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1-November"/>
    <s v="YCL (System Wide)"/>
    <m/>
    <n v="3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0-October"/>
    <s v="OUTREACH/BOOKMOBILE"/>
    <m/>
    <m/>
    <n v="815"/>
    <m/>
    <m/>
    <m/>
    <m/>
    <m/>
    <m/>
    <m/>
    <m/>
    <m/>
    <m/>
    <m/>
    <n v="4"/>
    <m/>
    <m/>
    <m/>
    <m/>
    <n v="58"/>
    <m/>
    <m/>
    <m/>
    <m/>
    <m/>
    <m/>
    <m/>
    <m/>
    <m/>
    <m/>
    <m/>
    <m/>
    <m/>
    <m/>
    <m/>
    <m/>
    <m/>
    <m/>
    <m/>
    <m/>
    <m/>
    <m/>
    <m/>
    <m/>
    <m/>
    <m/>
    <n v="445"/>
    <m/>
    <m/>
    <n v="7"/>
    <m/>
    <x v="0"/>
  </r>
  <r>
    <m/>
    <s v="10-October"/>
    <s v="ROCK HILL"/>
    <m/>
    <m/>
    <n v="15812"/>
    <n v="1930"/>
    <m/>
    <n v="3"/>
    <m/>
    <m/>
    <n v="31"/>
    <m/>
    <m/>
    <m/>
    <m/>
    <m/>
    <n v="25"/>
    <n v="9"/>
    <n v="11"/>
    <n v="20"/>
    <n v="7"/>
    <n v="959"/>
    <n v="221"/>
    <n v="137"/>
    <n v="161"/>
    <n v="178"/>
    <m/>
    <n v="5"/>
    <m/>
    <m/>
    <m/>
    <m/>
    <n v="221"/>
    <m/>
    <m/>
    <m/>
    <m/>
    <m/>
    <m/>
    <m/>
    <m/>
    <m/>
    <m/>
    <m/>
    <m/>
    <m/>
    <m/>
    <m/>
    <n v="180"/>
    <n v="14"/>
    <n v="47.75"/>
    <n v="13"/>
    <m/>
    <x v="0"/>
  </r>
  <r>
    <m/>
    <s v="10-October"/>
    <s v="CLOVER"/>
    <m/>
    <n v="35"/>
    <n v="2983"/>
    <n v="288"/>
    <m/>
    <m/>
    <m/>
    <m/>
    <m/>
    <m/>
    <m/>
    <m/>
    <m/>
    <m/>
    <n v="12"/>
    <n v="2"/>
    <n v="2"/>
    <n v="7"/>
    <n v="3"/>
    <n v="140"/>
    <n v="16"/>
    <n v="11"/>
    <n v="60"/>
    <n v="251"/>
    <m/>
    <m/>
    <m/>
    <m/>
    <m/>
    <m/>
    <m/>
    <m/>
    <m/>
    <m/>
    <m/>
    <m/>
    <m/>
    <m/>
    <m/>
    <m/>
    <m/>
    <m/>
    <m/>
    <m/>
    <m/>
    <m/>
    <n v="86"/>
    <n v="30"/>
    <n v="76"/>
    <m/>
    <m/>
    <x v="0"/>
  </r>
  <r>
    <m/>
    <s v="10-October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0-October"/>
    <s v="FORT MILL"/>
    <m/>
    <m/>
    <n v="11091"/>
    <n v="729"/>
    <m/>
    <m/>
    <m/>
    <m/>
    <n v="5"/>
    <m/>
    <m/>
    <m/>
    <m/>
    <m/>
    <n v="40"/>
    <n v="6"/>
    <n v="8"/>
    <n v="10"/>
    <n v="4"/>
    <n v="806"/>
    <n v="82"/>
    <n v="71"/>
    <n v="100"/>
    <n v="108"/>
    <m/>
    <m/>
    <m/>
    <m/>
    <m/>
    <m/>
    <m/>
    <m/>
    <m/>
    <m/>
    <m/>
    <m/>
    <m/>
    <m/>
    <m/>
    <m/>
    <m/>
    <m/>
    <m/>
    <m/>
    <m/>
    <m/>
    <n v="328"/>
    <m/>
    <m/>
    <m/>
    <m/>
    <x v="0"/>
  </r>
  <r>
    <m/>
    <s v="10-October"/>
    <s v="LAKE WYLIE"/>
    <m/>
    <n v="47"/>
    <n v="3989"/>
    <n v="167"/>
    <m/>
    <n v="9"/>
    <m/>
    <m/>
    <n v="2"/>
    <m/>
    <m/>
    <m/>
    <m/>
    <m/>
    <n v="8"/>
    <n v="6"/>
    <n v="3"/>
    <n v="10"/>
    <n v="3"/>
    <n v="178"/>
    <n v="78"/>
    <n v="13"/>
    <n v="83"/>
    <n v="13"/>
    <m/>
    <n v="1"/>
    <m/>
    <m/>
    <m/>
    <m/>
    <n v="24"/>
    <m/>
    <m/>
    <m/>
    <m/>
    <m/>
    <m/>
    <m/>
    <m/>
    <m/>
    <m/>
    <m/>
    <m/>
    <m/>
    <m/>
    <m/>
    <n v="290"/>
    <n v="1"/>
    <n v="6"/>
    <n v="3"/>
    <m/>
    <x v="0"/>
  </r>
  <r>
    <m/>
    <s v="10-October"/>
    <s v="YORK"/>
    <m/>
    <m/>
    <n v="4509"/>
    <n v="616"/>
    <m/>
    <n v="1"/>
    <m/>
    <m/>
    <n v="0"/>
    <m/>
    <m/>
    <m/>
    <m/>
    <m/>
    <n v="11"/>
    <n v="4"/>
    <n v="2"/>
    <n v="9"/>
    <m/>
    <n v="152"/>
    <n v="116"/>
    <n v="11"/>
    <n v="77"/>
    <m/>
    <m/>
    <m/>
    <m/>
    <m/>
    <m/>
    <m/>
    <m/>
    <m/>
    <m/>
    <m/>
    <m/>
    <m/>
    <m/>
    <m/>
    <m/>
    <m/>
    <m/>
    <m/>
    <m/>
    <m/>
    <m/>
    <m/>
    <n v="46"/>
    <n v="6"/>
    <n v="12"/>
    <n v="2"/>
    <m/>
    <x v="0"/>
  </r>
  <r>
    <m/>
    <s v="10-October"/>
    <s v="OUTREACH/BOOKMOBILE"/>
    <m/>
    <m/>
    <n v="944"/>
    <m/>
    <m/>
    <m/>
    <m/>
    <m/>
    <m/>
    <m/>
    <m/>
    <m/>
    <m/>
    <m/>
    <m/>
    <m/>
    <m/>
    <m/>
    <n v="2"/>
    <m/>
    <m/>
    <m/>
    <m/>
    <n v="45"/>
    <m/>
    <m/>
    <m/>
    <m/>
    <m/>
    <m/>
    <m/>
    <m/>
    <m/>
    <m/>
    <m/>
    <m/>
    <m/>
    <m/>
    <m/>
    <m/>
    <m/>
    <m/>
    <m/>
    <m/>
    <m/>
    <m/>
    <n v="426"/>
    <m/>
    <m/>
    <n v="5"/>
    <m/>
    <x v="0"/>
  </r>
  <r>
    <m/>
    <s v="10-Octo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0-October"/>
    <s v="YCL (System Wide)"/>
    <m/>
    <m/>
    <m/>
    <m/>
    <m/>
    <m/>
    <m/>
    <m/>
    <m/>
    <n v="4"/>
    <n v="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0-Octo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0-Octo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0-October"/>
    <s v="YCL (System Wide)"/>
    <m/>
    <m/>
    <m/>
    <m/>
    <n v="0"/>
    <m/>
    <n v="85295"/>
    <n v="364"/>
    <m/>
    <m/>
    <m/>
    <m/>
    <m/>
    <n v="4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0-October"/>
    <s v="YCL (System Wide)"/>
    <m/>
    <n v="5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9-September"/>
    <s v="ROCK HILL"/>
    <m/>
    <n v="202"/>
    <n v="14352"/>
    <m/>
    <m/>
    <n v="2"/>
    <m/>
    <m/>
    <n v="26"/>
    <m/>
    <m/>
    <m/>
    <m/>
    <m/>
    <n v="27"/>
    <n v="7"/>
    <n v="11"/>
    <n v="21"/>
    <n v="7"/>
    <n v="1083"/>
    <n v="1357"/>
    <n v="123"/>
    <n v="184"/>
    <n v="813"/>
    <m/>
    <n v="8"/>
    <m/>
    <m/>
    <m/>
    <m/>
    <n v="2010"/>
    <m/>
    <m/>
    <m/>
    <m/>
    <m/>
    <m/>
    <m/>
    <m/>
    <m/>
    <m/>
    <m/>
    <m/>
    <m/>
    <m/>
    <m/>
    <n v="75"/>
    <n v="10"/>
    <n v="28"/>
    <n v="3"/>
    <m/>
    <x v="0"/>
  </r>
  <r>
    <m/>
    <s v="09-September"/>
    <s v="CLOVER"/>
    <m/>
    <n v="34"/>
    <n v="2576"/>
    <n v="265"/>
    <m/>
    <n v="1"/>
    <m/>
    <m/>
    <m/>
    <m/>
    <m/>
    <m/>
    <m/>
    <m/>
    <n v="9"/>
    <n v="2"/>
    <n v="2"/>
    <n v="6"/>
    <n v="2"/>
    <n v="118"/>
    <n v="28"/>
    <n v="8"/>
    <n v="48"/>
    <n v="65"/>
    <m/>
    <m/>
    <m/>
    <m/>
    <m/>
    <m/>
    <m/>
    <m/>
    <m/>
    <m/>
    <m/>
    <m/>
    <m/>
    <m/>
    <m/>
    <m/>
    <m/>
    <m/>
    <m/>
    <m/>
    <m/>
    <m/>
    <n v="115"/>
    <n v="4"/>
    <n v="9.5"/>
    <m/>
    <m/>
    <x v="0"/>
  </r>
  <r>
    <m/>
    <s v="09-September"/>
    <s v="FORT MILL"/>
    <m/>
    <n v="208"/>
    <n v="10362"/>
    <n v="672"/>
    <m/>
    <n v="2"/>
    <m/>
    <m/>
    <n v="5"/>
    <m/>
    <m/>
    <m/>
    <m/>
    <m/>
    <n v="31"/>
    <n v="5"/>
    <n v="7"/>
    <n v="11"/>
    <n v="1"/>
    <n v="819"/>
    <n v="66"/>
    <n v="85"/>
    <n v="88"/>
    <n v="62"/>
    <m/>
    <m/>
    <m/>
    <m/>
    <m/>
    <m/>
    <m/>
    <m/>
    <m/>
    <m/>
    <m/>
    <m/>
    <m/>
    <m/>
    <m/>
    <m/>
    <m/>
    <m/>
    <m/>
    <m/>
    <m/>
    <m/>
    <n v="407"/>
    <n v="2"/>
    <n v="9"/>
    <m/>
    <m/>
    <x v="0"/>
  </r>
  <r>
    <m/>
    <s v="09-September"/>
    <s v="LAKE WYLIE"/>
    <m/>
    <n v="40"/>
    <n v="3476"/>
    <n v="162"/>
    <m/>
    <n v="11"/>
    <m/>
    <m/>
    <n v="0"/>
    <m/>
    <m/>
    <m/>
    <m/>
    <m/>
    <n v="5"/>
    <n v="5"/>
    <n v="1"/>
    <n v="9"/>
    <n v="3"/>
    <n v="82"/>
    <n v="74"/>
    <n v="3"/>
    <n v="59"/>
    <n v="8"/>
    <m/>
    <n v="0"/>
    <m/>
    <m/>
    <m/>
    <m/>
    <n v="0"/>
    <m/>
    <m/>
    <m/>
    <m/>
    <m/>
    <m/>
    <m/>
    <m/>
    <m/>
    <m/>
    <m/>
    <m/>
    <m/>
    <m/>
    <m/>
    <n v="256"/>
    <n v="1"/>
    <n v="16.5"/>
    <n v="5"/>
    <m/>
    <x v="0"/>
  </r>
  <r>
    <m/>
    <s v="09-September"/>
    <s v="YORK"/>
    <m/>
    <n v="62"/>
    <n v="3624"/>
    <n v="432"/>
    <m/>
    <n v="3"/>
    <m/>
    <m/>
    <n v="0"/>
    <m/>
    <m/>
    <m/>
    <m/>
    <m/>
    <n v="13"/>
    <n v="3"/>
    <n v="1"/>
    <n v="9"/>
    <m/>
    <n v="201"/>
    <n v="81"/>
    <n v="4"/>
    <n v="78"/>
    <m/>
    <m/>
    <n v="1"/>
    <m/>
    <m/>
    <m/>
    <m/>
    <n v="200"/>
    <m/>
    <m/>
    <m/>
    <m/>
    <m/>
    <m/>
    <m/>
    <m/>
    <m/>
    <m/>
    <m/>
    <m/>
    <m/>
    <m/>
    <m/>
    <n v="26"/>
    <n v="11"/>
    <n v="16"/>
    <n v="4"/>
    <m/>
    <x v="0"/>
  </r>
  <r>
    <m/>
    <s v="09-September"/>
    <s v="OUTREACH/BOOKMOBILE"/>
    <m/>
    <n v="31"/>
    <n v="8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8"/>
    <n v="3"/>
    <n v="18"/>
    <n v="3"/>
    <m/>
    <x v="0"/>
  </r>
  <r>
    <m/>
    <s v="09-Sept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9-September"/>
    <s v="YCL (System Wide)"/>
    <m/>
    <m/>
    <m/>
    <m/>
    <m/>
    <m/>
    <m/>
    <m/>
    <m/>
    <n v="5"/>
    <n v="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9-Sept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9-Sept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9-September"/>
    <s v="YCL (System Wide)"/>
    <m/>
    <m/>
    <m/>
    <m/>
    <n v="0"/>
    <m/>
    <n v="77925"/>
    <n v="317"/>
    <m/>
    <m/>
    <m/>
    <m/>
    <m/>
    <n v="42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9-September"/>
    <s v="YCL (System Wide)"/>
    <m/>
    <n v="5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6-June"/>
    <s v="ROCK HILL"/>
    <n v="325"/>
    <m/>
    <n v="17538"/>
    <n v="1922"/>
    <n v="3497"/>
    <n v="3"/>
    <n v="19988"/>
    <n v="0"/>
    <m/>
    <n v="122"/>
    <n v="4"/>
    <n v="2857"/>
    <n v="6142"/>
    <m/>
    <n v="11"/>
    <n v="4"/>
    <n v="18"/>
    <n v="19"/>
    <n v="16"/>
    <n v="456"/>
    <n v="88"/>
    <n v="237"/>
    <n v="164"/>
    <n v="1609"/>
    <m/>
    <m/>
    <m/>
    <m/>
    <m/>
    <m/>
    <m/>
    <m/>
    <m/>
    <m/>
    <m/>
    <m/>
    <m/>
    <m/>
    <m/>
    <m/>
    <m/>
    <m/>
    <m/>
    <m/>
    <m/>
    <m/>
    <m/>
    <n v="15"/>
    <n v="14"/>
    <n v="18"/>
    <m/>
    <x v="0"/>
  </r>
  <r>
    <m/>
    <s v="06-June"/>
    <s v="CLOVER"/>
    <n v="50"/>
    <m/>
    <n v="3142"/>
    <n v="323"/>
    <n v="505"/>
    <n v="1"/>
    <n v="4091"/>
    <n v="50"/>
    <m/>
    <m/>
    <m/>
    <n v="992"/>
    <n v="1832"/>
    <m/>
    <n v="11"/>
    <n v="3"/>
    <n v="2"/>
    <n v="6"/>
    <n v="7"/>
    <n v="175"/>
    <n v="47"/>
    <n v="17"/>
    <n v="46"/>
    <n v="260"/>
    <m/>
    <m/>
    <m/>
    <m/>
    <m/>
    <m/>
    <m/>
    <m/>
    <m/>
    <m/>
    <m/>
    <m/>
    <m/>
    <m/>
    <m/>
    <m/>
    <m/>
    <m/>
    <m/>
    <m/>
    <m/>
    <m/>
    <m/>
    <n v="28"/>
    <n v="31"/>
    <n v="0"/>
    <m/>
    <x v="0"/>
  </r>
  <r>
    <m/>
    <s v="06-June"/>
    <s v="FORT MILL"/>
    <n v="329"/>
    <m/>
    <n v="12647"/>
    <n v="913"/>
    <n v="1944"/>
    <n v="0"/>
    <n v="24821"/>
    <n v="26"/>
    <m/>
    <m/>
    <m/>
    <n v="1523"/>
    <n v="6441"/>
    <m/>
    <n v="22"/>
    <n v="4"/>
    <n v="7"/>
    <n v="8"/>
    <n v="17"/>
    <n v="684"/>
    <n v="113"/>
    <n v="71"/>
    <n v="76"/>
    <n v="998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</r>
  <r>
    <m/>
    <s v="06-June"/>
    <s v="LAKE WYLIE"/>
    <n v="91"/>
    <m/>
    <n v="4927"/>
    <n v="202"/>
    <n v="665"/>
    <n v="6"/>
    <n v="6628"/>
    <n v="19"/>
    <m/>
    <m/>
    <m/>
    <n v="1337"/>
    <n v="2787"/>
    <m/>
    <n v="6"/>
    <n v="3"/>
    <n v="3"/>
    <n v="9"/>
    <n v="1"/>
    <n v="138"/>
    <n v="32"/>
    <n v="31"/>
    <n v="71"/>
    <n v="72"/>
    <m/>
    <m/>
    <m/>
    <m/>
    <m/>
    <m/>
    <m/>
    <m/>
    <m/>
    <m/>
    <m/>
    <m/>
    <m/>
    <m/>
    <m/>
    <m/>
    <m/>
    <m/>
    <m/>
    <m/>
    <m/>
    <m/>
    <m/>
    <n v="1"/>
    <n v="20"/>
    <n v="5"/>
    <m/>
    <x v="0"/>
  </r>
  <r>
    <m/>
    <s v="06-June"/>
    <s v="YORK"/>
    <n v="91"/>
    <m/>
    <n v="4363"/>
    <n v="482"/>
    <n v="877"/>
    <n v="2"/>
    <n v="5114"/>
    <n v="82"/>
    <m/>
    <m/>
    <m/>
    <n v="1349"/>
    <n v="2303"/>
    <m/>
    <n v="11"/>
    <n v="8"/>
    <n v="1"/>
    <n v="6"/>
    <n v="0"/>
    <n v="204"/>
    <n v="452"/>
    <n v="7"/>
    <n v="40"/>
    <n v="0"/>
    <m/>
    <m/>
    <m/>
    <m/>
    <m/>
    <m/>
    <m/>
    <m/>
    <m/>
    <m/>
    <m/>
    <m/>
    <m/>
    <m/>
    <m/>
    <m/>
    <m/>
    <m/>
    <m/>
    <m/>
    <m/>
    <m/>
    <m/>
    <n v="6"/>
    <n v="12"/>
    <n v="3"/>
    <m/>
    <x v="0"/>
  </r>
  <r>
    <m/>
    <s v="06-June"/>
    <s v="OUTREACH / BOOKMOBILE"/>
    <n v="36"/>
    <m/>
    <n v="756"/>
    <m/>
    <m/>
    <m/>
    <n v="1542"/>
    <m/>
    <m/>
    <m/>
    <m/>
    <n v="19"/>
    <n v="397"/>
    <m/>
    <n v="1"/>
    <n v="0"/>
    <n v="0"/>
    <n v="0"/>
    <n v="0"/>
    <n v="10"/>
    <n v="0"/>
    <n v="0"/>
    <n v="0"/>
    <n v="0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</r>
  <r>
    <m/>
    <s v="04-April"/>
    <s v="CLOVER"/>
    <m/>
    <n v="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4-April"/>
    <s v="FORT MILL"/>
    <m/>
    <n v="4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4-April"/>
    <s v="LAKE WYLIE"/>
    <m/>
    <n v="1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4-April"/>
    <s v="ROCK HILL"/>
    <m/>
    <n v="3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4-April"/>
    <s v="YORK"/>
    <m/>
    <n v="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4-April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4-April"/>
    <s v="ROCK HILL"/>
    <n v="218"/>
    <m/>
    <n v="15340"/>
    <n v="2034"/>
    <n v="3639"/>
    <n v="4"/>
    <n v="15145"/>
    <n v="139"/>
    <m/>
    <n v="6"/>
    <n v="116"/>
    <n v="2870"/>
    <n v="6318"/>
    <n v="563"/>
    <n v="22"/>
    <n v="6"/>
    <n v="15"/>
    <n v="29"/>
    <n v="6"/>
    <n v="890"/>
    <n v="277"/>
    <n v="162"/>
    <n v="292"/>
    <n v="156"/>
    <m/>
    <m/>
    <m/>
    <m/>
    <m/>
    <m/>
    <m/>
    <m/>
    <m/>
    <m/>
    <m/>
    <m/>
    <m/>
    <m/>
    <m/>
    <m/>
    <m/>
    <m/>
    <m/>
    <m/>
    <m/>
    <m/>
    <n v="12"/>
    <n v="14"/>
    <n v="22"/>
    <n v="8"/>
    <m/>
    <x v="1"/>
  </r>
  <r>
    <m/>
    <s v="04-April"/>
    <s v="CLOVER"/>
    <n v="62"/>
    <m/>
    <n v="2761"/>
    <n v="214"/>
    <n v="557"/>
    <n v="1"/>
    <n v="3132"/>
    <n v="59"/>
    <m/>
    <m/>
    <m/>
    <n v="985"/>
    <n v="2044"/>
    <n v="163"/>
    <n v="8"/>
    <n v="2"/>
    <n v="2"/>
    <n v="1"/>
    <n v="3"/>
    <n v="85"/>
    <n v="21"/>
    <n v="6"/>
    <n v="4"/>
    <n v="30"/>
    <m/>
    <m/>
    <m/>
    <m/>
    <m/>
    <m/>
    <m/>
    <m/>
    <m/>
    <m/>
    <m/>
    <m/>
    <m/>
    <m/>
    <m/>
    <m/>
    <m/>
    <m/>
    <m/>
    <m/>
    <m/>
    <m/>
    <n v="1"/>
    <n v="4"/>
    <n v="25"/>
    <n v="0"/>
    <m/>
    <x v="1"/>
  </r>
  <r>
    <m/>
    <s v="04-April"/>
    <s v="FORT MILL"/>
    <n v="203"/>
    <m/>
    <n v="11742"/>
    <n v="781"/>
    <n v="1868"/>
    <n v="6"/>
    <n v="19642"/>
    <n v="28"/>
    <m/>
    <m/>
    <m/>
    <n v="1762"/>
    <n v="6719"/>
    <n v="380"/>
    <n v="21"/>
    <n v="9"/>
    <n v="7"/>
    <n v="11"/>
    <n v="6"/>
    <n v="754"/>
    <n v="778"/>
    <n v="65"/>
    <n v="94"/>
    <n v="265"/>
    <m/>
    <m/>
    <m/>
    <m/>
    <m/>
    <m/>
    <m/>
    <m/>
    <m/>
    <m/>
    <m/>
    <m/>
    <m/>
    <m/>
    <m/>
    <m/>
    <m/>
    <m/>
    <m/>
    <m/>
    <m/>
    <m/>
    <n v="5"/>
    <n v="4"/>
    <n v="20"/>
    <n v="0"/>
    <m/>
    <x v="1"/>
  </r>
  <r>
    <m/>
    <s v="04-April"/>
    <s v="LAKE WYLIE"/>
    <n v="64"/>
    <m/>
    <n v="3868"/>
    <n v="188"/>
    <n v="857"/>
    <n v="10"/>
    <n v="4663"/>
    <n v="15"/>
    <m/>
    <m/>
    <m/>
    <n v="1418"/>
    <n v="2758"/>
    <n v="107"/>
    <n v="4"/>
    <n v="4"/>
    <n v="2"/>
    <n v="12"/>
    <n v="2"/>
    <n v="40"/>
    <n v="20"/>
    <n v="9"/>
    <n v="100"/>
    <n v="11"/>
    <m/>
    <m/>
    <m/>
    <m/>
    <m/>
    <m/>
    <m/>
    <m/>
    <m/>
    <m/>
    <m/>
    <m/>
    <m/>
    <m/>
    <m/>
    <m/>
    <m/>
    <m/>
    <m/>
    <m/>
    <m/>
    <m/>
    <n v="9"/>
    <n v="1"/>
    <n v="25"/>
    <n v="5"/>
    <m/>
    <x v="1"/>
  </r>
  <r>
    <m/>
    <s v="04-April"/>
    <s v="YORK"/>
    <n v="82"/>
    <m/>
    <n v="3598"/>
    <n v="377"/>
    <n v="932"/>
    <n v="2"/>
    <n v="3804"/>
    <n v="112"/>
    <m/>
    <m/>
    <m/>
    <n v="1341"/>
    <n v="2373"/>
    <n v="184"/>
    <n v="12"/>
    <n v="3"/>
    <n v="1"/>
    <n v="7"/>
    <n v="0"/>
    <n v="206"/>
    <n v="66"/>
    <n v="4"/>
    <n v="61"/>
    <n v="0"/>
    <m/>
    <m/>
    <m/>
    <m/>
    <m/>
    <m/>
    <m/>
    <m/>
    <m/>
    <m/>
    <m/>
    <m/>
    <m/>
    <m/>
    <m/>
    <m/>
    <m/>
    <m/>
    <m/>
    <m/>
    <m/>
    <m/>
    <n v="2"/>
    <n v="4"/>
    <n v="28"/>
    <n v="0"/>
    <m/>
    <x v="1"/>
  </r>
  <r>
    <m/>
    <s v="04-April"/>
    <s v="OUTREACH / BOOKMOBILE"/>
    <n v="43"/>
    <m/>
    <n v="905"/>
    <m/>
    <m/>
    <m/>
    <n v="1647"/>
    <n v="4"/>
    <m/>
    <m/>
    <m/>
    <n v="15"/>
    <n v="404"/>
    <m/>
    <n v="1"/>
    <n v="0"/>
    <n v="0"/>
    <n v="2"/>
    <n v="0"/>
    <n v="25"/>
    <n v="0"/>
    <n v="0"/>
    <n v="16"/>
    <n v="0"/>
    <m/>
    <m/>
    <m/>
    <m/>
    <m/>
    <m/>
    <m/>
    <m/>
    <m/>
    <m/>
    <m/>
    <m/>
    <m/>
    <m/>
    <m/>
    <m/>
    <m/>
    <m/>
    <m/>
    <m/>
    <m/>
    <m/>
    <n v="21"/>
    <n v="2"/>
    <n v="8"/>
    <n v="0"/>
    <m/>
    <x v="1"/>
  </r>
  <r>
    <n v="45902.601480057871"/>
    <s v="08-August"/>
    <s v="OUTREACH / BOOKMOBILE"/>
    <n v="19"/>
    <n v="20"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n v="20"/>
    <m/>
    <m/>
    <m/>
    <m/>
    <m/>
    <m/>
    <m/>
    <m/>
    <m/>
    <m/>
    <m/>
    <n v="3"/>
    <n v="184"/>
    <n v="170"/>
    <n v="7"/>
    <n v="62"/>
    <n v="1"/>
    <m/>
    <x v="1"/>
  </r>
  <r>
    <n v="45902.611247708337"/>
    <s v="08-August"/>
    <s v="YORK"/>
    <n v="60"/>
    <n v="118"/>
    <n v="3914"/>
    <n v="505"/>
    <n v="781"/>
    <n v="2"/>
    <n v="5939"/>
    <n v="92"/>
    <n v="0"/>
    <m/>
    <m/>
    <m/>
    <m/>
    <n v="1090"/>
    <m/>
    <m/>
    <m/>
    <n v="3"/>
    <m/>
    <m/>
    <m/>
    <m/>
    <n v="25"/>
    <m/>
    <m/>
    <m/>
    <m/>
    <m/>
    <m/>
    <m/>
    <m/>
    <m/>
    <m/>
    <m/>
    <m/>
    <m/>
    <m/>
    <m/>
    <m/>
    <m/>
    <m/>
    <m/>
    <m/>
    <m/>
    <n v="1"/>
    <n v="150"/>
    <n v="175"/>
    <n v="10"/>
    <n v="80"/>
    <n v="0"/>
    <m/>
    <x v="1"/>
  </r>
  <r>
    <n v="45902.656003229167"/>
    <s v="08-August"/>
    <s v="LAKE WYLIE"/>
    <n v="72"/>
    <n v="15"/>
    <n v="3764"/>
    <n v="167"/>
    <n v="524"/>
    <n v="12"/>
    <n v="5908"/>
    <n v="14"/>
    <n v="3"/>
    <m/>
    <m/>
    <m/>
    <m/>
    <n v="491"/>
    <n v="0"/>
    <n v="0"/>
    <n v="0"/>
    <n v="7"/>
    <n v="2"/>
    <n v="0"/>
    <n v="0"/>
    <n v="0"/>
    <n v="5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7"/>
    <n v="10"/>
    <n v="88.5"/>
    <n v="6"/>
    <m/>
    <x v="1"/>
  </r>
  <r>
    <n v="45903.40756363426"/>
    <s v="08-August"/>
    <s v="CLOVER"/>
    <n v="38"/>
    <n v="4"/>
    <n v="2694"/>
    <n v="223"/>
    <n v="419"/>
    <n v="2"/>
    <n v="5121"/>
    <n v="66"/>
    <n v="0"/>
    <m/>
    <m/>
    <m/>
    <m/>
    <n v="1146"/>
    <n v="0"/>
    <n v="1"/>
    <n v="3"/>
    <n v="3"/>
    <n v="0"/>
    <n v="0"/>
    <n v="11"/>
    <n v="17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"/>
    <n v="6"/>
    <n v="36.5"/>
    <n v="0"/>
    <m/>
    <x v="1"/>
  </r>
  <r>
    <n v="45903.637155300923"/>
    <s v="08-August"/>
    <s v="FORT MILL"/>
    <n v="213"/>
    <n v="43"/>
    <n v="10805"/>
    <n v="709"/>
    <n v="1621"/>
    <n v="3"/>
    <n v="19906"/>
    <n v="33"/>
    <n v="6"/>
    <m/>
    <m/>
    <m/>
    <m/>
    <n v="1958"/>
    <m/>
    <m/>
    <n v="1"/>
    <n v="17"/>
    <n v="1"/>
    <m/>
    <m/>
    <n v="30"/>
    <n v="114"/>
    <n v="80"/>
    <m/>
    <m/>
    <m/>
    <m/>
    <m/>
    <m/>
    <m/>
    <m/>
    <m/>
    <m/>
    <m/>
    <m/>
    <m/>
    <m/>
    <m/>
    <m/>
    <m/>
    <m/>
    <m/>
    <m/>
    <m/>
    <m/>
    <n v="988"/>
    <n v="17"/>
    <n v="104"/>
    <m/>
    <m/>
    <x v="1"/>
  </r>
  <r>
    <n v="45905.533074594903"/>
    <s v="08-August"/>
    <s v="ROCK HILL"/>
    <n v="199"/>
    <n v="57"/>
    <n v="15257"/>
    <n v="199"/>
    <n v="3482"/>
    <n v="13"/>
    <n v="171619"/>
    <n v="123"/>
    <n v="42"/>
    <n v="5"/>
    <n v="139"/>
    <n v="9611"/>
    <n v="23150"/>
    <n v="1714"/>
    <n v="0"/>
    <n v="0"/>
    <n v="5"/>
    <n v="20"/>
    <n v="0"/>
    <n v="0"/>
    <n v="0"/>
    <n v="43"/>
    <n v="175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5"/>
    <n v="35"/>
    <n v="0"/>
    <n v="0"/>
    <n v="0"/>
    <n v="385"/>
    <n v="39"/>
    <n v="221"/>
    <n v="4"/>
    <m/>
    <x v="1"/>
  </r>
  <r>
    <m/>
    <s v="12-December"/>
    <s v="LAKE WYLIE"/>
    <n v="41"/>
    <n v="15"/>
    <n v="3342"/>
    <n v="169"/>
    <n v="561"/>
    <n v="17"/>
    <n v="4560"/>
    <n v="30"/>
    <n v="1"/>
    <m/>
    <m/>
    <m/>
    <m/>
    <m/>
    <n v="4"/>
    <n v="2"/>
    <n v="2"/>
    <n v="9"/>
    <n v="0"/>
    <n v="38"/>
    <n v="42"/>
    <n v="21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9"/>
    <n v="2"/>
    <n v="5"/>
    <n v="3"/>
    <s v="rae.lovvorn@yclibrary.org"/>
    <x v="1"/>
  </r>
  <r>
    <m/>
    <s v="12-December"/>
    <s v="YORK"/>
    <n v="43"/>
    <n v="9"/>
    <n v="4352"/>
    <n v="429"/>
    <n v="867"/>
    <n v="21"/>
    <n v="7039"/>
    <n v="120"/>
    <n v="0"/>
    <m/>
    <m/>
    <m/>
    <m/>
    <n v="1236"/>
    <n v="10"/>
    <n v="2"/>
    <n v="1"/>
    <n v="8"/>
    <n v="1"/>
    <n v="201"/>
    <n v="39"/>
    <n v="6"/>
    <n v="63"/>
    <n v="16"/>
    <m/>
    <m/>
    <m/>
    <m/>
    <m/>
    <m/>
    <m/>
    <m/>
    <m/>
    <m/>
    <m/>
    <m/>
    <m/>
    <m/>
    <m/>
    <m/>
    <m/>
    <m/>
    <m/>
    <m/>
    <m/>
    <m/>
    <n v="313"/>
    <m/>
    <m/>
    <m/>
    <s v="jennifer.stanley@yclibrary.org"/>
    <x v="1"/>
  </r>
  <r>
    <m/>
    <s v="12-December"/>
    <s v="FORT MILL"/>
    <n v="181"/>
    <n v="50"/>
    <n v="11975"/>
    <n v="778"/>
    <n v="1679"/>
    <n v="7"/>
    <n v="36502"/>
    <n v="74"/>
    <n v="5"/>
    <m/>
    <m/>
    <m/>
    <m/>
    <n v="2312"/>
    <n v="24"/>
    <n v="4"/>
    <n v="6"/>
    <n v="13"/>
    <n v="5"/>
    <n v="739"/>
    <n v="67"/>
    <n v="65"/>
    <n v="109"/>
    <n v="202"/>
    <m/>
    <m/>
    <m/>
    <m/>
    <m/>
    <m/>
    <m/>
    <m/>
    <m/>
    <m/>
    <m/>
    <m/>
    <m/>
    <m/>
    <m/>
    <m/>
    <m/>
    <m/>
    <m/>
    <m/>
    <m/>
    <m/>
    <n v="2016"/>
    <n v="1"/>
    <n v="1"/>
    <m/>
    <s v="tom.holloway@yclibrary.org"/>
    <x v="1"/>
  </r>
  <r>
    <m/>
    <s v="12-December"/>
    <s v="OUTREACH / BOOKMOBILE"/>
    <n v="7"/>
    <n v="2"/>
    <n v="792"/>
    <m/>
    <n v="2"/>
    <m/>
    <n v="1256"/>
    <n v="2"/>
    <m/>
    <m/>
    <m/>
    <m/>
    <m/>
    <m/>
    <m/>
    <m/>
    <m/>
    <m/>
    <m/>
    <m/>
    <m/>
    <m/>
    <m/>
    <m/>
    <n v="3"/>
    <m/>
    <m/>
    <n v="3"/>
    <m/>
    <n v="105"/>
    <m/>
    <m/>
    <n v="70"/>
    <m/>
    <m/>
    <m/>
    <m/>
    <m/>
    <m/>
    <m/>
    <m/>
    <m/>
    <m/>
    <m/>
    <m/>
    <m/>
    <n v="295"/>
    <n v="7"/>
    <n v="135.5"/>
    <n v="3"/>
    <s v="jennifer.strokis@yclibrary.org"/>
    <x v="1"/>
  </r>
  <r>
    <m/>
    <s v="12-December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11"/>
    <m/>
    <s v="martin.house@yclibrary.org"/>
    <x v="1"/>
  </r>
  <r>
    <m/>
    <s v="12-December"/>
    <s v="ROCK HILL"/>
    <n v="2"/>
    <n v="19"/>
    <n v="0"/>
    <n v="0"/>
    <n v="0"/>
    <n v="0"/>
    <n v="38"/>
    <n v="0"/>
    <n v="0"/>
    <n v="0"/>
    <n v="75"/>
    <n v="1825"/>
    <n v="5333"/>
    <n v="0"/>
    <n v="0"/>
    <n v="0"/>
    <n v="0"/>
    <n v="0"/>
    <n v="0"/>
    <n v="0"/>
    <n v="0"/>
    <n v="0"/>
    <n v="0"/>
    <n v="0"/>
    <n v="20"/>
    <n v="3"/>
    <n v="13"/>
    <n v="8"/>
    <n v="4"/>
    <n v="500"/>
    <n v="74"/>
    <n v="367"/>
    <n v="71"/>
    <n v="121"/>
    <n v="0"/>
    <n v="0"/>
    <n v="0"/>
    <n v="2"/>
    <n v="0"/>
    <n v="0"/>
    <n v="0"/>
    <n v="0"/>
    <n v="43"/>
    <n v="0"/>
    <m/>
    <m/>
    <n v="133"/>
    <n v="27"/>
    <n v="134.25"/>
    <n v="0"/>
    <s v="amanda.antonacci@yclibrary.org"/>
    <x v="1"/>
  </r>
  <r>
    <m/>
    <s v="02-February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2-February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2-February"/>
    <s v="LAKE WYLI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2-February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2-February"/>
    <s v="YOR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2-February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2-February"/>
    <s v="ROCK HILL"/>
    <n v="218"/>
    <m/>
    <n v="13867"/>
    <n v="1859"/>
    <n v="2360"/>
    <n v="6"/>
    <n v="14107"/>
    <n v="136"/>
    <m/>
    <n v="2"/>
    <n v="92"/>
    <n v="2747"/>
    <n v="5962"/>
    <n v="596"/>
    <n v="28"/>
    <n v="5"/>
    <n v="12"/>
    <n v="29"/>
    <n v="1"/>
    <n v="940"/>
    <n v="123"/>
    <n v="131"/>
    <n v="143"/>
    <n v="51"/>
    <m/>
    <m/>
    <m/>
    <m/>
    <m/>
    <m/>
    <m/>
    <m/>
    <m/>
    <m/>
    <m/>
    <m/>
    <m/>
    <m/>
    <m/>
    <m/>
    <m/>
    <m/>
    <m/>
    <m/>
    <m/>
    <m/>
    <n v="13"/>
    <n v="50"/>
    <n v="266"/>
    <n v="7"/>
    <m/>
    <x v="1"/>
  </r>
  <r>
    <m/>
    <s v="02-February"/>
    <s v="CLOVER"/>
    <n v="29"/>
    <m/>
    <n v="2241"/>
    <n v="207"/>
    <n v="589"/>
    <n v="0"/>
    <n v="2693"/>
    <n v="58"/>
    <m/>
    <m/>
    <m/>
    <n v="985"/>
    <n v="1846"/>
    <n v="100"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8"/>
    <n v="35"/>
    <n v="60"/>
    <n v="0"/>
    <m/>
    <x v="1"/>
  </r>
  <r>
    <m/>
    <s v="02-February"/>
    <s v="FORT MILL"/>
    <n v="208"/>
    <m/>
    <n v="11414"/>
    <n v="686"/>
    <n v="1730"/>
    <n v="14"/>
    <n v="17829"/>
    <n v="27"/>
    <m/>
    <m/>
    <m/>
    <n v="1641"/>
    <n v="5960"/>
    <n v="282"/>
    <n v="23"/>
    <n v="6"/>
    <n v="7"/>
    <n v="14"/>
    <n v="4"/>
    <n v="683"/>
    <n v="66"/>
    <n v="93"/>
    <n v="116"/>
    <n v="154"/>
    <m/>
    <m/>
    <m/>
    <m/>
    <m/>
    <m/>
    <m/>
    <m/>
    <m/>
    <m/>
    <m/>
    <m/>
    <m/>
    <m/>
    <m/>
    <m/>
    <m/>
    <m/>
    <m/>
    <m/>
    <m/>
    <m/>
    <n v="5"/>
    <n v="16"/>
    <n v="221"/>
    <n v="0"/>
    <m/>
    <x v="1"/>
  </r>
  <r>
    <m/>
    <s v="02-February"/>
    <s v="LAKE WYLIE"/>
    <n v="54"/>
    <m/>
    <n v="3403"/>
    <n v="193"/>
    <n v="992"/>
    <n v="11"/>
    <n v="4250"/>
    <n v="12"/>
    <m/>
    <m/>
    <m/>
    <n v="1347"/>
    <n v="2470"/>
    <n v="62"/>
    <n v="5"/>
    <n v="4"/>
    <n v="2"/>
    <n v="13"/>
    <n v="0"/>
    <n v="52"/>
    <n v="47"/>
    <n v="8"/>
    <n v="118"/>
    <n v="0"/>
    <m/>
    <m/>
    <m/>
    <m/>
    <m/>
    <m/>
    <m/>
    <m/>
    <m/>
    <m/>
    <m/>
    <m/>
    <m/>
    <m/>
    <m/>
    <m/>
    <m/>
    <m/>
    <m/>
    <m/>
    <m/>
    <m/>
    <n v="11"/>
    <n v="4"/>
    <n v="86"/>
    <n v="5"/>
    <m/>
    <x v="1"/>
  </r>
  <r>
    <m/>
    <s v="02-February"/>
    <s v="YORK"/>
    <n v="36"/>
    <m/>
    <n v="3286"/>
    <n v="409"/>
    <n v="975"/>
    <n v="5"/>
    <n v="3430"/>
    <n v="96"/>
    <m/>
    <m/>
    <m/>
    <n v="1192"/>
    <n v="2195"/>
    <n v="218"/>
    <n v="7"/>
    <n v="3"/>
    <n v="1"/>
    <n v="8"/>
    <n v="1"/>
    <n v="73"/>
    <n v="68"/>
    <n v="5"/>
    <n v="67"/>
    <n v="20"/>
    <m/>
    <m/>
    <m/>
    <m/>
    <m/>
    <m/>
    <m/>
    <m/>
    <m/>
    <m/>
    <m/>
    <m/>
    <m/>
    <m/>
    <m/>
    <m/>
    <m/>
    <m/>
    <m/>
    <m/>
    <m/>
    <m/>
    <n v="2"/>
    <n v="18"/>
    <n v="87"/>
    <n v="2"/>
    <m/>
    <x v="1"/>
  </r>
  <r>
    <m/>
    <s v="02-February"/>
    <s v="OUTREACH / BOOKMOBILE"/>
    <n v="24"/>
    <m/>
    <n v="13867"/>
    <m/>
    <m/>
    <m/>
    <n v="1764"/>
    <n v="4"/>
    <m/>
    <m/>
    <m/>
    <n v="15"/>
    <n v="421"/>
    <m/>
    <n v="4"/>
    <n v="0"/>
    <n v="0"/>
    <n v="0"/>
    <n v="0"/>
    <n v="104"/>
    <n v="0"/>
    <n v="0"/>
    <n v="0"/>
    <n v="0"/>
    <m/>
    <m/>
    <m/>
    <m/>
    <m/>
    <m/>
    <m/>
    <m/>
    <m/>
    <m/>
    <m/>
    <m/>
    <m/>
    <m/>
    <m/>
    <m/>
    <m/>
    <m/>
    <m/>
    <m/>
    <m/>
    <m/>
    <n v="0"/>
    <n v="8"/>
    <n v="58"/>
    <n v="0"/>
    <m/>
    <x v="1"/>
  </r>
  <r>
    <m/>
    <s v="01-January"/>
    <s v="ROCK HILL"/>
    <m/>
    <n v="181"/>
    <n v="13105"/>
    <n v="1617"/>
    <n v="3059"/>
    <n v="2"/>
    <n v="14481"/>
    <n v="136"/>
    <m/>
    <n v="7"/>
    <n v="105"/>
    <m/>
    <m/>
    <n v="749"/>
    <n v="22"/>
    <n v="5"/>
    <n v="5"/>
    <n v="18"/>
    <n v="8"/>
    <n v="913"/>
    <n v="99"/>
    <n v="47"/>
    <n v="137"/>
    <n v="364"/>
    <m/>
    <m/>
    <m/>
    <m/>
    <m/>
    <m/>
    <m/>
    <m/>
    <m/>
    <m/>
    <m/>
    <m/>
    <m/>
    <m/>
    <m/>
    <m/>
    <m/>
    <m/>
    <m/>
    <m/>
    <m/>
    <m/>
    <n v="47"/>
    <n v="9"/>
    <n v="48"/>
    <n v="9"/>
    <m/>
    <x v="1"/>
  </r>
  <r>
    <m/>
    <s v="01-January"/>
    <s v="CLOVER"/>
    <m/>
    <n v="27"/>
    <n v="2152"/>
    <n v="216"/>
    <n v="457"/>
    <n v="1"/>
    <n v="2594"/>
    <n v="62"/>
    <m/>
    <m/>
    <m/>
    <m/>
    <m/>
    <n v="190"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7"/>
    <n v="38"/>
    <n v="27"/>
    <n v="0"/>
    <m/>
    <x v="1"/>
  </r>
  <r>
    <m/>
    <s v="01-January"/>
    <s v="FORT MILL"/>
    <m/>
    <n v="202"/>
    <n v="10010"/>
    <n v="679"/>
    <n v="1570"/>
    <n v="6"/>
    <n v="18615"/>
    <n v="28"/>
    <m/>
    <m/>
    <m/>
    <m/>
    <m/>
    <n v="160"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5"/>
    <n v="0"/>
    <n v="0"/>
    <n v="0"/>
    <m/>
    <x v="1"/>
  </r>
  <r>
    <m/>
    <s v="01-January"/>
    <s v="LAKE WYLIE"/>
    <m/>
    <n v="46"/>
    <n v="3150"/>
    <n v="138"/>
    <n v="742"/>
    <n v="9"/>
    <n v="4442"/>
    <n v="16"/>
    <m/>
    <m/>
    <m/>
    <m/>
    <m/>
    <n v="87"/>
    <n v="1"/>
    <n v="2"/>
    <n v="2"/>
    <n v="10"/>
    <n v="0"/>
    <n v="8"/>
    <n v="6"/>
    <n v="4"/>
    <n v="105"/>
    <n v="0"/>
    <m/>
    <m/>
    <m/>
    <m/>
    <m/>
    <m/>
    <m/>
    <m/>
    <m/>
    <m/>
    <m/>
    <m/>
    <m/>
    <m/>
    <m/>
    <m/>
    <m/>
    <m/>
    <m/>
    <m/>
    <m/>
    <m/>
    <n v="7"/>
    <n v="1"/>
    <n v="9"/>
    <n v="2"/>
    <m/>
    <x v="1"/>
  </r>
  <r>
    <m/>
    <s v="01-January"/>
    <s v="YORK"/>
    <m/>
    <n v="56"/>
    <n v="3430"/>
    <n v="395"/>
    <n v="457"/>
    <n v="3"/>
    <n v="3551"/>
    <n v="104"/>
    <m/>
    <m/>
    <m/>
    <m/>
    <m/>
    <n v="575"/>
    <n v="10"/>
    <n v="2"/>
    <n v="2"/>
    <n v="9"/>
    <n v="0"/>
    <n v="146"/>
    <n v="56"/>
    <n v="15"/>
    <n v="91"/>
    <n v="0"/>
    <m/>
    <m/>
    <m/>
    <m/>
    <m/>
    <m/>
    <m/>
    <m/>
    <m/>
    <m/>
    <m/>
    <m/>
    <m/>
    <m/>
    <m/>
    <m/>
    <m/>
    <m/>
    <m/>
    <m/>
    <m/>
    <m/>
    <n v="2"/>
    <n v="4"/>
    <n v="16"/>
    <n v="3"/>
    <m/>
    <x v="1"/>
  </r>
  <r>
    <m/>
    <s v="01-January"/>
    <s v="OUTREACH / BOOKMOBILE"/>
    <m/>
    <n v="7"/>
    <n v="625"/>
    <m/>
    <m/>
    <m/>
    <n v="1342"/>
    <n v="4"/>
    <m/>
    <m/>
    <m/>
    <m/>
    <m/>
    <m/>
    <n v="3"/>
    <n v="0"/>
    <n v="0"/>
    <n v="0"/>
    <n v="0"/>
    <n v="96"/>
    <n v="0"/>
    <n v="0"/>
    <n v="0"/>
    <n v="0"/>
    <m/>
    <m/>
    <m/>
    <m/>
    <m/>
    <m/>
    <m/>
    <m/>
    <m/>
    <m/>
    <m/>
    <m/>
    <m/>
    <m/>
    <m/>
    <m/>
    <m/>
    <m/>
    <m/>
    <m/>
    <m/>
    <m/>
    <n v="1"/>
    <n v="1"/>
    <n v="1"/>
    <n v="0"/>
    <m/>
    <x v="1"/>
  </r>
  <r>
    <n v="45887.602997870366"/>
    <s v="07-July"/>
    <s v="OUTREACH / BOOKMOBILE"/>
    <n v="13"/>
    <n v="6"/>
    <n v="12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n v="246"/>
    <m/>
    <m/>
    <n v="1"/>
    <m/>
    <x v="1"/>
  </r>
  <r>
    <n v="45887.60700581019"/>
    <s v="07-July"/>
    <s v="CLOVER"/>
    <n v="34"/>
    <n v="12"/>
    <n v="3515"/>
    <n v="245"/>
    <n v="477"/>
    <n v="1"/>
    <m/>
    <m/>
    <m/>
    <m/>
    <m/>
    <m/>
    <m/>
    <m/>
    <n v="10"/>
    <n v="3"/>
    <n v="7"/>
    <n v="5"/>
    <n v="6"/>
    <n v="114"/>
    <n v="39"/>
    <n v="39"/>
    <n v="36"/>
    <n v="126"/>
    <m/>
    <m/>
    <m/>
    <m/>
    <m/>
    <m/>
    <m/>
    <m/>
    <m/>
    <m/>
    <m/>
    <m/>
    <m/>
    <m/>
    <m/>
    <m/>
    <m/>
    <m/>
    <m/>
    <m/>
    <n v="1"/>
    <m/>
    <n v="4"/>
    <n v="14"/>
    <n v="15.8"/>
    <m/>
    <m/>
    <x v="1"/>
  </r>
  <r>
    <n v="45887.614011180558"/>
    <s v="07-July"/>
    <s v="FORT MILL"/>
    <n v="252"/>
    <n v="76"/>
    <n v="15128"/>
    <n v="772"/>
    <n v="2086"/>
    <m/>
    <m/>
    <m/>
    <m/>
    <m/>
    <m/>
    <m/>
    <m/>
    <m/>
    <n v="24"/>
    <n v="6"/>
    <n v="8"/>
    <n v="12"/>
    <n v="14"/>
    <n v="731"/>
    <n v="148"/>
    <n v="269"/>
    <n v="117"/>
    <n v="803"/>
    <m/>
    <n v="1"/>
    <m/>
    <m/>
    <m/>
    <m/>
    <m/>
    <m/>
    <m/>
    <m/>
    <m/>
    <m/>
    <m/>
    <m/>
    <m/>
    <m/>
    <m/>
    <m/>
    <m/>
    <m/>
    <m/>
    <m/>
    <n v="4"/>
    <n v="9"/>
    <n v="10"/>
    <m/>
    <m/>
    <x v="1"/>
  </r>
  <r>
    <n v="45888.369058564807"/>
    <s v="07-July"/>
    <s v="LAKE WYLIE"/>
    <n v="67"/>
    <n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n v="45891.481946377316"/>
    <s v="07-July"/>
    <s v="ROCK HILL"/>
    <n v="223"/>
    <n v="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n v="45894.539856030096"/>
    <s v="07-July"/>
    <s v="ROCK HILL"/>
    <m/>
    <m/>
    <n v="20248"/>
    <n v="2158"/>
    <n v="3826"/>
    <n v="20"/>
    <n v="33792"/>
    <n v="141"/>
    <n v="27"/>
    <m/>
    <n v="123"/>
    <n v="7"/>
    <m/>
    <n v="2011"/>
    <n v="12"/>
    <n v="6"/>
    <n v="21"/>
    <n v="21"/>
    <n v="13"/>
    <n v="547"/>
    <n v="226"/>
    <n v="398"/>
    <n v="192"/>
    <n v="1385"/>
    <m/>
    <n v="4"/>
    <m/>
    <m/>
    <m/>
    <m/>
    <n v="1602"/>
    <m/>
    <m/>
    <m/>
    <m/>
    <n v="2"/>
    <m/>
    <m/>
    <m/>
    <m/>
    <n v="10"/>
    <m/>
    <m/>
    <m/>
    <m/>
    <m/>
    <n v="374"/>
    <n v="20"/>
    <n v="27.5"/>
    <n v="8"/>
    <m/>
    <x v="1"/>
  </r>
  <r>
    <n v="45894.54886649306"/>
    <s v="07-July"/>
    <s v="YORK"/>
    <n v="65"/>
    <n v="21"/>
    <n v="4771"/>
    <n v="471"/>
    <n v="724"/>
    <n v="0"/>
    <n v="6285"/>
    <n v="105"/>
    <m/>
    <m/>
    <m/>
    <m/>
    <m/>
    <n v="1125"/>
    <n v="11"/>
    <n v="3"/>
    <n v="6"/>
    <n v="7"/>
    <n v="4"/>
    <n v="202"/>
    <n v="93"/>
    <n v="57"/>
    <n v="53"/>
    <n v="249"/>
    <m/>
    <m/>
    <m/>
    <m/>
    <m/>
    <m/>
    <m/>
    <m/>
    <m/>
    <m/>
    <m/>
    <m/>
    <m/>
    <m/>
    <m/>
    <m/>
    <m/>
    <m/>
    <m/>
    <m/>
    <m/>
    <m/>
    <n v="95"/>
    <n v="7"/>
    <n v="6"/>
    <n v="0"/>
    <m/>
    <x v="1"/>
  </r>
  <r>
    <m/>
    <s v="06-June"/>
    <s v="ROCK HILL"/>
    <n v="349"/>
    <m/>
    <n v="19413"/>
    <n v="2046"/>
    <n v="10094"/>
    <n v="9"/>
    <n v="21648"/>
    <n v="151"/>
    <m/>
    <n v="2"/>
    <n v="137"/>
    <n v="3102"/>
    <n v="1021"/>
    <n v="697"/>
    <n v="13"/>
    <n v="4"/>
    <n v="23"/>
    <n v="22"/>
    <n v="19"/>
    <n v="629"/>
    <n v="92"/>
    <n v="289"/>
    <n v="202"/>
    <n v="1912"/>
    <m/>
    <m/>
    <m/>
    <m/>
    <m/>
    <m/>
    <m/>
    <m/>
    <m/>
    <m/>
    <m/>
    <m/>
    <m/>
    <m/>
    <m/>
    <m/>
    <m/>
    <m/>
    <m/>
    <m/>
    <m/>
    <m/>
    <n v="8"/>
    <n v="15"/>
    <n v="14"/>
    <n v="5"/>
    <m/>
    <x v="1"/>
  </r>
  <r>
    <m/>
    <s v="06-June"/>
    <s v="CLOVER"/>
    <n v="62"/>
    <m/>
    <n v="3404"/>
    <n v="222"/>
    <n v="490"/>
    <n v="0"/>
    <n v="4678"/>
    <n v="70"/>
    <m/>
    <m/>
    <m/>
    <n v="1359"/>
    <n v="1968"/>
    <n v="208"/>
    <n v="10"/>
    <n v="3"/>
    <n v="4"/>
    <n v="4"/>
    <n v="4"/>
    <n v="130"/>
    <n v="45"/>
    <n v="25"/>
    <n v="21"/>
    <n v="125"/>
    <m/>
    <m/>
    <m/>
    <m/>
    <m/>
    <m/>
    <m/>
    <m/>
    <m/>
    <m/>
    <m/>
    <m/>
    <m/>
    <m/>
    <m/>
    <m/>
    <m/>
    <m/>
    <m/>
    <m/>
    <m/>
    <m/>
    <n v="8"/>
    <n v="1"/>
    <n v="21"/>
    <n v="1"/>
    <m/>
    <x v="1"/>
  </r>
  <r>
    <m/>
    <s v="06-June"/>
    <s v="FORT MILL"/>
    <n v="265"/>
    <m/>
    <n v="14653"/>
    <n v="766"/>
    <n v="1871"/>
    <n v="1"/>
    <n v="23998"/>
    <n v="38"/>
    <m/>
    <m/>
    <m/>
    <n v="1847"/>
    <n v="7156"/>
    <n v="274"/>
    <n v="22"/>
    <n v="5"/>
    <n v="9"/>
    <n v="12"/>
    <n v="16"/>
    <n v="679"/>
    <n v="129"/>
    <n v="113"/>
    <n v="83"/>
    <n v="1121"/>
    <m/>
    <m/>
    <m/>
    <m/>
    <m/>
    <m/>
    <m/>
    <m/>
    <m/>
    <m/>
    <m/>
    <m/>
    <m/>
    <m/>
    <m/>
    <m/>
    <m/>
    <m/>
    <m/>
    <m/>
    <m/>
    <m/>
    <n v="4"/>
    <n v="1"/>
    <n v="12"/>
    <n v="0"/>
    <m/>
    <x v="1"/>
  </r>
  <r>
    <m/>
    <s v="06-June"/>
    <s v="LAKE WYLIE"/>
    <n v="137"/>
    <m/>
    <n v="5355"/>
    <n v="214"/>
    <n v="891"/>
    <n v="5"/>
    <n v="6109"/>
    <n v="22"/>
    <m/>
    <m/>
    <m/>
    <n v="1568"/>
    <n v="3167"/>
    <n v="141"/>
    <n v="4"/>
    <n v="12"/>
    <n v="2"/>
    <n v="11"/>
    <n v="5"/>
    <n v="45"/>
    <n v="623"/>
    <n v="20"/>
    <n v="92"/>
    <n v="23"/>
    <m/>
    <m/>
    <m/>
    <m/>
    <m/>
    <m/>
    <m/>
    <m/>
    <m/>
    <m/>
    <m/>
    <m/>
    <m/>
    <m/>
    <m/>
    <m/>
    <m/>
    <m/>
    <m/>
    <m/>
    <m/>
    <m/>
    <n v="9"/>
    <n v="1"/>
    <n v="16"/>
    <n v="8"/>
    <m/>
    <x v="1"/>
  </r>
  <r>
    <m/>
    <s v="06-June"/>
    <s v="YORK"/>
    <n v="82"/>
    <m/>
    <n v="4774"/>
    <n v="447"/>
    <n v="1015"/>
    <n v="1"/>
    <n v="5010"/>
    <n v="120"/>
    <m/>
    <m/>
    <m/>
    <n v="1501"/>
    <n v="2669"/>
    <n v="242"/>
    <n v="10"/>
    <n v="2"/>
    <n v="3"/>
    <n v="7"/>
    <n v="4"/>
    <n v="246"/>
    <n v="60"/>
    <n v="20"/>
    <n v="99"/>
    <n v="332"/>
    <m/>
    <m/>
    <m/>
    <m/>
    <m/>
    <m/>
    <m/>
    <m/>
    <m/>
    <m/>
    <m/>
    <m/>
    <m/>
    <m/>
    <m/>
    <m/>
    <m/>
    <m/>
    <m/>
    <m/>
    <m/>
    <m/>
    <n v="2"/>
    <n v="10"/>
    <n v="7"/>
    <n v="0"/>
    <m/>
    <x v="1"/>
  </r>
  <r>
    <m/>
    <s v="06-June"/>
    <s v="OUTREACH / BOOKMOBILE"/>
    <n v="235"/>
    <m/>
    <n v="1346"/>
    <m/>
    <m/>
    <m/>
    <n v="1498"/>
    <n v="4"/>
    <m/>
    <m/>
    <m/>
    <n v="21"/>
    <n v="309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n v="3"/>
    <n v="1"/>
    <n v="4"/>
    <n v="2"/>
    <m/>
    <x v="1"/>
  </r>
  <r>
    <m/>
    <s v="03-March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3-March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3-March"/>
    <s v="LAKE WYLI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3-March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3-March"/>
    <s v="YOR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3-March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3-March"/>
    <s v="ROCK HILL"/>
    <n v="209"/>
    <m/>
    <n v="15555"/>
    <n v="2125"/>
    <n v="3342"/>
    <n v="6"/>
    <n v="17206"/>
    <n v="141"/>
    <m/>
    <n v="6"/>
    <n v="131"/>
    <n v="2981"/>
    <n v="6480"/>
    <n v="852"/>
    <n v="31"/>
    <n v="5"/>
    <n v="13"/>
    <n v="27"/>
    <n v="6"/>
    <n v="1188"/>
    <n v="116"/>
    <n v="155"/>
    <n v="277"/>
    <n v="106"/>
    <m/>
    <m/>
    <m/>
    <m/>
    <m/>
    <m/>
    <m/>
    <m/>
    <m/>
    <m/>
    <m/>
    <m/>
    <m/>
    <m/>
    <m/>
    <m/>
    <m/>
    <m/>
    <m/>
    <m/>
    <m/>
    <m/>
    <n v="13"/>
    <n v="42"/>
    <n v="41"/>
    <n v="10"/>
    <m/>
    <x v="1"/>
  </r>
  <r>
    <m/>
    <s v="03-March"/>
    <s v="CLOVER"/>
    <n v="37"/>
    <m/>
    <n v="2402"/>
    <n v="208"/>
    <n v="457"/>
    <n v="0"/>
    <n v="2858"/>
    <n v="66"/>
    <m/>
    <m/>
    <m/>
    <n v="1046"/>
    <n v="1961"/>
    <n v="253"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1"/>
    <n v="16"/>
    <n v="20"/>
    <n v="0"/>
    <m/>
    <x v="1"/>
  </r>
  <r>
    <m/>
    <s v="03-March"/>
    <s v="FORT MILL"/>
    <n v="208"/>
    <m/>
    <n v="12513"/>
    <n v="810"/>
    <n v="1795"/>
    <n v="14"/>
    <n v="19038"/>
    <n v="30"/>
    <m/>
    <m/>
    <m/>
    <n v="1805"/>
    <n v="6730"/>
    <n v="273"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6"/>
    <n v="6"/>
    <n v="13"/>
    <n v="0"/>
    <m/>
    <x v="1"/>
  </r>
  <r>
    <m/>
    <s v="03-March"/>
    <s v="LAKE WYLIE"/>
    <n v="55"/>
    <m/>
    <n v="3810"/>
    <n v="218"/>
    <n v="958"/>
    <n v="12"/>
    <n v="4857"/>
    <n v="18"/>
    <m/>
    <m/>
    <m/>
    <n v="1414"/>
    <n v="2581"/>
    <n v="87"/>
    <n v="4"/>
    <n v="1"/>
    <n v="2"/>
    <n v="13"/>
    <n v="2"/>
    <n v="39"/>
    <n v="7"/>
    <n v="19"/>
    <n v="122"/>
    <n v="16"/>
    <m/>
    <m/>
    <m/>
    <m/>
    <m/>
    <m/>
    <m/>
    <m/>
    <m/>
    <m/>
    <m/>
    <m/>
    <m/>
    <m/>
    <m/>
    <m/>
    <m/>
    <m/>
    <m/>
    <m/>
    <m/>
    <m/>
    <n v="8"/>
    <n v="1"/>
    <n v="53"/>
    <n v="9"/>
    <m/>
    <x v="1"/>
  </r>
  <r>
    <m/>
    <s v="03-March"/>
    <s v="YORK"/>
    <n v="62"/>
    <m/>
    <n v="3798"/>
    <n v="458"/>
    <n v="1054"/>
    <n v="4"/>
    <n v="3862"/>
    <n v="121"/>
    <m/>
    <m/>
    <m/>
    <n v="1352"/>
    <n v="2362"/>
    <n v="234"/>
    <n v="14"/>
    <n v="1"/>
    <n v="1"/>
    <n v="8"/>
    <n v="0"/>
    <n v="162"/>
    <n v="4"/>
    <n v="4"/>
    <n v="61"/>
    <n v="0"/>
    <m/>
    <m/>
    <m/>
    <m/>
    <m/>
    <m/>
    <m/>
    <m/>
    <m/>
    <m/>
    <m/>
    <m/>
    <m/>
    <m/>
    <m/>
    <m/>
    <m/>
    <m/>
    <m/>
    <m/>
    <m/>
    <m/>
    <n v="2"/>
    <n v="11"/>
    <n v="66"/>
    <n v="0"/>
    <m/>
    <x v="1"/>
  </r>
  <r>
    <m/>
    <s v="03-March"/>
    <s v="OUTREACH / BOOKMOBILE"/>
    <n v="18"/>
    <m/>
    <n v="507"/>
    <m/>
    <m/>
    <m/>
    <n v="1184"/>
    <n v="4"/>
    <m/>
    <m/>
    <m/>
    <n v="12"/>
    <n v="409"/>
    <m/>
    <n v="4"/>
    <n v="0"/>
    <n v="0"/>
    <n v="0"/>
    <n v="0"/>
    <n v="123"/>
    <n v="0"/>
    <n v="0"/>
    <n v="0"/>
    <n v="0"/>
    <m/>
    <m/>
    <m/>
    <m/>
    <m/>
    <m/>
    <m/>
    <m/>
    <m/>
    <m/>
    <m/>
    <m/>
    <m/>
    <m/>
    <m/>
    <m/>
    <m/>
    <m/>
    <m/>
    <m/>
    <m/>
    <m/>
    <n v="1"/>
    <n v="2"/>
    <n v="2"/>
    <n v="3"/>
    <m/>
    <x v="1"/>
  </r>
  <r>
    <m/>
    <s v="05-May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5-May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5-May"/>
    <s v="LAKE WYLI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5-May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5-May"/>
    <s v="YOR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5-May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5-May"/>
    <s v="ROCK HILL"/>
    <n v="376"/>
    <m/>
    <n v="17078"/>
    <n v="1972"/>
    <n v="3674"/>
    <n v="12"/>
    <n v="19243"/>
    <n v="122"/>
    <m/>
    <n v="1"/>
    <n v="122"/>
    <n v="2986"/>
    <n v="6594"/>
    <n v="767"/>
    <n v="15"/>
    <n v="10"/>
    <n v="6"/>
    <n v="22"/>
    <n v="8"/>
    <n v="636"/>
    <n v="140"/>
    <n v="59"/>
    <n v="245"/>
    <n v="1644"/>
    <m/>
    <m/>
    <m/>
    <m/>
    <m/>
    <m/>
    <m/>
    <m/>
    <m/>
    <m/>
    <m/>
    <m/>
    <m/>
    <m/>
    <m/>
    <m/>
    <m/>
    <m/>
    <m/>
    <m/>
    <m/>
    <m/>
    <n v="4"/>
    <n v="15"/>
    <n v="15"/>
    <n v="7"/>
    <m/>
    <x v="1"/>
  </r>
  <r>
    <m/>
    <s v="05-May"/>
    <s v="CLOVER"/>
    <n v="59"/>
    <m/>
    <n v="2618"/>
    <n v="229"/>
    <n v="373"/>
    <n v="1"/>
    <n v="3426"/>
    <n v="69"/>
    <m/>
    <m/>
    <m/>
    <n v="1169"/>
    <n v="1920"/>
    <n v="229"/>
    <n v="10"/>
    <n v="2"/>
    <n v="3"/>
    <n v="3"/>
    <n v="0"/>
    <n v="155"/>
    <n v="12"/>
    <n v="17"/>
    <n v="28"/>
    <n v="0"/>
    <m/>
    <m/>
    <m/>
    <m/>
    <m/>
    <m/>
    <m/>
    <m/>
    <m/>
    <m/>
    <m/>
    <m/>
    <m/>
    <m/>
    <m/>
    <m/>
    <m/>
    <m/>
    <m/>
    <m/>
    <m/>
    <m/>
    <n v="23"/>
    <n v="1"/>
    <n v="25"/>
    <n v="0"/>
    <m/>
    <x v="1"/>
  </r>
  <r>
    <m/>
    <s v="05-May"/>
    <s v="FORT MILL"/>
    <n v="210"/>
    <m/>
    <n v="12345"/>
    <n v="747"/>
    <n v="1578"/>
    <n v="4"/>
    <n v="20990"/>
    <n v="34"/>
    <m/>
    <m/>
    <m/>
    <n v="1724"/>
    <n v="6894"/>
    <n v="301"/>
    <n v="21"/>
    <n v="5"/>
    <n v="5"/>
    <n v="10"/>
    <n v="5"/>
    <n v="714"/>
    <n v="70"/>
    <n v="84"/>
    <n v="96"/>
    <n v="894"/>
    <m/>
    <m/>
    <m/>
    <m/>
    <m/>
    <m/>
    <m/>
    <m/>
    <m/>
    <m/>
    <m/>
    <m/>
    <m/>
    <m/>
    <m/>
    <m/>
    <m/>
    <m/>
    <m/>
    <m/>
    <m/>
    <m/>
    <n v="6"/>
    <n v="6"/>
    <n v="4"/>
    <n v="0"/>
    <m/>
    <x v="1"/>
  </r>
  <r>
    <m/>
    <s v="05-May"/>
    <s v="LAKE WYLIE"/>
    <n v="68"/>
    <m/>
    <n v="3941"/>
    <n v="163"/>
    <n v="414"/>
    <n v="4"/>
    <n v="5447"/>
    <n v="17"/>
    <m/>
    <m/>
    <m/>
    <n v="1498"/>
    <n v="2684"/>
    <n v="122"/>
    <n v="4"/>
    <n v="5"/>
    <n v="2"/>
    <n v="9"/>
    <n v="3"/>
    <n v="50"/>
    <n v="51"/>
    <n v="11"/>
    <n v="91"/>
    <n v="3"/>
    <m/>
    <m/>
    <m/>
    <m/>
    <m/>
    <m/>
    <m/>
    <m/>
    <m/>
    <m/>
    <m/>
    <m/>
    <m/>
    <m/>
    <m/>
    <m/>
    <m/>
    <m/>
    <m/>
    <m/>
    <m/>
    <m/>
    <n v="9"/>
    <n v="1"/>
    <n v="9"/>
    <n v="1"/>
    <m/>
    <x v="1"/>
  </r>
  <r>
    <m/>
    <s v="05-May"/>
    <s v="YORK"/>
    <n v="64"/>
    <m/>
    <n v="3958"/>
    <n v="451"/>
    <n v="694"/>
    <n v="2"/>
    <n v="4424"/>
    <n v="103"/>
    <m/>
    <m/>
    <m/>
    <n v="1342"/>
    <n v="2364"/>
    <n v="266"/>
    <n v="10"/>
    <n v="3"/>
    <n v="7"/>
    <n v="9"/>
    <n v="1"/>
    <n v="135"/>
    <n v="72"/>
    <n v="7"/>
    <n v="69"/>
    <n v="112"/>
    <m/>
    <m/>
    <m/>
    <m/>
    <m/>
    <m/>
    <m/>
    <m/>
    <m/>
    <m/>
    <m/>
    <m/>
    <m/>
    <m/>
    <m/>
    <m/>
    <m/>
    <m/>
    <m/>
    <m/>
    <m/>
    <m/>
    <n v="2"/>
    <n v="1"/>
    <n v="9"/>
    <n v="0"/>
    <m/>
    <x v="1"/>
  </r>
  <r>
    <m/>
    <s v="05-May"/>
    <s v="OUTREACH / BOOKMOBILE"/>
    <n v="69"/>
    <m/>
    <n v="571"/>
    <m/>
    <m/>
    <m/>
    <n v="1324"/>
    <n v="1"/>
    <m/>
    <m/>
    <m/>
    <n v="11"/>
    <n v="272"/>
    <m/>
    <n v="1"/>
    <n v="0"/>
    <n v="0"/>
    <n v="0"/>
    <n v="0"/>
    <n v="8"/>
    <n v="0"/>
    <n v="0"/>
    <n v="0"/>
    <n v="0"/>
    <m/>
    <m/>
    <m/>
    <m/>
    <m/>
    <m/>
    <m/>
    <m/>
    <m/>
    <m/>
    <m/>
    <m/>
    <m/>
    <m/>
    <m/>
    <m/>
    <m/>
    <m/>
    <m/>
    <m/>
    <m/>
    <m/>
    <n v="15"/>
    <n v="0"/>
    <n v="0"/>
    <n v="0"/>
    <m/>
    <x v="1"/>
  </r>
  <r>
    <m/>
    <s v="11-November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s v="martin.house@yclibrary.org"/>
    <x v="1"/>
  </r>
  <r>
    <m/>
    <s v="11-November"/>
    <s v="CLOVER"/>
    <n v="21"/>
    <n v="7"/>
    <n v="2435"/>
    <n v="213"/>
    <n v="426"/>
    <n v="1"/>
    <n v="4166"/>
    <n v="76"/>
    <n v="0"/>
    <m/>
    <n v="0"/>
    <m/>
    <m/>
    <n v="840"/>
    <n v="4"/>
    <n v="4"/>
    <n v="4"/>
    <n v="8"/>
    <n v="1"/>
    <n v="40"/>
    <n v="41"/>
    <n v="39"/>
    <n v="53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4"/>
    <n v="7"/>
    <n v="30.5"/>
    <n v="5"/>
    <s v="madison.brennan@yclibrary.org"/>
    <x v="1"/>
  </r>
  <r>
    <m/>
    <s v="11-November"/>
    <s v="LAKE WYLIE"/>
    <n v="38"/>
    <n v="2"/>
    <n v="3068"/>
    <n v="178"/>
    <n v="523"/>
    <n v="11"/>
    <n v="4116"/>
    <n v="17"/>
    <n v="1"/>
    <m/>
    <m/>
    <m/>
    <m/>
    <n v="153"/>
    <n v="4"/>
    <n v="4"/>
    <n v="2"/>
    <n v="8"/>
    <n v="0"/>
    <n v="35"/>
    <n v="31"/>
    <n v="10"/>
    <n v="7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4"/>
    <n v="0"/>
    <n v="0"/>
    <n v="0"/>
    <n v="767"/>
    <n v="10"/>
    <n v="90"/>
    <n v="3"/>
    <s v="rae.lovvorn@yclibrary.org"/>
    <x v="1"/>
  </r>
  <r>
    <m/>
    <s v="11-November"/>
    <s v="FORT MILL"/>
    <n v="181"/>
    <n v="42"/>
    <n v="10748"/>
    <n v="788"/>
    <n v="1507"/>
    <n v="4"/>
    <n v="34845"/>
    <n v="56"/>
    <n v="5"/>
    <m/>
    <m/>
    <m/>
    <m/>
    <n v="1424"/>
    <n v="21"/>
    <n v="6"/>
    <n v="8"/>
    <n v="12"/>
    <n v="4"/>
    <n v="701"/>
    <n v="76"/>
    <n v="60"/>
    <n v="93"/>
    <n v="142"/>
    <m/>
    <m/>
    <m/>
    <m/>
    <m/>
    <m/>
    <m/>
    <m/>
    <m/>
    <m/>
    <m/>
    <m/>
    <m/>
    <m/>
    <m/>
    <m/>
    <m/>
    <m/>
    <m/>
    <m/>
    <m/>
    <m/>
    <n v="1433"/>
    <n v="18"/>
    <n v="140"/>
    <m/>
    <s v="tom.holloway@yclibrary.org"/>
    <x v="1"/>
  </r>
  <r>
    <m/>
    <s v="11-November"/>
    <s v="OUTREACH / BOOKMOBILE"/>
    <n v="9"/>
    <n v="4"/>
    <n v="1554"/>
    <m/>
    <m/>
    <m/>
    <n v="3056"/>
    <n v="3"/>
    <m/>
    <m/>
    <m/>
    <m/>
    <m/>
    <m/>
    <m/>
    <m/>
    <m/>
    <m/>
    <m/>
    <m/>
    <m/>
    <m/>
    <m/>
    <m/>
    <n v="3"/>
    <m/>
    <m/>
    <m/>
    <m/>
    <n v="102"/>
    <m/>
    <m/>
    <m/>
    <m/>
    <m/>
    <m/>
    <m/>
    <m/>
    <m/>
    <m/>
    <m/>
    <m/>
    <m/>
    <m/>
    <n v="2"/>
    <n v="101"/>
    <n v="311"/>
    <n v="8"/>
    <n v="151.5"/>
    <n v="2"/>
    <s v="jennifer.strokis@yclibrary.org"/>
    <x v="1"/>
  </r>
  <r>
    <m/>
    <s v="11-November"/>
    <s v="YORK"/>
    <n v="49"/>
    <n v="29"/>
    <n v="4205"/>
    <n v="439"/>
    <n v="946"/>
    <n v="13"/>
    <n v="7503"/>
    <n v="91"/>
    <n v="0"/>
    <m/>
    <m/>
    <m/>
    <m/>
    <n v="965"/>
    <n v="11"/>
    <n v="3"/>
    <n v="1"/>
    <n v="7"/>
    <m/>
    <n v="231"/>
    <n v="46"/>
    <n v="9"/>
    <n v="52"/>
    <m/>
    <m/>
    <m/>
    <m/>
    <m/>
    <m/>
    <m/>
    <m/>
    <m/>
    <m/>
    <m/>
    <m/>
    <m/>
    <m/>
    <m/>
    <m/>
    <m/>
    <m/>
    <m/>
    <m/>
    <m/>
    <n v="1"/>
    <n v="52"/>
    <n v="40"/>
    <n v="16"/>
    <n v="100"/>
    <n v="0"/>
    <s v="jennifer.stanley@yclibrary.org"/>
    <x v="1"/>
  </r>
  <r>
    <m/>
    <s v="11-November"/>
    <s v="ROCK HILL"/>
    <n v="17"/>
    <n v="2"/>
    <n v="0"/>
    <n v="0"/>
    <n v="0"/>
    <n v="0"/>
    <n v="31"/>
    <n v="0"/>
    <n v="0"/>
    <n v="3"/>
    <n v="71"/>
    <n v="1534"/>
    <n v="4781"/>
    <n v="0"/>
    <n v="0"/>
    <n v="0"/>
    <n v="0"/>
    <n v="0"/>
    <n v="0"/>
    <n v="0"/>
    <n v="0"/>
    <n v="0"/>
    <n v="0"/>
    <n v="0"/>
    <n v="13"/>
    <n v="3"/>
    <n v="15"/>
    <n v="11"/>
    <n v="7"/>
    <n v="255"/>
    <n v="56"/>
    <n v="1406"/>
    <n v="107"/>
    <n v="299"/>
    <n v="0"/>
    <n v="0"/>
    <n v="1"/>
    <n v="5"/>
    <n v="1"/>
    <n v="0"/>
    <n v="0"/>
    <n v="156"/>
    <n v="49"/>
    <n v="18"/>
    <m/>
    <m/>
    <n v="15"/>
    <n v="65"/>
    <n v="259"/>
    <n v="1"/>
    <s v="amanda.antonacci@yclibrary.org"/>
    <x v="1"/>
  </r>
  <r>
    <n v="45964.599039351851"/>
    <s v="10-October"/>
    <s v="YORK"/>
    <n v="64"/>
    <n v="87"/>
    <n v="5553"/>
    <n v="657"/>
    <n v="1145"/>
    <n v="22"/>
    <n v="8931"/>
    <n v="125"/>
    <n v="0"/>
    <m/>
    <m/>
    <m/>
    <m/>
    <n v="2239"/>
    <n v="12"/>
    <n v="2"/>
    <n v="3"/>
    <n v="9"/>
    <n v="2"/>
    <n v="231"/>
    <n v="32"/>
    <n v="14"/>
    <n v="84"/>
    <n v="22"/>
    <m/>
    <m/>
    <m/>
    <m/>
    <m/>
    <m/>
    <m/>
    <m/>
    <m/>
    <m/>
    <m/>
    <m/>
    <m/>
    <m/>
    <m/>
    <m/>
    <m/>
    <m/>
    <m/>
    <m/>
    <n v="1"/>
    <n v="140"/>
    <n v="278"/>
    <n v="8"/>
    <n v="12"/>
    <n v="0"/>
    <s v="jennifer.stanley@yclibrary.org"/>
    <x v="1"/>
  </r>
  <r>
    <n v="45964.637326388889"/>
    <s v="10-October"/>
    <s v="OUTREACH / BOOKMOBILE"/>
    <n v="12"/>
    <n v="16"/>
    <n v="12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n v="2428"/>
    <n v="264"/>
    <n v="6"/>
    <n v="113"/>
    <n v="4"/>
    <s v="jennifer.strokis@yclibrary.org"/>
    <x v="1"/>
  </r>
  <r>
    <n v="45964.639664351853"/>
    <s v="10-October"/>
    <s v="LAKE WYLIE"/>
    <n v="49"/>
    <n v="13"/>
    <n v="3918"/>
    <n v="193"/>
    <n v="668"/>
    <n v="11"/>
    <n v="5737"/>
    <n v="26"/>
    <n v="2"/>
    <m/>
    <m/>
    <m/>
    <m/>
    <n v="1056"/>
    <n v="4"/>
    <n v="5"/>
    <n v="2"/>
    <n v="10"/>
    <n v="1"/>
    <n v="48"/>
    <n v="30"/>
    <n v="13"/>
    <n v="8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5"/>
    <n v="2"/>
    <n v="10"/>
    <n v="6"/>
    <s v="rae.lovvorn@yclibrary.org"/>
    <x v="1"/>
  </r>
  <r>
    <n v="45965.365925925929"/>
    <s v="10-October"/>
    <s v="CLOVER"/>
    <n v="26"/>
    <n v="6"/>
    <n v="3167"/>
    <n v="271"/>
    <n v="531"/>
    <n v="1"/>
    <n v="5548"/>
    <n v="88"/>
    <n v="0"/>
    <m/>
    <m/>
    <m/>
    <m/>
    <n v="1053"/>
    <n v="6"/>
    <n v="3"/>
    <n v="5"/>
    <n v="8"/>
    <n v="1"/>
    <n v="67"/>
    <n v="38"/>
    <n v="28"/>
    <n v="35"/>
    <n v="3"/>
    <m/>
    <m/>
    <m/>
    <m/>
    <m/>
    <m/>
    <m/>
    <m/>
    <m/>
    <m/>
    <m/>
    <m/>
    <m/>
    <m/>
    <m/>
    <m/>
    <m/>
    <m/>
    <m/>
    <m/>
    <m/>
    <m/>
    <n v="638"/>
    <n v="6"/>
    <n v="28"/>
    <n v="2"/>
    <s v="madison.brennan@yclibrary.org"/>
    <x v="1"/>
  </r>
  <r>
    <n v="45965.617523148147"/>
    <s v="10-October"/>
    <s v="FORT MILL"/>
    <n v="211"/>
    <n v="53"/>
    <n v="13504"/>
    <n v="921"/>
    <n v="1956"/>
    <m/>
    <n v="23486"/>
    <n v="65"/>
    <n v="5"/>
    <m/>
    <m/>
    <m/>
    <m/>
    <n v="1494"/>
    <n v="31"/>
    <n v="5"/>
    <n v="8"/>
    <n v="12"/>
    <n v="5"/>
    <n v="1194"/>
    <n v="72"/>
    <n v="73"/>
    <n v="109"/>
    <n v="162"/>
    <m/>
    <m/>
    <m/>
    <m/>
    <m/>
    <m/>
    <m/>
    <m/>
    <m/>
    <m/>
    <m/>
    <m/>
    <m/>
    <m/>
    <m/>
    <m/>
    <m/>
    <m/>
    <m/>
    <m/>
    <n v="1"/>
    <n v="250"/>
    <n v="1688"/>
    <n v="2"/>
    <n v="2"/>
    <m/>
    <s v="tom.holloway@yclibrary.org"/>
    <x v="1"/>
  </r>
  <r>
    <n v="45966.417696759258"/>
    <s v="10-October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5.5"/>
    <m/>
    <s v="martin.house@yclibrary.org"/>
    <x v="1"/>
  </r>
  <r>
    <m/>
    <s v="10-October"/>
    <s v="ROCK HILL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artin.house@yclibrary.org"/>
    <x v="1"/>
  </r>
  <r>
    <n v="45931.553541666668"/>
    <s v="09-September"/>
    <s v="OUTREACH / BOOKMOBILE"/>
    <n v="16"/>
    <n v="113"/>
    <n v="7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"/>
    <n v="260"/>
    <n v="136"/>
    <m/>
    <m/>
    <n v="5"/>
    <s v="jennifer.strokis@yclibrary.org"/>
    <x v="1"/>
  </r>
  <r>
    <n v="45932.47283564815"/>
    <s v="09-September"/>
    <s v="LAKE WYLIE"/>
    <n v="48"/>
    <n v="11"/>
    <n v="3974"/>
    <n v="216"/>
    <n v="594"/>
    <n v="9"/>
    <n v="5549"/>
    <n v="18"/>
    <n v="2"/>
    <m/>
    <m/>
    <m/>
    <m/>
    <n v="351"/>
    <n v="5"/>
    <n v="4"/>
    <n v="2"/>
    <n v="13"/>
    <n v="2"/>
    <n v="65"/>
    <n v="31"/>
    <n v="11"/>
    <n v="10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4"/>
    <n v="3"/>
    <n v="15"/>
    <n v="3"/>
    <s v="rae.lovvorn@yclibrary.org"/>
    <x v="1"/>
  </r>
  <r>
    <n v="45932.49622685185"/>
    <s v="09-September"/>
    <s v="YORK"/>
    <n v="64"/>
    <n v="67"/>
    <n v="4490"/>
    <n v="497"/>
    <n v="809"/>
    <n v="8"/>
    <n v="6762"/>
    <n v="93"/>
    <n v="0"/>
    <m/>
    <m/>
    <m/>
    <m/>
    <n v="1602"/>
    <n v="9"/>
    <n v="2"/>
    <n v="0"/>
    <n v="9"/>
    <n v="1"/>
    <n v="184"/>
    <n v="64"/>
    <n v="0"/>
    <n v="65"/>
    <n v="13"/>
    <m/>
    <m/>
    <m/>
    <m/>
    <m/>
    <m/>
    <m/>
    <m/>
    <m/>
    <m/>
    <m/>
    <m/>
    <m/>
    <m/>
    <m/>
    <m/>
    <m/>
    <m/>
    <m/>
    <m/>
    <n v="2"/>
    <n v="330"/>
    <n v="275"/>
    <n v="0"/>
    <n v="0"/>
    <n v="0"/>
    <s v="jennifer.stanley@yclibrary.org"/>
    <x v="1"/>
  </r>
  <r>
    <n v="45932.503969907397"/>
    <s v="09-September"/>
    <s v="CLOVER"/>
    <n v="41"/>
    <n v="14"/>
    <n v="2893"/>
    <n v="294"/>
    <n v="472"/>
    <n v="2"/>
    <n v="5324"/>
    <n v="69"/>
    <n v="0"/>
    <n v="0"/>
    <n v="0"/>
    <n v="0"/>
    <n v="0"/>
    <n v="676"/>
    <n v="4"/>
    <n v="4"/>
    <n v="4"/>
    <n v="8"/>
    <n v="1"/>
    <n v="38"/>
    <n v="48"/>
    <n v="29"/>
    <n v="59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9"/>
    <n v="6"/>
    <n v="19"/>
    <n v="4"/>
    <s v="madison.brennan@yclibrary.org"/>
    <x v="1"/>
  </r>
  <r>
    <n v="45932.532719907409"/>
    <s v="09-September"/>
    <s v="ROCK HILL"/>
    <n v="210"/>
    <n v="172"/>
    <n v="14788"/>
    <n v="1909"/>
    <n v="3690"/>
    <n v="18"/>
    <n v="16046"/>
    <n v="117"/>
    <n v="36"/>
    <n v="4"/>
    <n v="137"/>
    <m/>
    <m/>
    <n v="3193"/>
    <n v="21"/>
    <n v="4"/>
    <n v="13"/>
    <n v="23"/>
    <n v="4"/>
    <n v="847"/>
    <n v="106"/>
    <n v="116"/>
    <m/>
    <n v="284"/>
    <n v="0"/>
    <n v="4"/>
    <n v="2"/>
    <n v="6"/>
    <n v="5"/>
    <n v="0"/>
    <n v="1278"/>
    <n v="51"/>
    <n v="126"/>
    <n v="656"/>
    <n v="0"/>
    <n v="0"/>
    <n v="0"/>
    <n v="2"/>
    <n v="1"/>
    <n v="0"/>
    <n v="0"/>
    <n v="0"/>
    <n v="29"/>
    <n v="98"/>
    <m/>
    <m/>
    <n v="135"/>
    <n v="7"/>
    <n v="37.299999999999997"/>
    <n v="9"/>
    <s v="amanda.antonacci@yclibrary.org"/>
    <x v="1"/>
  </r>
  <r>
    <n v="45932.568171296298"/>
    <s v="09-September"/>
    <s v="FORT MILL"/>
    <n v="200"/>
    <n v="61"/>
    <n v="11114"/>
    <n v="733"/>
    <n v="1860"/>
    <m/>
    <n v="21893"/>
    <n v="33"/>
    <n v="5"/>
    <m/>
    <m/>
    <m/>
    <m/>
    <n v="2008"/>
    <n v="35"/>
    <n v="6"/>
    <n v="9"/>
    <n v="14"/>
    <n v="4"/>
    <n v="1301"/>
    <n v="87"/>
    <n v="79"/>
    <n v="116"/>
    <n v="203"/>
    <m/>
    <m/>
    <m/>
    <m/>
    <m/>
    <m/>
    <m/>
    <m/>
    <m/>
    <m/>
    <m/>
    <m/>
    <m/>
    <m/>
    <m/>
    <m/>
    <m/>
    <m/>
    <m/>
    <m/>
    <m/>
    <m/>
    <n v="1475"/>
    <m/>
    <m/>
    <m/>
    <s v="tom.holloway@yclibrary.org"/>
    <x v="1"/>
  </r>
  <r>
    <m/>
    <s v="01-January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10.5"/>
    <m/>
    <s v="martin.house@yclibrary.org"/>
    <x v="2"/>
  </r>
  <r>
    <m/>
    <s v="01-January"/>
    <s v="LAKE WYLIE"/>
    <n v="64"/>
    <n v="12"/>
    <n v="3615"/>
    <n v="166"/>
    <n v="514"/>
    <n v="7"/>
    <n v="5708"/>
    <n v="29"/>
    <n v="1"/>
    <m/>
    <m/>
    <m/>
    <m/>
    <n v="568"/>
    <n v="4"/>
    <n v="5"/>
    <n v="1"/>
    <n v="9"/>
    <n v="0"/>
    <n v="46"/>
    <n v="22"/>
    <n v="12"/>
    <n v="89"/>
    <n v="0"/>
    <n v="2"/>
    <n v="0"/>
    <n v="0"/>
    <n v="0"/>
    <n v="0"/>
    <n v="31"/>
    <n v="0"/>
    <n v="0"/>
    <n v="0"/>
    <n v="0"/>
    <n v="0"/>
    <n v="0"/>
    <n v="0"/>
    <n v="0"/>
    <n v="0"/>
    <n v="0"/>
    <n v="0"/>
    <n v="0"/>
    <n v="0"/>
    <n v="0"/>
    <n v="0"/>
    <n v="0"/>
    <n v="649"/>
    <n v="4"/>
    <n v="12"/>
    <n v="5"/>
    <s v="rae.lovvorn@yclibrary.org"/>
    <x v="2"/>
  </r>
  <r>
    <m/>
    <s v="01-January"/>
    <s v="CLOVER"/>
    <n v="36"/>
    <n v="10"/>
    <n v="2648"/>
    <n v="202"/>
    <n v="491"/>
    <n v="0"/>
    <n v="4823"/>
    <n v="64"/>
    <n v="0"/>
    <m/>
    <m/>
    <m/>
    <m/>
    <n v="700"/>
    <n v="5"/>
    <n v="3"/>
    <n v="4"/>
    <n v="5"/>
    <n v="1"/>
    <n v="32"/>
    <n v="28"/>
    <n v="25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7"/>
    <n v="7"/>
    <n v="22"/>
    <n v="2"/>
    <s v="madison.brennan@yclibrary.org"/>
    <x v="2"/>
  </r>
  <r>
    <m/>
    <s v="01-January"/>
    <s v="OUTREACH / BOOKMOBILE"/>
    <n v="10"/>
    <n v="37"/>
    <n v="1556"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"/>
    <n v="47.5"/>
    <n v="3"/>
    <s v="jennifer.strokis@yclibrary.org"/>
    <x v="2"/>
  </r>
  <r>
    <m/>
    <s v="01-January"/>
    <s v="YORK"/>
    <n v="62"/>
    <n v="37"/>
    <n v="4582"/>
    <n v="415"/>
    <m/>
    <n v="24"/>
    <n v="7362"/>
    <n v="102"/>
    <n v="0"/>
    <m/>
    <m/>
    <m/>
    <m/>
    <n v="1766"/>
    <n v="11"/>
    <n v="3"/>
    <n v="1"/>
    <n v="6"/>
    <n v="0"/>
    <n v="231"/>
    <n v="55"/>
    <n v="7"/>
    <n v="45"/>
    <n v="0"/>
    <m/>
    <m/>
    <m/>
    <m/>
    <m/>
    <m/>
    <m/>
    <m/>
    <m/>
    <m/>
    <m/>
    <m/>
    <m/>
    <m/>
    <m/>
    <m/>
    <m/>
    <m/>
    <m/>
    <m/>
    <m/>
    <m/>
    <n v="154"/>
    <n v="2"/>
    <n v="6"/>
    <n v="0"/>
    <s v="jennifer.stanley@yclibrary.org"/>
    <x v="2"/>
  </r>
  <r>
    <m/>
    <s v="01-January"/>
    <s v="YORK"/>
    <m/>
    <m/>
    <m/>
    <m/>
    <n v="8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jennifer.stanley@yclibrary.org"/>
    <x v="2"/>
  </r>
  <r>
    <m/>
    <s v="01-January"/>
    <s v="FORT MILL"/>
    <n v="234"/>
    <n v="62"/>
    <n v="12721"/>
    <n v="779"/>
    <n v="1715"/>
    <n v="8"/>
    <n v="40953"/>
    <n v="71"/>
    <n v="5"/>
    <m/>
    <m/>
    <m/>
    <m/>
    <n v="1504"/>
    <n v="31"/>
    <n v="5"/>
    <n v="6"/>
    <n v="11"/>
    <n v="4"/>
    <n v="1270"/>
    <n v="68"/>
    <n v="46"/>
    <n v="93"/>
    <n v="183"/>
    <m/>
    <m/>
    <m/>
    <m/>
    <m/>
    <m/>
    <m/>
    <m/>
    <m/>
    <m/>
    <m/>
    <m/>
    <m/>
    <m/>
    <m/>
    <m/>
    <m/>
    <m/>
    <m/>
    <m/>
    <m/>
    <m/>
    <n v="1392"/>
    <n v="1"/>
    <n v="1"/>
    <m/>
    <s v="tom.holloway@yclibrary.org"/>
    <x v="2"/>
  </r>
  <r>
    <m/>
    <s v="01-January"/>
    <s v="ROCK HILL"/>
    <n v="1"/>
    <n v="83"/>
    <n v="0"/>
    <n v="0"/>
    <n v="0"/>
    <n v="0"/>
    <n v="992"/>
    <n v="0"/>
    <n v="0"/>
    <n v="1"/>
    <n v="67"/>
    <n v="1110"/>
    <n v="6578"/>
    <n v="0"/>
    <n v="0"/>
    <n v="0"/>
    <n v="0"/>
    <n v="0"/>
    <n v="0"/>
    <n v="0"/>
    <n v="0"/>
    <n v="0"/>
    <n v="0"/>
    <n v="0"/>
    <n v="16"/>
    <n v="3"/>
    <n v="11"/>
    <n v="12"/>
    <n v="5"/>
    <n v="337"/>
    <n v="57"/>
    <n v="270"/>
    <n v="96"/>
    <n v="196"/>
    <n v="0"/>
    <n v="0"/>
    <n v="0"/>
    <n v="2"/>
    <n v="0"/>
    <n v="0"/>
    <n v="0"/>
    <n v="0"/>
    <n v="22"/>
    <n v="0"/>
    <n v="0"/>
    <n v="0"/>
    <n v="64"/>
    <n v="66"/>
    <n v="132"/>
    <n v="0"/>
    <s v="amanda.antonacci@yclibrary.org"/>
    <x v="2"/>
  </r>
  <r>
    <n v="46085.525729166657"/>
    <s v="02-February"/>
    <s v="LAKE WYLIE"/>
    <n v="47"/>
    <n v="19"/>
    <n v="3382"/>
    <n v="192"/>
    <n v="290"/>
    <n v="10"/>
    <n v="4042"/>
    <n v="23"/>
    <n v="0"/>
    <m/>
    <m/>
    <m/>
    <m/>
    <n v="593"/>
    <n v="7"/>
    <n v="5"/>
    <n v="2"/>
    <n v="10"/>
    <n v="0"/>
    <n v="77"/>
    <n v="51"/>
    <n v="18"/>
    <n v="83"/>
    <n v="0"/>
    <n v="2"/>
    <n v="0"/>
    <n v="0"/>
    <n v="0"/>
    <n v="0"/>
    <n v="37"/>
    <n v="0"/>
    <n v="0"/>
    <n v="0"/>
    <n v="0"/>
    <n v="0"/>
    <n v="0"/>
    <n v="0"/>
    <n v="0"/>
    <n v="0"/>
    <n v="0"/>
    <n v="0"/>
    <n v="0"/>
    <n v="0"/>
    <n v="0"/>
    <n v="0"/>
    <n v="0"/>
    <n v="638"/>
    <n v="13"/>
    <n v="121"/>
    <n v="7"/>
    <s v="rae.lovvorn@yclibrary.org"/>
    <x v="2"/>
  </r>
  <r>
    <n v="46085.547129629631"/>
    <s v="02-February"/>
    <s v="YORK"/>
    <n v="65"/>
    <n v="12"/>
    <n v="4167"/>
    <n v="423"/>
    <n v="877"/>
    <n v="17"/>
    <n v="7854"/>
    <n v="110"/>
    <n v="0"/>
    <m/>
    <m/>
    <m/>
    <m/>
    <n v="849"/>
    <n v="7"/>
    <n v="3"/>
    <n v="2"/>
    <n v="6"/>
    <n v="1"/>
    <n v="131"/>
    <n v="45"/>
    <n v="9"/>
    <n v="47"/>
    <n v="5"/>
    <m/>
    <m/>
    <m/>
    <m/>
    <m/>
    <m/>
    <m/>
    <m/>
    <m/>
    <m/>
    <m/>
    <m/>
    <m/>
    <m/>
    <m/>
    <m/>
    <m/>
    <m/>
    <m/>
    <m/>
    <m/>
    <m/>
    <n v="251"/>
    <n v="18"/>
    <n v="147"/>
    <n v="0"/>
    <s v="jennifer.stanley@yclibrary.org"/>
    <x v="2"/>
  </r>
  <r>
    <n v="46085.643842592603"/>
    <s v="02-February"/>
    <s v="FORT MILL"/>
    <n v="211"/>
    <n v="38"/>
    <n v="12673"/>
    <n v="907"/>
    <n v="1579"/>
    <n v="11"/>
    <n v="39230"/>
    <n v="64"/>
    <n v="5"/>
    <m/>
    <m/>
    <m/>
    <m/>
    <n v="1875"/>
    <n v="15"/>
    <n v="5"/>
    <n v="10"/>
    <n v="13"/>
    <n v="4"/>
    <n v="624"/>
    <n v="73"/>
    <n v="100"/>
    <n v="1"/>
    <n v="236"/>
    <m/>
    <m/>
    <m/>
    <m/>
    <m/>
    <m/>
    <m/>
    <m/>
    <m/>
    <m/>
    <m/>
    <m/>
    <m/>
    <m/>
    <m/>
    <m/>
    <m/>
    <m/>
    <m/>
    <m/>
    <m/>
    <m/>
    <n v="2292"/>
    <n v="23"/>
    <n v="177"/>
    <m/>
    <s v="tom.holloway@yclibrary.org"/>
    <x v="2"/>
  </r>
  <r>
    <n v="46085.724745370368"/>
    <s v="02-February"/>
    <s v="OUTREACH / BOOKMOBILE"/>
    <n v="19"/>
    <n v="84"/>
    <n v="841"/>
    <m/>
    <m/>
    <m/>
    <n v="2226"/>
    <m/>
    <m/>
    <m/>
    <m/>
    <m/>
    <m/>
    <m/>
    <m/>
    <m/>
    <m/>
    <m/>
    <m/>
    <m/>
    <m/>
    <m/>
    <m/>
    <m/>
    <n v="3"/>
    <m/>
    <m/>
    <n v="2"/>
    <m/>
    <n v="91"/>
    <m/>
    <m/>
    <n v="25"/>
    <m/>
    <m/>
    <m/>
    <m/>
    <m/>
    <m/>
    <m/>
    <m/>
    <m/>
    <m/>
    <m/>
    <n v="2"/>
    <n v="45"/>
    <n v="1"/>
    <n v="5"/>
    <n v="42"/>
    <n v="5"/>
    <s v="jennifer.strokis@yclibrary.org"/>
    <x v="2"/>
  </r>
  <r>
    <n v="46086.469259259262"/>
    <s v="02-February"/>
    <s v="CLOVER"/>
    <n v="27"/>
    <n v="5"/>
    <n v="2568"/>
    <n v="232"/>
    <n v="450"/>
    <n v="3"/>
    <n v="4894"/>
    <n v="58"/>
    <n v="0"/>
    <m/>
    <m/>
    <m/>
    <m/>
    <n v="773"/>
    <n v="8"/>
    <n v="2"/>
    <n v="2"/>
    <n v="7"/>
    <n v="1"/>
    <n v="91"/>
    <n v="14"/>
    <n v="12"/>
    <n v="4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4"/>
    <n v="11"/>
    <n v="101.5"/>
    <n v="3"/>
    <s v="madison.brennan@yclibrary.org"/>
    <x v="2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s v="04-April"/>
    <s v="ROCK HILL"/>
    <m/>
    <n v="381"/>
    <n v="15313"/>
    <n v="2034"/>
    <m/>
    <n v="4"/>
    <m/>
    <m/>
    <n v="27"/>
    <m/>
    <m/>
    <m/>
    <m/>
    <m/>
    <n v="22"/>
    <n v="6"/>
    <n v="15"/>
    <n v="29"/>
    <n v="6"/>
    <n v="890"/>
    <n v="277"/>
    <n v="162"/>
    <n v="292"/>
    <n v="156"/>
    <m/>
    <n v="6"/>
    <m/>
    <m/>
    <m/>
    <m/>
    <n v="60"/>
    <m/>
    <m/>
    <m/>
    <m/>
    <m/>
    <m/>
    <m/>
    <m/>
    <m/>
    <m/>
    <m/>
    <m/>
    <m/>
    <m/>
    <m/>
    <n v="50"/>
    <n v="14"/>
    <n v="21.5"/>
    <n v="8"/>
    <m/>
    <x v="0"/>
    <m/>
  </r>
  <r>
    <s v="04-April"/>
    <s v="CLOVER"/>
    <m/>
    <n v="62"/>
    <n v="2761"/>
    <n v="214"/>
    <m/>
    <n v="1"/>
    <m/>
    <m/>
    <n v="0"/>
    <m/>
    <m/>
    <m/>
    <m/>
    <m/>
    <n v="8"/>
    <n v="2"/>
    <n v="2"/>
    <n v="1"/>
    <n v="3"/>
    <n v="85"/>
    <n v="21"/>
    <n v="6"/>
    <n v="4"/>
    <n v="30"/>
    <m/>
    <n v="0"/>
    <m/>
    <m/>
    <m/>
    <m/>
    <n v="0"/>
    <m/>
    <m/>
    <m/>
    <m/>
    <m/>
    <m/>
    <m/>
    <m/>
    <m/>
    <m/>
    <m/>
    <m/>
    <m/>
    <m/>
    <m/>
    <n v="20"/>
    <n v="4"/>
    <n v="25"/>
    <n v="0"/>
    <m/>
    <x v="0"/>
    <m/>
  </r>
  <r>
    <s v="04-April"/>
    <s v="FORT MILL"/>
    <m/>
    <m/>
    <n v="11737"/>
    <n v="781"/>
    <m/>
    <n v="6"/>
    <m/>
    <m/>
    <n v="5"/>
    <m/>
    <m/>
    <m/>
    <m/>
    <m/>
    <n v="21"/>
    <n v="9"/>
    <n v="7"/>
    <n v="11"/>
    <n v="6"/>
    <n v="754"/>
    <n v="778"/>
    <n v="65"/>
    <n v="94"/>
    <n v="265"/>
    <m/>
    <n v="3"/>
    <m/>
    <m/>
    <m/>
    <m/>
    <n v="800"/>
    <m/>
    <m/>
    <m/>
    <m/>
    <m/>
    <m/>
    <m/>
    <m/>
    <m/>
    <m/>
    <m/>
    <m/>
    <m/>
    <m/>
    <m/>
    <n v="402"/>
    <n v="2"/>
    <n v="2"/>
    <m/>
    <m/>
    <x v="0"/>
    <m/>
  </r>
  <r>
    <s v="04-April"/>
    <s v="LAKE WYLIE"/>
    <m/>
    <n v="64"/>
    <n v="3866"/>
    <n v="188"/>
    <m/>
    <n v="10"/>
    <m/>
    <m/>
    <n v="2"/>
    <m/>
    <m/>
    <m/>
    <m/>
    <m/>
    <n v="4"/>
    <n v="4"/>
    <n v="2"/>
    <n v="12"/>
    <n v="2"/>
    <n v="40"/>
    <n v="20"/>
    <n v="9"/>
    <n v="100"/>
    <n v="11"/>
    <m/>
    <n v="0"/>
    <m/>
    <m/>
    <m/>
    <m/>
    <n v="0"/>
    <m/>
    <m/>
    <m/>
    <m/>
    <m/>
    <m/>
    <m/>
    <m/>
    <m/>
    <m/>
    <m/>
    <m/>
    <m/>
    <m/>
    <m/>
    <n v="372"/>
    <n v="1"/>
    <n v="24.5"/>
    <n v="5"/>
    <m/>
    <x v="0"/>
    <m/>
  </r>
  <r>
    <s v="04-April"/>
    <s v="YORK"/>
    <m/>
    <m/>
    <n v="3598"/>
    <n v="377"/>
    <m/>
    <n v="2"/>
    <m/>
    <m/>
    <n v="0"/>
    <m/>
    <m/>
    <m/>
    <m/>
    <m/>
    <n v="12"/>
    <n v="3"/>
    <n v="1"/>
    <n v="7"/>
    <m/>
    <n v="206"/>
    <n v="66"/>
    <n v="4"/>
    <n v="61"/>
    <m/>
    <m/>
    <n v="1"/>
    <m/>
    <m/>
    <m/>
    <m/>
    <n v="150"/>
    <m/>
    <m/>
    <m/>
    <m/>
    <m/>
    <m/>
    <m/>
    <m/>
    <m/>
    <m/>
    <m/>
    <m/>
    <m/>
    <m/>
    <m/>
    <n v="5"/>
    <n v="4"/>
    <n v="28"/>
    <n v="0"/>
    <m/>
    <x v="0"/>
    <m/>
  </r>
  <r>
    <s v="04-April"/>
    <s v="OUTREACH/BOOKMOBILE"/>
    <m/>
    <m/>
    <n v="905"/>
    <m/>
    <m/>
    <m/>
    <m/>
    <m/>
    <m/>
    <m/>
    <m/>
    <m/>
    <m/>
    <m/>
    <n v="1"/>
    <m/>
    <m/>
    <n v="2"/>
    <m/>
    <n v="25"/>
    <m/>
    <m/>
    <n v="16"/>
    <m/>
    <m/>
    <m/>
    <m/>
    <m/>
    <m/>
    <m/>
    <m/>
    <m/>
    <m/>
    <m/>
    <m/>
    <m/>
    <m/>
    <m/>
    <m/>
    <m/>
    <m/>
    <m/>
    <m/>
    <m/>
    <m/>
    <m/>
    <n v="385"/>
    <n v="2"/>
    <n v="8"/>
    <m/>
    <m/>
    <x v="0"/>
    <m/>
  </r>
  <r>
    <s v="04-April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4-April"/>
    <s v="YCL (System Wide)"/>
    <m/>
    <m/>
    <m/>
    <m/>
    <m/>
    <m/>
    <m/>
    <m/>
    <m/>
    <n v="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4-April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4-April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4-April"/>
    <s v="YCL (System Wide)"/>
    <m/>
    <m/>
    <m/>
    <m/>
    <n v="0"/>
    <m/>
    <n v="80838"/>
    <n v="357"/>
    <m/>
    <m/>
    <m/>
    <m/>
    <m/>
    <n v="53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4-April"/>
    <s v="YCL (System Wide)"/>
    <m/>
    <n v="6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8-August"/>
    <s v="ROCK HILL"/>
    <m/>
    <n v="248"/>
    <n v="14835"/>
    <n v="1918"/>
    <m/>
    <m/>
    <m/>
    <m/>
    <n v="20"/>
    <m/>
    <m/>
    <m/>
    <m/>
    <m/>
    <m/>
    <m/>
    <n v="5"/>
    <n v="16"/>
    <n v="1"/>
    <m/>
    <m/>
    <n v="46"/>
    <n v="135"/>
    <n v="34"/>
    <m/>
    <m/>
    <m/>
    <m/>
    <m/>
    <m/>
    <m/>
    <m/>
    <m/>
    <m/>
    <m/>
    <m/>
    <m/>
    <m/>
    <m/>
    <m/>
    <m/>
    <m/>
    <m/>
    <m/>
    <m/>
    <m/>
    <n v="244"/>
    <n v="50"/>
    <n v="375"/>
    <n v="21"/>
    <m/>
    <x v="0"/>
    <m/>
  </r>
  <r>
    <s v="08-August"/>
    <s v="CLOVER"/>
    <m/>
    <n v="51"/>
    <n v="2957"/>
    <n v="353"/>
    <m/>
    <n v="1"/>
    <m/>
    <m/>
    <n v="0"/>
    <m/>
    <m/>
    <m/>
    <m/>
    <m/>
    <n v="1"/>
    <m/>
    <m/>
    <n v="4"/>
    <n v="1"/>
    <n v="16"/>
    <m/>
    <m/>
    <n v="20"/>
    <n v="5"/>
    <m/>
    <m/>
    <m/>
    <m/>
    <m/>
    <m/>
    <m/>
    <m/>
    <m/>
    <m/>
    <m/>
    <m/>
    <m/>
    <m/>
    <m/>
    <m/>
    <m/>
    <m/>
    <m/>
    <m/>
    <m/>
    <m/>
    <n v="100"/>
    <n v="26"/>
    <n v="76.5"/>
    <m/>
    <m/>
    <x v="0"/>
    <m/>
  </r>
  <r>
    <s v="08-August"/>
    <s v="FORT MILL"/>
    <m/>
    <n v="191"/>
    <n v="9858"/>
    <n v="765"/>
    <m/>
    <n v="3"/>
    <m/>
    <m/>
    <n v="5"/>
    <m/>
    <m/>
    <m/>
    <m/>
    <m/>
    <m/>
    <n v="1"/>
    <m/>
    <n v="6"/>
    <n v="1"/>
    <m/>
    <n v="15"/>
    <m/>
    <n v="50"/>
    <n v="52"/>
    <m/>
    <m/>
    <m/>
    <m/>
    <m/>
    <m/>
    <m/>
    <m/>
    <m/>
    <m/>
    <m/>
    <m/>
    <m/>
    <m/>
    <m/>
    <m/>
    <m/>
    <m/>
    <m/>
    <m/>
    <m/>
    <m/>
    <n v="242"/>
    <n v="1"/>
    <n v="1"/>
    <m/>
    <m/>
    <x v="0"/>
    <m/>
  </r>
  <r>
    <s v="08-August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"/>
    <n v="133"/>
    <m/>
    <m/>
    <x v="0"/>
    <m/>
  </r>
  <r>
    <s v="08-August"/>
    <s v="LAKE WYLIE"/>
    <m/>
    <n v="60"/>
    <n v="3610"/>
    <n v="196"/>
    <m/>
    <n v="10"/>
    <m/>
    <m/>
    <n v="0"/>
    <m/>
    <m/>
    <m/>
    <m/>
    <m/>
    <n v="1"/>
    <n v="0"/>
    <n v="0"/>
    <n v="10"/>
    <n v="4"/>
    <n v="7"/>
    <n v="0"/>
    <n v="0"/>
    <n v="82"/>
    <n v="27"/>
    <m/>
    <n v="0"/>
    <m/>
    <m/>
    <m/>
    <m/>
    <n v="0"/>
    <m/>
    <m/>
    <m/>
    <m/>
    <m/>
    <m/>
    <m/>
    <m/>
    <m/>
    <m/>
    <m/>
    <m/>
    <m/>
    <m/>
    <m/>
    <n v="249"/>
    <n v="11"/>
    <n v="81.5"/>
    <n v="3"/>
    <m/>
    <x v="0"/>
    <m/>
  </r>
  <r>
    <s v="08-August"/>
    <s v="YORK"/>
    <m/>
    <n v="130"/>
    <n v="3663"/>
    <n v="516"/>
    <m/>
    <n v="3"/>
    <m/>
    <m/>
    <n v="0"/>
    <m/>
    <m/>
    <m/>
    <m/>
    <m/>
    <m/>
    <m/>
    <m/>
    <n v="2"/>
    <m/>
    <m/>
    <m/>
    <m/>
    <n v="15"/>
    <m/>
    <m/>
    <n v="1"/>
    <m/>
    <m/>
    <m/>
    <m/>
    <n v="40"/>
    <m/>
    <m/>
    <m/>
    <m/>
    <m/>
    <m/>
    <m/>
    <m/>
    <m/>
    <m/>
    <m/>
    <m/>
    <m/>
    <m/>
    <m/>
    <n v="0"/>
    <n v="6"/>
    <n v="30"/>
    <n v="0"/>
    <m/>
    <x v="0"/>
    <m/>
  </r>
  <r>
    <s v="08-August"/>
    <s v="OUTREACH/BOOKMOBILE"/>
    <m/>
    <n v="34"/>
    <n v="7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3"/>
    <m/>
    <m/>
    <n v="6"/>
    <m/>
    <x v="0"/>
    <m/>
  </r>
  <r>
    <s v="08-August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8-August"/>
    <s v="YCL (System Wide)"/>
    <m/>
    <m/>
    <m/>
    <m/>
    <m/>
    <m/>
    <m/>
    <m/>
    <m/>
    <n v="5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8-August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8-August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8-August"/>
    <s v="YCL (System Wide)"/>
    <m/>
    <m/>
    <m/>
    <m/>
    <n v="0"/>
    <m/>
    <n v="84346"/>
    <n v="351"/>
    <m/>
    <m/>
    <m/>
    <m/>
    <m/>
    <n v="57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8-August"/>
    <s v="YCL (System Wide)"/>
    <m/>
    <n v="7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2-December"/>
    <s v="ROCK HILL"/>
    <m/>
    <n v="122"/>
    <n v="12444"/>
    <n v="1383"/>
    <m/>
    <n v="5"/>
    <m/>
    <m/>
    <n v="13"/>
    <m/>
    <m/>
    <m/>
    <m/>
    <m/>
    <n v="23"/>
    <n v="73"/>
    <n v="20"/>
    <n v="21"/>
    <n v="9"/>
    <n v="899"/>
    <n v="73"/>
    <n v="1402"/>
    <n v="175"/>
    <n v="216"/>
    <m/>
    <n v="7"/>
    <m/>
    <m/>
    <m/>
    <m/>
    <n v="1308"/>
    <m/>
    <m/>
    <m/>
    <m/>
    <m/>
    <m/>
    <m/>
    <m/>
    <m/>
    <m/>
    <m/>
    <m/>
    <m/>
    <m/>
    <m/>
    <n v="259"/>
    <n v="10"/>
    <n v="23"/>
    <n v="9"/>
    <m/>
    <x v="0"/>
    <m/>
  </r>
  <r>
    <s v="12-December"/>
    <s v="FORT MILL"/>
    <m/>
    <m/>
    <n v="9136"/>
    <n v="541"/>
    <m/>
    <n v="2"/>
    <m/>
    <m/>
    <n v="5"/>
    <m/>
    <m/>
    <m/>
    <m/>
    <m/>
    <n v="14"/>
    <n v="4"/>
    <n v="6"/>
    <n v="11"/>
    <n v="3"/>
    <n v="418"/>
    <n v="49"/>
    <n v="68"/>
    <n v="71"/>
    <n v="114"/>
    <m/>
    <m/>
    <m/>
    <m/>
    <m/>
    <m/>
    <m/>
    <m/>
    <m/>
    <m/>
    <m/>
    <m/>
    <m/>
    <m/>
    <m/>
    <m/>
    <m/>
    <m/>
    <m/>
    <m/>
    <m/>
    <m/>
    <n v="368"/>
    <m/>
    <m/>
    <m/>
    <m/>
    <x v="0"/>
    <m/>
  </r>
  <r>
    <s v="12-December"/>
    <s v="LAKE WYLIE"/>
    <m/>
    <n v="48"/>
    <n v="3025"/>
    <n v="148"/>
    <m/>
    <n v="9"/>
    <m/>
    <m/>
    <n v="2"/>
    <m/>
    <m/>
    <m/>
    <m/>
    <m/>
    <n v="7"/>
    <n v="4"/>
    <n v="2"/>
    <n v="5"/>
    <n v="0"/>
    <n v="127"/>
    <n v="43"/>
    <n v="5"/>
    <n v="41"/>
    <n v="0"/>
    <m/>
    <n v="0"/>
    <m/>
    <m/>
    <m/>
    <m/>
    <n v="0"/>
    <m/>
    <m/>
    <m/>
    <m/>
    <m/>
    <m/>
    <m/>
    <m/>
    <m/>
    <m/>
    <m/>
    <m/>
    <m/>
    <m/>
    <m/>
    <n v="301"/>
    <n v="1"/>
    <n v="8"/>
    <n v="8"/>
    <m/>
    <x v="0"/>
    <m/>
  </r>
  <r>
    <s v="12-December"/>
    <s v="YORK"/>
    <m/>
    <m/>
    <n v="2841"/>
    <n v="347"/>
    <m/>
    <n v="2"/>
    <m/>
    <m/>
    <n v="0"/>
    <m/>
    <m/>
    <m/>
    <m/>
    <m/>
    <n v="9"/>
    <n v="3"/>
    <n v="1"/>
    <n v="7"/>
    <m/>
    <n v="166"/>
    <n v="81"/>
    <n v="7"/>
    <n v="60"/>
    <m/>
    <m/>
    <m/>
    <m/>
    <m/>
    <m/>
    <m/>
    <m/>
    <m/>
    <m/>
    <m/>
    <m/>
    <m/>
    <m/>
    <m/>
    <m/>
    <m/>
    <m/>
    <m/>
    <m/>
    <m/>
    <m/>
    <m/>
    <n v="70"/>
    <n v="5"/>
    <n v="10"/>
    <n v="0"/>
    <m/>
    <x v="0"/>
    <m/>
  </r>
  <r>
    <s v="12-December"/>
    <s v="OUTREACH/BOOKMOBILE"/>
    <m/>
    <m/>
    <n v="600"/>
    <m/>
    <m/>
    <m/>
    <m/>
    <m/>
    <m/>
    <m/>
    <m/>
    <m/>
    <m/>
    <m/>
    <n v="3"/>
    <m/>
    <m/>
    <m/>
    <m/>
    <n v="98"/>
    <m/>
    <m/>
    <m/>
    <m/>
    <m/>
    <m/>
    <m/>
    <m/>
    <m/>
    <m/>
    <m/>
    <m/>
    <m/>
    <m/>
    <m/>
    <m/>
    <m/>
    <m/>
    <m/>
    <m/>
    <m/>
    <m/>
    <m/>
    <m/>
    <m/>
    <m/>
    <n v="586"/>
    <m/>
    <m/>
    <m/>
    <m/>
    <x v="0"/>
    <m/>
  </r>
  <r>
    <s v="12-Dec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2-December"/>
    <s v="YCL (System Wide)"/>
    <m/>
    <m/>
    <m/>
    <m/>
    <m/>
    <m/>
    <m/>
    <m/>
    <m/>
    <n v="2"/>
    <n v="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2-Dec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2-Dec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2-December"/>
    <s v="YCL (System Wide)"/>
    <m/>
    <m/>
    <m/>
    <m/>
    <n v="0"/>
    <m/>
    <n v="65379"/>
    <n v="312"/>
    <m/>
    <m/>
    <m/>
    <m/>
    <m/>
    <n v="44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2-December"/>
    <s v="CLOVER"/>
    <m/>
    <m/>
    <n v="20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2-December"/>
    <s v="YCL (System Wide)"/>
    <m/>
    <n v="3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2-February"/>
    <s v="CLOVER"/>
    <m/>
    <m/>
    <n v="2241"/>
    <n v="207"/>
    <m/>
    <m/>
    <m/>
    <m/>
    <m/>
    <m/>
    <m/>
    <m/>
    <m/>
    <m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0"/>
    <n v="35"/>
    <n v="59.5"/>
    <m/>
    <m/>
    <x v="0"/>
    <m/>
  </r>
  <r>
    <s v="02-February"/>
    <s v="FORT MILL"/>
    <m/>
    <m/>
    <n v="11408"/>
    <n v="686"/>
    <m/>
    <n v="14"/>
    <m/>
    <m/>
    <n v="6"/>
    <m/>
    <m/>
    <m/>
    <m/>
    <m/>
    <n v="23"/>
    <n v="6"/>
    <n v="7"/>
    <n v="14"/>
    <n v="4"/>
    <n v="683"/>
    <n v="66"/>
    <n v="93"/>
    <n v="116"/>
    <n v="154"/>
    <m/>
    <n v="1"/>
    <m/>
    <m/>
    <m/>
    <m/>
    <n v="400"/>
    <m/>
    <m/>
    <m/>
    <m/>
    <m/>
    <m/>
    <m/>
    <m/>
    <m/>
    <m/>
    <m/>
    <m/>
    <m/>
    <m/>
    <m/>
    <n v="365"/>
    <n v="16"/>
    <n v="120"/>
    <m/>
    <m/>
    <x v="0"/>
    <m/>
  </r>
  <r>
    <s v="02-February"/>
    <s v="LAKE WYLIE"/>
    <m/>
    <m/>
    <n v="3400"/>
    <n v="193"/>
    <m/>
    <n v="11"/>
    <m/>
    <m/>
    <n v="3"/>
    <m/>
    <m/>
    <m/>
    <m/>
    <m/>
    <n v="5"/>
    <n v="4"/>
    <n v="2"/>
    <n v="13"/>
    <n v="0"/>
    <n v="52"/>
    <n v="47"/>
    <n v="8"/>
    <n v="118"/>
    <n v="0"/>
    <m/>
    <n v="0"/>
    <m/>
    <m/>
    <m/>
    <m/>
    <n v="0"/>
    <m/>
    <m/>
    <m/>
    <m/>
    <m/>
    <m/>
    <m/>
    <m/>
    <m/>
    <m/>
    <m/>
    <m/>
    <m/>
    <m/>
    <m/>
    <n v="432"/>
    <n v="1"/>
    <n v="86"/>
    <n v="5"/>
    <m/>
    <x v="0"/>
    <m/>
  </r>
  <r>
    <s v="02-February"/>
    <s v="YORK"/>
    <m/>
    <m/>
    <n v="3286"/>
    <n v="409"/>
    <m/>
    <n v="5"/>
    <m/>
    <m/>
    <n v="0"/>
    <m/>
    <m/>
    <m/>
    <m/>
    <m/>
    <n v="7"/>
    <n v="3"/>
    <n v="1"/>
    <n v="8"/>
    <n v="1"/>
    <n v="73"/>
    <n v="68"/>
    <n v="5"/>
    <n v="67"/>
    <n v="20"/>
    <m/>
    <n v="1"/>
    <m/>
    <m/>
    <m/>
    <m/>
    <n v="57"/>
    <m/>
    <m/>
    <m/>
    <m/>
    <m/>
    <m/>
    <m/>
    <m/>
    <m/>
    <m/>
    <m/>
    <m/>
    <m/>
    <m/>
    <m/>
    <n v="48"/>
    <n v="18"/>
    <n v="86.5"/>
    <n v="2"/>
    <m/>
    <x v="0"/>
    <m/>
  </r>
  <r>
    <s v="02-February"/>
    <s v="OUTREACH/BOOKMOBILE"/>
    <m/>
    <m/>
    <n v="1153"/>
    <m/>
    <m/>
    <m/>
    <m/>
    <m/>
    <m/>
    <m/>
    <m/>
    <m/>
    <m/>
    <m/>
    <n v="4"/>
    <m/>
    <m/>
    <m/>
    <m/>
    <n v="104"/>
    <m/>
    <m/>
    <m/>
    <m/>
    <m/>
    <m/>
    <m/>
    <m/>
    <m/>
    <m/>
    <m/>
    <m/>
    <m/>
    <m/>
    <m/>
    <m/>
    <m/>
    <m/>
    <m/>
    <m/>
    <m/>
    <m/>
    <m/>
    <m/>
    <m/>
    <m/>
    <m/>
    <n v="1"/>
    <n v="1.5"/>
    <m/>
    <m/>
    <x v="0"/>
    <m/>
  </r>
  <r>
    <s v="02-Febr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2-Febr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2-Febr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2-Febr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2-February"/>
    <s v="YCL (System Wide)"/>
    <m/>
    <m/>
    <m/>
    <m/>
    <n v="0"/>
    <m/>
    <n v="73349"/>
    <n v="333"/>
    <m/>
    <m/>
    <m/>
    <m/>
    <m/>
    <n v="54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2-February"/>
    <s v="ROCK HILL"/>
    <m/>
    <m/>
    <n v="138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2-February"/>
    <s v="YCL (System Wide)"/>
    <m/>
    <n v="5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1-January"/>
    <s v="CLOVER"/>
    <m/>
    <n v="27"/>
    <n v="2152"/>
    <n v="216"/>
    <m/>
    <n v="1"/>
    <m/>
    <m/>
    <m/>
    <m/>
    <m/>
    <m/>
    <m/>
    <m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30"/>
    <n v="38"/>
    <n v="26.5"/>
    <m/>
    <m/>
    <x v="0"/>
    <m/>
  </r>
  <r>
    <s v="01-January"/>
    <s v="FORT MILL"/>
    <m/>
    <m/>
    <n v="10005"/>
    <n v="679"/>
    <m/>
    <n v="6"/>
    <m/>
    <m/>
    <n v="5"/>
    <m/>
    <m/>
    <m/>
    <m/>
    <m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469"/>
    <m/>
    <m/>
    <m/>
    <m/>
    <x v="0"/>
    <m/>
  </r>
  <r>
    <s v="01-January"/>
    <s v="LAKE WYLIE"/>
    <m/>
    <n v="46"/>
    <n v="3147"/>
    <n v="138"/>
    <m/>
    <n v="9"/>
    <m/>
    <m/>
    <n v="3"/>
    <m/>
    <m/>
    <m/>
    <m/>
    <m/>
    <n v="1"/>
    <n v="2"/>
    <n v="2"/>
    <n v="10"/>
    <n v="0"/>
    <n v="8"/>
    <n v="6"/>
    <n v="4"/>
    <n v="105"/>
    <n v="0"/>
    <m/>
    <n v="0"/>
    <m/>
    <m/>
    <m/>
    <m/>
    <n v="0"/>
    <m/>
    <m/>
    <m/>
    <m/>
    <m/>
    <m/>
    <m/>
    <m/>
    <m/>
    <m/>
    <m/>
    <m/>
    <m/>
    <m/>
    <m/>
    <n v="261"/>
    <n v="1"/>
    <n v="9"/>
    <n v="2"/>
    <m/>
    <x v="0"/>
    <m/>
  </r>
  <r>
    <s v="01-January"/>
    <s v="YORK"/>
    <m/>
    <n v="56"/>
    <n v="3430"/>
    <n v="395"/>
    <m/>
    <n v="3"/>
    <m/>
    <m/>
    <n v="0"/>
    <m/>
    <m/>
    <m/>
    <m/>
    <m/>
    <n v="10"/>
    <n v="2"/>
    <n v="2"/>
    <n v="9"/>
    <m/>
    <n v="146"/>
    <n v="56"/>
    <n v="15"/>
    <n v="91"/>
    <m/>
    <m/>
    <m/>
    <m/>
    <m/>
    <m/>
    <m/>
    <m/>
    <m/>
    <m/>
    <m/>
    <m/>
    <m/>
    <m/>
    <m/>
    <m/>
    <m/>
    <m/>
    <m/>
    <m/>
    <m/>
    <m/>
    <m/>
    <n v="150"/>
    <n v="4"/>
    <n v="16"/>
    <n v="3"/>
    <m/>
    <x v="0"/>
    <m/>
  </r>
  <r>
    <s v="01-January"/>
    <s v="OUTREACH/BOOKMOBILE"/>
    <m/>
    <m/>
    <n v="625"/>
    <m/>
    <m/>
    <m/>
    <m/>
    <m/>
    <m/>
    <m/>
    <m/>
    <m/>
    <m/>
    <m/>
    <n v="3"/>
    <m/>
    <m/>
    <m/>
    <m/>
    <n v="96"/>
    <m/>
    <m/>
    <m/>
    <m/>
    <m/>
    <m/>
    <m/>
    <m/>
    <m/>
    <m/>
    <m/>
    <m/>
    <m/>
    <m/>
    <m/>
    <m/>
    <m/>
    <m/>
    <m/>
    <m/>
    <m/>
    <m/>
    <m/>
    <m/>
    <m/>
    <m/>
    <n v="130"/>
    <n v="1"/>
    <n v="1"/>
    <m/>
    <m/>
    <x v="0"/>
    <m/>
  </r>
  <r>
    <s v="01-Jan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1-January"/>
    <s v="YCL (System Wide)"/>
    <m/>
    <m/>
    <m/>
    <m/>
    <m/>
    <m/>
    <m/>
    <m/>
    <m/>
    <n v="7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1-Jan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1-Jan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1-January"/>
    <s v="YCL (System Wide)"/>
    <m/>
    <m/>
    <m/>
    <m/>
    <m/>
    <m/>
    <m/>
    <m/>
    <m/>
    <n v="2"/>
    <n v="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1-January"/>
    <s v="YCL (System Wide)"/>
    <m/>
    <m/>
    <m/>
    <m/>
    <n v="0"/>
    <m/>
    <n v="77438"/>
    <n v="350"/>
    <m/>
    <m/>
    <m/>
    <m/>
    <m/>
    <n v="45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1-January"/>
    <s v="ROCK HILL"/>
    <m/>
    <m/>
    <n v="13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1-January"/>
    <s v="YCL (System Wide)"/>
    <m/>
    <n v="5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7-July"/>
    <s v="ROCK HILL"/>
    <m/>
    <n v="241"/>
    <n v="19042"/>
    <n v="2069"/>
    <m/>
    <n v="2"/>
    <m/>
    <m/>
    <n v="40"/>
    <m/>
    <m/>
    <m/>
    <m/>
    <m/>
    <n v="11"/>
    <n v="5"/>
    <n v="25"/>
    <n v="20"/>
    <n v="13"/>
    <n v="652"/>
    <n v="153"/>
    <n v="315"/>
    <n v="165"/>
    <n v="1092"/>
    <m/>
    <n v="2"/>
    <m/>
    <m/>
    <m/>
    <m/>
    <n v="71"/>
    <m/>
    <m/>
    <m/>
    <m/>
    <m/>
    <m/>
    <m/>
    <m/>
    <m/>
    <m/>
    <m/>
    <m/>
    <m/>
    <m/>
    <m/>
    <n v="674"/>
    <n v="9"/>
    <n v="53"/>
    <n v="7"/>
    <m/>
    <x v="0"/>
    <m/>
  </r>
  <r>
    <s v="07-July"/>
    <s v="CLOVER"/>
    <m/>
    <n v="33"/>
    <n v="3101"/>
    <n v="320"/>
    <m/>
    <m/>
    <m/>
    <m/>
    <n v="0"/>
    <m/>
    <m/>
    <m/>
    <m/>
    <m/>
    <n v="14"/>
    <n v="3"/>
    <n v="5"/>
    <n v="6"/>
    <n v="6"/>
    <n v="177"/>
    <n v="17"/>
    <n v="30"/>
    <n v="53"/>
    <n v="106"/>
    <m/>
    <m/>
    <m/>
    <m/>
    <m/>
    <m/>
    <m/>
    <m/>
    <m/>
    <m/>
    <m/>
    <m/>
    <m/>
    <m/>
    <m/>
    <m/>
    <m/>
    <m/>
    <m/>
    <m/>
    <m/>
    <m/>
    <n v="108"/>
    <n v="17"/>
    <n v="20.5"/>
    <m/>
    <m/>
    <x v="0"/>
    <m/>
  </r>
  <r>
    <s v="07-July"/>
    <s v="FORT MILL"/>
    <m/>
    <n v="332"/>
    <n v="13217"/>
    <n v="935"/>
    <m/>
    <n v="2"/>
    <m/>
    <m/>
    <n v="5"/>
    <m/>
    <m/>
    <m/>
    <m/>
    <m/>
    <n v="24"/>
    <n v="5"/>
    <n v="7"/>
    <n v="8"/>
    <n v="15"/>
    <n v="737"/>
    <n v="95"/>
    <n v="86"/>
    <n v="75"/>
    <n v="741"/>
    <m/>
    <n v="1"/>
    <m/>
    <m/>
    <m/>
    <m/>
    <n v="12"/>
    <m/>
    <m/>
    <m/>
    <m/>
    <m/>
    <m/>
    <m/>
    <m/>
    <m/>
    <m/>
    <m/>
    <m/>
    <m/>
    <m/>
    <m/>
    <n v="491"/>
    <n v="1"/>
    <n v="1"/>
    <m/>
    <m/>
    <x v="0"/>
    <m/>
  </r>
  <r>
    <s v="07-July"/>
    <s v="YORK"/>
    <m/>
    <n v="72"/>
    <n v="4740"/>
    <n v="538"/>
    <m/>
    <n v="2"/>
    <m/>
    <m/>
    <n v="0"/>
    <m/>
    <m/>
    <m/>
    <m/>
    <m/>
    <n v="9"/>
    <n v="10"/>
    <n v="3"/>
    <n v="7"/>
    <n v="0"/>
    <n v="143"/>
    <n v="292"/>
    <n v="32"/>
    <n v="114"/>
    <n v="0"/>
    <m/>
    <n v="0"/>
    <m/>
    <m/>
    <m/>
    <m/>
    <n v="0"/>
    <m/>
    <m/>
    <m/>
    <m/>
    <m/>
    <m/>
    <m/>
    <m/>
    <m/>
    <m/>
    <m/>
    <m/>
    <m/>
    <m/>
    <m/>
    <n v="35"/>
    <n v="6"/>
    <n v="108"/>
    <n v="0"/>
    <m/>
    <x v="0"/>
    <m/>
  </r>
  <r>
    <s v="07-Jul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7-July"/>
    <s v="YCL (System Wide)"/>
    <m/>
    <m/>
    <m/>
    <m/>
    <m/>
    <m/>
    <m/>
    <m/>
    <m/>
    <n v="11"/>
    <n v="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7-Jul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7-Jul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7-July"/>
    <s v="YCL (System Wide)"/>
    <m/>
    <m/>
    <m/>
    <m/>
    <n v="0"/>
    <m/>
    <n v="76749"/>
    <n v="376"/>
    <m/>
    <m/>
    <m/>
    <m/>
    <m/>
    <n v="48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7-July"/>
    <s v="LAKE WYLIE"/>
    <m/>
    <n v="75"/>
    <n v="47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7-July"/>
    <s v="YCL (System Wide)"/>
    <m/>
    <n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7-July"/>
    <s v="OUTREACH / BOOKMOBILE"/>
    <m/>
    <n v="24"/>
    <n v="8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3-March"/>
    <s v="ROCK HILL"/>
    <m/>
    <n v="206"/>
    <n v="15534"/>
    <n v="2125"/>
    <m/>
    <n v="6"/>
    <m/>
    <m/>
    <n v="21"/>
    <m/>
    <m/>
    <m/>
    <m/>
    <m/>
    <n v="31"/>
    <n v="5"/>
    <n v="13"/>
    <n v="27"/>
    <n v="6"/>
    <n v="1188"/>
    <n v="116"/>
    <n v="155"/>
    <n v="277"/>
    <n v="106"/>
    <m/>
    <n v="7"/>
    <m/>
    <m/>
    <m/>
    <m/>
    <n v="111"/>
    <m/>
    <m/>
    <m/>
    <m/>
    <m/>
    <m/>
    <m/>
    <m/>
    <m/>
    <m/>
    <m/>
    <m/>
    <m/>
    <m/>
    <m/>
    <n v="30"/>
    <n v="42"/>
    <n v="40.5"/>
    <n v="10"/>
    <m/>
    <x v="0"/>
    <m/>
  </r>
  <r>
    <s v="03-March"/>
    <s v="CLOVER"/>
    <m/>
    <n v="35"/>
    <n v="2402"/>
    <n v="208"/>
    <m/>
    <n v="0"/>
    <m/>
    <m/>
    <m/>
    <m/>
    <m/>
    <m/>
    <m/>
    <m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0"/>
    <n v="19"/>
    <n v="20"/>
    <n v="0"/>
    <m/>
    <x v="0"/>
    <m/>
  </r>
  <r>
    <s v="03-March"/>
    <s v="FORT MILL"/>
    <m/>
    <m/>
    <n v="12508"/>
    <n v="810"/>
    <m/>
    <n v="14"/>
    <m/>
    <m/>
    <n v="5"/>
    <m/>
    <m/>
    <m/>
    <m/>
    <m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320"/>
    <n v="5"/>
    <n v="5"/>
    <m/>
    <m/>
    <x v="0"/>
    <m/>
  </r>
  <r>
    <s v="03-March"/>
    <s v="LAKE WYLIE"/>
    <m/>
    <n v="55"/>
    <n v="3808"/>
    <n v="218"/>
    <m/>
    <n v="12"/>
    <m/>
    <m/>
    <n v="2"/>
    <m/>
    <m/>
    <m/>
    <m/>
    <m/>
    <n v="4"/>
    <n v="2"/>
    <n v="2"/>
    <n v="13"/>
    <n v="2"/>
    <n v="39"/>
    <n v="7"/>
    <n v="19"/>
    <n v="122"/>
    <n v="16"/>
    <m/>
    <n v="0"/>
    <m/>
    <m/>
    <m/>
    <m/>
    <n v="0"/>
    <m/>
    <m/>
    <m/>
    <m/>
    <m/>
    <m/>
    <m/>
    <m/>
    <m/>
    <m/>
    <m/>
    <m/>
    <m/>
    <m/>
    <m/>
    <n v="365"/>
    <n v="1"/>
    <n v="53"/>
    <n v="9"/>
    <m/>
    <x v="0"/>
    <m/>
  </r>
  <r>
    <s v="03-March"/>
    <s v="YORK"/>
    <m/>
    <m/>
    <n v="3798"/>
    <n v="458"/>
    <m/>
    <n v="4"/>
    <m/>
    <m/>
    <n v="0"/>
    <m/>
    <m/>
    <m/>
    <m/>
    <m/>
    <n v="14"/>
    <n v="1"/>
    <n v="1"/>
    <n v="8"/>
    <m/>
    <n v="162"/>
    <n v="4"/>
    <n v="4"/>
    <n v="61"/>
    <m/>
    <m/>
    <n v="1"/>
    <m/>
    <m/>
    <m/>
    <m/>
    <n v="20"/>
    <m/>
    <m/>
    <m/>
    <m/>
    <m/>
    <m/>
    <m/>
    <m/>
    <m/>
    <m/>
    <m/>
    <m/>
    <m/>
    <m/>
    <m/>
    <n v="45"/>
    <n v="11"/>
    <n v="66"/>
    <n v="0"/>
    <m/>
    <x v="0"/>
    <m/>
  </r>
  <r>
    <s v="03-March"/>
    <s v="OUTREACH/BOOKMOBILE"/>
    <m/>
    <m/>
    <n v="507"/>
    <m/>
    <m/>
    <m/>
    <m/>
    <m/>
    <m/>
    <m/>
    <m/>
    <m/>
    <m/>
    <m/>
    <n v="4"/>
    <m/>
    <m/>
    <m/>
    <m/>
    <n v="123"/>
    <m/>
    <m/>
    <m/>
    <m/>
    <m/>
    <m/>
    <m/>
    <m/>
    <m/>
    <m/>
    <m/>
    <m/>
    <m/>
    <m/>
    <m/>
    <m/>
    <m/>
    <m/>
    <m/>
    <m/>
    <m/>
    <m/>
    <m/>
    <m/>
    <m/>
    <m/>
    <n v="489"/>
    <n v="2"/>
    <n v="2"/>
    <n v="3"/>
    <m/>
    <x v="0"/>
    <m/>
  </r>
  <r>
    <s v="03-March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3-March"/>
    <s v="YCL (System Wide)"/>
    <m/>
    <m/>
    <m/>
    <m/>
    <m/>
    <m/>
    <m/>
    <m/>
    <m/>
    <n v="6"/>
    <n v="1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3-March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3-March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3-March"/>
    <s v="YCL (System Wide)"/>
    <m/>
    <m/>
    <m/>
    <m/>
    <n v="0"/>
    <m/>
    <n v="82902"/>
    <n v="380"/>
    <m/>
    <m/>
    <m/>
    <m/>
    <m/>
    <n v="64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3-March"/>
    <s v="YCL (System Wide)"/>
    <m/>
    <n v="5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5-May"/>
    <s v="ROCK HILL"/>
    <m/>
    <n v="376"/>
    <n v="17040"/>
    <n v="1972"/>
    <m/>
    <n v="12"/>
    <m/>
    <m/>
    <n v="38"/>
    <m/>
    <m/>
    <m/>
    <m/>
    <m/>
    <n v="15"/>
    <n v="6"/>
    <n v="10"/>
    <n v="22"/>
    <n v="8"/>
    <n v="636"/>
    <n v="140"/>
    <n v="59"/>
    <n v="245"/>
    <n v="1644"/>
    <m/>
    <n v="5"/>
    <m/>
    <m/>
    <m/>
    <m/>
    <n v="21"/>
    <m/>
    <m/>
    <m/>
    <m/>
    <m/>
    <m/>
    <m/>
    <m/>
    <m/>
    <m/>
    <m/>
    <m/>
    <m/>
    <m/>
    <m/>
    <n v="0"/>
    <n v="15"/>
    <n v="14.5"/>
    <n v="7"/>
    <m/>
    <x v="0"/>
    <m/>
  </r>
  <r>
    <s v="05-May"/>
    <s v="CLOVER"/>
    <m/>
    <n v="59"/>
    <n v="2618"/>
    <n v="229"/>
    <m/>
    <n v="1"/>
    <m/>
    <m/>
    <n v="0"/>
    <n v="0"/>
    <n v="0"/>
    <m/>
    <m/>
    <m/>
    <n v="10"/>
    <n v="2"/>
    <n v="3"/>
    <n v="3"/>
    <n v="0"/>
    <n v="155"/>
    <n v="12"/>
    <n v="17"/>
    <n v="28"/>
    <n v="0"/>
    <m/>
    <n v="0"/>
    <m/>
    <m/>
    <m/>
    <m/>
    <n v="0"/>
    <m/>
    <m/>
    <m/>
    <m/>
    <m/>
    <m/>
    <m/>
    <m/>
    <m/>
    <m/>
    <m/>
    <m/>
    <m/>
    <m/>
    <m/>
    <n v="0"/>
    <n v="1"/>
    <n v="25"/>
    <n v="0"/>
    <m/>
    <x v="0"/>
    <m/>
  </r>
  <r>
    <s v="05-May"/>
    <s v="FORT MILL"/>
    <m/>
    <m/>
    <n v="12340"/>
    <n v="747"/>
    <m/>
    <n v="4"/>
    <m/>
    <m/>
    <n v="5"/>
    <m/>
    <m/>
    <m/>
    <m/>
    <m/>
    <n v="21"/>
    <n v="5"/>
    <n v="5"/>
    <n v="10"/>
    <n v="5"/>
    <n v="714"/>
    <n v="70"/>
    <n v="84"/>
    <n v="96"/>
    <n v="894"/>
    <m/>
    <n v="1"/>
    <m/>
    <m/>
    <m/>
    <m/>
    <n v="770"/>
    <m/>
    <m/>
    <m/>
    <m/>
    <m/>
    <m/>
    <m/>
    <m/>
    <m/>
    <m/>
    <m/>
    <m/>
    <m/>
    <m/>
    <m/>
    <n v="504"/>
    <n v="2"/>
    <n v="2"/>
    <m/>
    <m/>
    <x v="0"/>
    <m/>
  </r>
  <r>
    <s v="05-May"/>
    <s v="LAKE WYLIE"/>
    <m/>
    <n v="68"/>
    <n v="3939"/>
    <n v="163"/>
    <m/>
    <n v="4"/>
    <m/>
    <m/>
    <n v="2"/>
    <m/>
    <m/>
    <m/>
    <m/>
    <m/>
    <n v="4"/>
    <n v="5"/>
    <n v="2"/>
    <n v="9"/>
    <n v="3"/>
    <n v="50"/>
    <n v="51"/>
    <n v="11"/>
    <n v="91"/>
    <n v="3"/>
    <m/>
    <n v="0"/>
    <m/>
    <m/>
    <m/>
    <m/>
    <n v="0"/>
    <m/>
    <m/>
    <m/>
    <m/>
    <m/>
    <m/>
    <m/>
    <m/>
    <m/>
    <m/>
    <m/>
    <m/>
    <m/>
    <m/>
    <m/>
    <n v="411"/>
    <n v="1"/>
    <n v="9"/>
    <n v="1"/>
    <m/>
    <x v="0"/>
    <m/>
  </r>
  <r>
    <s v="05-May"/>
    <s v="YORK"/>
    <m/>
    <n v="64"/>
    <n v="3958"/>
    <n v="451"/>
    <m/>
    <n v="2"/>
    <m/>
    <m/>
    <n v="0"/>
    <m/>
    <m/>
    <m/>
    <m/>
    <m/>
    <n v="10"/>
    <n v="3"/>
    <n v="7"/>
    <n v="9"/>
    <n v="1"/>
    <n v="135"/>
    <n v="72"/>
    <n v="7"/>
    <n v="69"/>
    <n v="112"/>
    <m/>
    <m/>
    <m/>
    <m/>
    <m/>
    <m/>
    <m/>
    <m/>
    <m/>
    <m/>
    <m/>
    <m/>
    <m/>
    <m/>
    <m/>
    <m/>
    <m/>
    <m/>
    <m/>
    <m/>
    <m/>
    <m/>
    <n v="0"/>
    <n v="3"/>
    <n v="9"/>
    <n v="0"/>
    <m/>
    <x v="0"/>
    <m/>
  </r>
  <r>
    <s v="05-May"/>
    <s v="OUTREACH/BOOKMOBILE"/>
    <m/>
    <m/>
    <n v="571"/>
    <m/>
    <m/>
    <m/>
    <m/>
    <m/>
    <m/>
    <m/>
    <m/>
    <m/>
    <m/>
    <m/>
    <n v="1"/>
    <m/>
    <m/>
    <m/>
    <m/>
    <n v="8"/>
    <m/>
    <m/>
    <m/>
    <m/>
    <m/>
    <m/>
    <m/>
    <m/>
    <m/>
    <m/>
    <m/>
    <m/>
    <m/>
    <m/>
    <m/>
    <m/>
    <m/>
    <m/>
    <m/>
    <m/>
    <m/>
    <m/>
    <m/>
    <m/>
    <m/>
    <m/>
    <n v="133"/>
    <m/>
    <m/>
    <m/>
    <m/>
    <x v="0"/>
    <m/>
  </r>
  <r>
    <s v="05-Ma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5-May"/>
    <s v="YCL (System Wide)"/>
    <m/>
    <m/>
    <m/>
    <m/>
    <m/>
    <m/>
    <m/>
    <m/>
    <m/>
    <n v="4"/>
    <n v="1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5-Ma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5-Ma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5-May"/>
    <s v="YCL (System Wide)"/>
    <m/>
    <m/>
    <m/>
    <m/>
    <n v="0"/>
    <m/>
    <n v="89643"/>
    <n v="346"/>
    <m/>
    <m/>
    <m/>
    <m/>
    <m/>
    <n v="65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5-May"/>
    <s v="YCL (System Wide)"/>
    <m/>
    <n v="8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1-November"/>
    <s v="ROCK HILL"/>
    <m/>
    <m/>
    <n v="12852"/>
    <m/>
    <m/>
    <n v="6"/>
    <m/>
    <m/>
    <n v="20"/>
    <m/>
    <m/>
    <m/>
    <m/>
    <m/>
    <n v="23"/>
    <n v="5"/>
    <n v="8"/>
    <n v="18"/>
    <n v="4"/>
    <n v="900"/>
    <n v="132"/>
    <n v="1719"/>
    <n v="162"/>
    <n v="70"/>
    <m/>
    <n v="3"/>
    <m/>
    <m/>
    <m/>
    <m/>
    <n v="1645"/>
    <m/>
    <m/>
    <m/>
    <m/>
    <m/>
    <m/>
    <m/>
    <m/>
    <m/>
    <m/>
    <m/>
    <m/>
    <m/>
    <m/>
    <m/>
    <n v="140"/>
    <n v="17"/>
    <n v="76.25"/>
    <n v="8"/>
    <m/>
    <x v="0"/>
    <m/>
  </r>
  <r>
    <s v="11-November"/>
    <s v="CLOVER"/>
    <m/>
    <m/>
    <n v="2039"/>
    <n v="180"/>
    <m/>
    <m/>
    <m/>
    <m/>
    <m/>
    <m/>
    <m/>
    <m/>
    <m/>
    <m/>
    <n v="7"/>
    <n v="3"/>
    <n v="2"/>
    <n v="6"/>
    <n v="2"/>
    <n v="104"/>
    <n v="19"/>
    <n v="14"/>
    <n v="50"/>
    <n v="69"/>
    <m/>
    <m/>
    <m/>
    <m/>
    <m/>
    <m/>
    <m/>
    <m/>
    <m/>
    <m/>
    <m/>
    <m/>
    <m/>
    <m/>
    <m/>
    <m/>
    <m/>
    <m/>
    <m/>
    <m/>
    <m/>
    <m/>
    <n v="85"/>
    <n v="21"/>
    <n v="22"/>
    <m/>
    <m/>
    <x v="0"/>
    <m/>
  </r>
  <r>
    <s v="11-November"/>
    <s v="FORT MILL"/>
    <m/>
    <m/>
    <n v="8773"/>
    <n v="515"/>
    <m/>
    <n v="4"/>
    <m/>
    <m/>
    <n v="5"/>
    <m/>
    <m/>
    <m/>
    <m/>
    <m/>
    <n v="25"/>
    <n v="6"/>
    <n v="6"/>
    <n v="11"/>
    <n v="3"/>
    <n v="609"/>
    <n v="82"/>
    <n v="52"/>
    <n v="88"/>
    <n v="112"/>
    <m/>
    <m/>
    <m/>
    <m/>
    <m/>
    <m/>
    <m/>
    <m/>
    <m/>
    <m/>
    <m/>
    <m/>
    <m/>
    <m/>
    <m/>
    <m/>
    <m/>
    <m/>
    <m/>
    <m/>
    <m/>
    <m/>
    <n v="388"/>
    <m/>
    <m/>
    <m/>
    <m/>
    <x v="0"/>
    <m/>
  </r>
  <r>
    <s v="11-November"/>
    <s v="LAKE WYLIE"/>
    <m/>
    <n v="41"/>
    <n v="2877"/>
    <n v="149"/>
    <m/>
    <n v="7"/>
    <m/>
    <m/>
    <n v="2"/>
    <m/>
    <m/>
    <m/>
    <m/>
    <m/>
    <n v="7"/>
    <n v="5"/>
    <n v="2"/>
    <n v="8"/>
    <n v="1"/>
    <n v="122"/>
    <n v="44"/>
    <n v="5"/>
    <n v="60"/>
    <n v="8"/>
    <m/>
    <n v="0"/>
    <m/>
    <m/>
    <m/>
    <m/>
    <n v="0"/>
    <m/>
    <m/>
    <m/>
    <m/>
    <m/>
    <m/>
    <m/>
    <m/>
    <m/>
    <m/>
    <m/>
    <m/>
    <m/>
    <m/>
    <m/>
    <n v="349"/>
    <n v="14"/>
    <n v="85"/>
    <n v="4"/>
    <m/>
    <x v="0"/>
    <m/>
  </r>
  <r>
    <s v="11-November"/>
    <s v="YORK"/>
    <m/>
    <m/>
    <n v="3025"/>
    <n v="327"/>
    <m/>
    <n v="3"/>
    <m/>
    <m/>
    <n v="0"/>
    <m/>
    <m/>
    <m/>
    <m/>
    <m/>
    <n v="10"/>
    <n v="2"/>
    <n v="1"/>
    <n v="8"/>
    <m/>
    <n v="104"/>
    <n v="27"/>
    <n v="5"/>
    <n v="162"/>
    <m/>
    <m/>
    <n v="1"/>
    <m/>
    <m/>
    <m/>
    <m/>
    <n v="150"/>
    <m/>
    <m/>
    <m/>
    <m/>
    <m/>
    <m/>
    <m/>
    <m/>
    <m/>
    <m/>
    <m/>
    <m/>
    <m/>
    <m/>
    <m/>
    <n v="0"/>
    <n v="5"/>
    <n v="75"/>
    <n v="1"/>
    <m/>
    <x v="0"/>
    <m/>
  </r>
  <r>
    <s v="11-November"/>
    <s v="OUTREACH/BOOKMOBILE"/>
    <m/>
    <m/>
    <n v="830"/>
    <m/>
    <m/>
    <m/>
    <m/>
    <m/>
    <m/>
    <m/>
    <m/>
    <m/>
    <m/>
    <m/>
    <n v="4"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x v="0"/>
    <m/>
  </r>
  <r>
    <s v="11-Nov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1-November"/>
    <s v="YCL (System Wide)"/>
    <m/>
    <m/>
    <m/>
    <m/>
    <m/>
    <m/>
    <m/>
    <m/>
    <m/>
    <n v="4"/>
    <n v="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1-Nov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1-Nov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1-Nov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1-November"/>
    <s v="YCL (System Wide)"/>
    <m/>
    <m/>
    <m/>
    <m/>
    <n v="0"/>
    <m/>
    <n v="67938"/>
    <n v="270"/>
    <m/>
    <m/>
    <m/>
    <m/>
    <m/>
    <n v="38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1-November"/>
    <s v="YCL (System Wide)"/>
    <m/>
    <n v="3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0-October"/>
    <s v="OUTREACH/BOOKMOBILE"/>
    <m/>
    <m/>
    <n v="815"/>
    <m/>
    <m/>
    <m/>
    <m/>
    <m/>
    <m/>
    <m/>
    <m/>
    <m/>
    <m/>
    <m/>
    <n v="4"/>
    <m/>
    <m/>
    <m/>
    <m/>
    <n v="58"/>
    <m/>
    <m/>
    <m/>
    <m/>
    <m/>
    <m/>
    <m/>
    <m/>
    <m/>
    <m/>
    <m/>
    <m/>
    <m/>
    <m/>
    <m/>
    <m/>
    <m/>
    <m/>
    <m/>
    <m/>
    <m/>
    <m/>
    <m/>
    <m/>
    <m/>
    <m/>
    <n v="445"/>
    <m/>
    <m/>
    <n v="7"/>
    <m/>
    <x v="0"/>
    <m/>
  </r>
  <r>
    <s v="10-October"/>
    <s v="ROCK HILL"/>
    <m/>
    <m/>
    <n v="15812"/>
    <n v="1930"/>
    <m/>
    <n v="3"/>
    <m/>
    <m/>
    <n v="31"/>
    <m/>
    <m/>
    <m/>
    <m/>
    <m/>
    <n v="25"/>
    <n v="9"/>
    <n v="11"/>
    <n v="20"/>
    <n v="7"/>
    <n v="959"/>
    <n v="221"/>
    <n v="137"/>
    <n v="161"/>
    <n v="178"/>
    <m/>
    <n v="5"/>
    <m/>
    <m/>
    <m/>
    <m/>
    <n v="221"/>
    <m/>
    <m/>
    <m/>
    <m/>
    <m/>
    <m/>
    <m/>
    <m/>
    <m/>
    <m/>
    <m/>
    <m/>
    <m/>
    <m/>
    <m/>
    <n v="180"/>
    <n v="14"/>
    <n v="47.75"/>
    <n v="13"/>
    <m/>
    <x v="0"/>
    <m/>
  </r>
  <r>
    <s v="10-October"/>
    <s v="CLOVER"/>
    <m/>
    <n v="35"/>
    <n v="2983"/>
    <n v="288"/>
    <m/>
    <m/>
    <m/>
    <m/>
    <m/>
    <m/>
    <m/>
    <m/>
    <m/>
    <m/>
    <n v="12"/>
    <n v="2"/>
    <n v="2"/>
    <n v="7"/>
    <n v="3"/>
    <n v="140"/>
    <n v="16"/>
    <n v="11"/>
    <n v="60"/>
    <n v="251"/>
    <m/>
    <m/>
    <m/>
    <m/>
    <m/>
    <m/>
    <m/>
    <m/>
    <m/>
    <m/>
    <m/>
    <m/>
    <m/>
    <m/>
    <m/>
    <m/>
    <m/>
    <m/>
    <m/>
    <m/>
    <m/>
    <m/>
    <n v="86"/>
    <n v="30"/>
    <n v="76"/>
    <m/>
    <m/>
    <x v="0"/>
    <m/>
  </r>
  <r>
    <s v="10-October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0-October"/>
    <s v="FORT MILL"/>
    <m/>
    <m/>
    <n v="11091"/>
    <n v="729"/>
    <m/>
    <m/>
    <m/>
    <m/>
    <n v="5"/>
    <m/>
    <m/>
    <m/>
    <m/>
    <m/>
    <n v="40"/>
    <n v="6"/>
    <n v="8"/>
    <n v="10"/>
    <n v="4"/>
    <n v="806"/>
    <n v="82"/>
    <n v="71"/>
    <n v="100"/>
    <n v="108"/>
    <m/>
    <m/>
    <m/>
    <m/>
    <m/>
    <m/>
    <m/>
    <m/>
    <m/>
    <m/>
    <m/>
    <m/>
    <m/>
    <m/>
    <m/>
    <m/>
    <m/>
    <m/>
    <m/>
    <m/>
    <m/>
    <m/>
    <n v="328"/>
    <m/>
    <m/>
    <m/>
    <m/>
    <x v="0"/>
    <m/>
  </r>
  <r>
    <s v="10-October"/>
    <s v="LAKE WYLIE"/>
    <m/>
    <n v="47"/>
    <n v="3989"/>
    <n v="167"/>
    <m/>
    <n v="9"/>
    <m/>
    <m/>
    <n v="2"/>
    <m/>
    <m/>
    <m/>
    <m/>
    <m/>
    <n v="8"/>
    <n v="6"/>
    <n v="3"/>
    <n v="10"/>
    <n v="3"/>
    <n v="178"/>
    <n v="78"/>
    <n v="13"/>
    <n v="83"/>
    <n v="13"/>
    <m/>
    <n v="1"/>
    <m/>
    <m/>
    <m/>
    <m/>
    <n v="24"/>
    <m/>
    <m/>
    <m/>
    <m/>
    <m/>
    <m/>
    <m/>
    <m/>
    <m/>
    <m/>
    <m/>
    <m/>
    <m/>
    <m/>
    <m/>
    <n v="290"/>
    <n v="1"/>
    <n v="6"/>
    <n v="3"/>
    <m/>
    <x v="0"/>
    <m/>
  </r>
  <r>
    <s v="10-October"/>
    <s v="YORK"/>
    <m/>
    <m/>
    <n v="4509"/>
    <n v="616"/>
    <m/>
    <n v="1"/>
    <m/>
    <m/>
    <n v="0"/>
    <m/>
    <m/>
    <m/>
    <m/>
    <m/>
    <n v="11"/>
    <n v="4"/>
    <n v="2"/>
    <n v="9"/>
    <m/>
    <n v="152"/>
    <n v="116"/>
    <n v="11"/>
    <n v="77"/>
    <m/>
    <m/>
    <m/>
    <m/>
    <m/>
    <m/>
    <m/>
    <m/>
    <m/>
    <m/>
    <m/>
    <m/>
    <m/>
    <m/>
    <m/>
    <m/>
    <m/>
    <m/>
    <m/>
    <m/>
    <m/>
    <m/>
    <m/>
    <n v="46"/>
    <n v="6"/>
    <n v="12"/>
    <n v="2"/>
    <m/>
    <x v="0"/>
    <m/>
  </r>
  <r>
    <s v="10-October"/>
    <s v="OUTREACH/BOOKMOBILE"/>
    <m/>
    <m/>
    <n v="944"/>
    <m/>
    <m/>
    <m/>
    <m/>
    <m/>
    <m/>
    <m/>
    <m/>
    <m/>
    <m/>
    <m/>
    <m/>
    <m/>
    <m/>
    <m/>
    <n v="2"/>
    <m/>
    <m/>
    <m/>
    <m/>
    <n v="45"/>
    <m/>
    <m/>
    <m/>
    <m/>
    <m/>
    <m/>
    <m/>
    <m/>
    <m/>
    <m/>
    <m/>
    <m/>
    <m/>
    <m/>
    <m/>
    <m/>
    <m/>
    <m/>
    <m/>
    <m/>
    <m/>
    <m/>
    <n v="426"/>
    <m/>
    <m/>
    <n v="5"/>
    <m/>
    <x v="0"/>
    <m/>
  </r>
  <r>
    <s v="10-Octo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0-October"/>
    <s v="YCL (System Wide)"/>
    <m/>
    <m/>
    <m/>
    <m/>
    <m/>
    <m/>
    <m/>
    <m/>
    <m/>
    <n v="4"/>
    <n v="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0-Octo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0-Octo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0-October"/>
    <s v="YCL (System Wide)"/>
    <m/>
    <m/>
    <m/>
    <m/>
    <n v="0"/>
    <m/>
    <n v="85295"/>
    <n v="364"/>
    <m/>
    <m/>
    <m/>
    <m/>
    <m/>
    <n v="4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0-October"/>
    <s v="YCL (System Wide)"/>
    <m/>
    <n v="5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9-September"/>
    <s v="ROCK HILL"/>
    <m/>
    <n v="202"/>
    <n v="14352"/>
    <m/>
    <m/>
    <n v="2"/>
    <m/>
    <m/>
    <n v="26"/>
    <m/>
    <m/>
    <m/>
    <m/>
    <m/>
    <n v="27"/>
    <n v="7"/>
    <n v="11"/>
    <n v="21"/>
    <n v="7"/>
    <n v="1083"/>
    <n v="1357"/>
    <n v="123"/>
    <n v="184"/>
    <n v="813"/>
    <m/>
    <n v="8"/>
    <m/>
    <m/>
    <m/>
    <m/>
    <n v="2010"/>
    <m/>
    <m/>
    <m/>
    <m/>
    <m/>
    <m/>
    <m/>
    <m/>
    <m/>
    <m/>
    <m/>
    <m/>
    <m/>
    <m/>
    <m/>
    <n v="75"/>
    <n v="10"/>
    <n v="28"/>
    <n v="3"/>
    <m/>
    <x v="0"/>
    <m/>
  </r>
  <r>
    <s v="09-September"/>
    <s v="CLOVER"/>
    <m/>
    <n v="34"/>
    <n v="2576"/>
    <n v="265"/>
    <m/>
    <n v="1"/>
    <m/>
    <m/>
    <m/>
    <m/>
    <m/>
    <m/>
    <m/>
    <m/>
    <n v="9"/>
    <n v="2"/>
    <n v="2"/>
    <n v="6"/>
    <n v="2"/>
    <n v="118"/>
    <n v="28"/>
    <n v="8"/>
    <n v="48"/>
    <n v="65"/>
    <m/>
    <m/>
    <m/>
    <m/>
    <m/>
    <m/>
    <m/>
    <m/>
    <m/>
    <m/>
    <m/>
    <m/>
    <m/>
    <m/>
    <m/>
    <m/>
    <m/>
    <m/>
    <m/>
    <m/>
    <m/>
    <m/>
    <n v="115"/>
    <n v="4"/>
    <n v="9.5"/>
    <m/>
    <m/>
    <x v="0"/>
    <m/>
  </r>
  <r>
    <s v="09-September"/>
    <s v="FORT MILL"/>
    <m/>
    <n v="208"/>
    <n v="10362"/>
    <n v="672"/>
    <m/>
    <n v="2"/>
    <m/>
    <m/>
    <n v="5"/>
    <m/>
    <m/>
    <m/>
    <m/>
    <m/>
    <n v="31"/>
    <n v="5"/>
    <n v="7"/>
    <n v="11"/>
    <n v="1"/>
    <n v="819"/>
    <n v="66"/>
    <n v="85"/>
    <n v="88"/>
    <n v="62"/>
    <m/>
    <m/>
    <m/>
    <m/>
    <m/>
    <m/>
    <m/>
    <m/>
    <m/>
    <m/>
    <m/>
    <m/>
    <m/>
    <m/>
    <m/>
    <m/>
    <m/>
    <m/>
    <m/>
    <m/>
    <m/>
    <m/>
    <n v="407"/>
    <n v="2"/>
    <n v="9"/>
    <m/>
    <m/>
    <x v="0"/>
    <m/>
  </r>
  <r>
    <s v="09-September"/>
    <s v="LAKE WYLIE"/>
    <m/>
    <n v="40"/>
    <n v="3476"/>
    <n v="162"/>
    <m/>
    <n v="11"/>
    <m/>
    <m/>
    <n v="0"/>
    <m/>
    <m/>
    <m/>
    <m/>
    <m/>
    <n v="5"/>
    <n v="5"/>
    <n v="1"/>
    <n v="9"/>
    <n v="3"/>
    <n v="82"/>
    <n v="74"/>
    <n v="3"/>
    <n v="59"/>
    <n v="8"/>
    <m/>
    <n v="0"/>
    <m/>
    <m/>
    <m/>
    <m/>
    <n v="0"/>
    <m/>
    <m/>
    <m/>
    <m/>
    <m/>
    <m/>
    <m/>
    <m/>
    <m/>
    <m/>
    <m/>
    <m/>
    <m/>
    <m/>
    <m/>
    <n v="256"/>
    <n v="1"/>
    <n v="16.5"/>
    <n v="5"/>
    <m/>
    <x v="0"/>
    <m/>
  </r>
  <r>
    <s v="09-September"/>
    <s v="YORK"/>
    <m/>
    <n v="62"/>
    <n v="3624"/>
    <n v="432"/>
    <m/>
    <n v="3"/>
    <m/>
    <m/>
    <n v="0"/>
    <m/>
    <m/>
    <m/>
    <m/>
    <m/>
    <n v="13"/>
    <n v="3"/>
    <n v="1"/>
    <n v="9"/>
    <m/>
    <n v="201"/>
    <n v="81"/>
    <n v="4"/>
    <n v="78"/>
    <m/>
    <m/>
    <n v="1"/>
    <m/>
    <m/>
    <m/>
    <m/>
    <n v="200"/>
    <m/>
    <m/>
    <m/>
    <m/>
    <m/>
    <m/>
    <m/>
    <m/>
    <m/>
    <m/>
    <m/>
    <m/>
    <m/>
    <m/>
    <m/>
    <n v="26"/>
    <n v="11"/>
    <n v="16"/>
    <n v="4"/>
    <m/>
    <x v="0"/>
    <m/>
  </r>
  <r>
    <s v="09-September"/>
    <s v="OUTREACH/BOOKMOBILE"/>
    <m/>
    <n v="31"/>
    <n v="8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8"/>
    <n v="3"/>
    <n v="18"/>
    <n v="3"/>
    <m/>
    <x v="0"/>
    <m/>
  </r>
  <r>
    <s v="09-Sept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9-September"/>
    <s v="YCL (System Wide)"/>
    <m/>
    <m/>
    <m/>
    <m/>
    <m/>
    <m/>
    <m/>
    <m/>
    <m/>
    <n v="5"/>
    <n v="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9-Sept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9-Sept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9-September"/>
    <s v="YCL (System Wide)"/>
    <m/>
    <m/>
    <m/>
    <m/>
    <n v="0"/>
    <m/>
    <n v="77925"/>
    <n v="317"/>
    <m/>
    <m/>
    <m/>
    <m/>
    <m/>
    <n v="42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9-September"/>
    <s v="YCL (System Wide)"/>
    <m/>
    <n v="5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6-June"/>
    <s v="ROCK HILL"/>
    <n v="325"/>
    <m/>
    <n v="17538"/>
    <n v="1922"/>
    <n v="3497"/>
    <n v="3"/>
    <n v="19988"/>
    <n v="0"/>
    <m/>
    <n v="122"/>
    <n v="4"/>
    <n v="2857"/>
    <n v="6142"/>
    <m/>
    <n v="11"/>
    <n v="4"/>
    <n v="18"/>
    <n v="19"/>
    <n v="16"/>
    <n v="456"/>
    <n v="88"/>
    <n v="237"/>
    <n v="164"/>
    <n v="1609"/>
    <m/>
    <m/>
    <m/>
    <m/>
    <m/>
    <m/>
    <m/>
    <m/>
    <m/>
    <m/>
    <m/>
    <m/>
    <m/>
    <m/>
    <m/>
    <m/>
    <m/>
    <m/>
    <m/>
    <m/>
    <m/>
    <m/>
    <m/>
    <n v="15"/>
    <n v="14"/>
    <n v="18"/>
    <m/>
    <x v="0"/>
    <n v="159"/>
  </r>
  <r>
    <s v="06-June"/>
    <s v="CLOVER"/>
    <n v="50"/>
    <m/>
    <n v="3142"/>
    <n v="323"/>
    <n v="505"/>
    <n v="1"/>
    <n v="4091"/>
    <n v="50"/>
    <m/>
    <m/>
    <m/>
    <n v="992"/>
    <n v="1832"/>
    <m/>
    <n v="11"/>
    <n v="3"/>
    <n v="2"/>
    <n v="6"/>
    <n v="7"/>
    <n v="175"/>
    <n v="47"/>
    <n v="17"/>
    <n v="46"/>
    <n v="260"/>
    <m/>
    <m/>
    <m/>
    <m/>
    <m/>
    <m/>
    <m/>
    <m/>
    <m/>
    <m/>
    <m/>
    <m/>
    <m/>
    <m/>
    <m/>
    <m/>
    <m/>
    <m/>
    <m/>
    <m/>
    <m/>
    <m/>
    <m/>
    <n v="28"/>
    <n v="31"/>
    <n v="0"/>
    <m/>
    <x v="0"/>
    <n v="43"/>
  </r>
  <r>
    <s v="06-June"/>
    <s v="FORT MILL"/>
    <n v="329"/>
    <m/>
    <n v="12647"/>
    <n v="913"/>
    <n v="1944"/>
    <n v="0"/>
    <n v="24821"/>
    <n v="26"/>
    <m/>
    <m/>
    <m/>
    <n v="1523"/>
    <n v="6441"/>
    <m/>
    <n v="22"/>
    <n v="4"/>
    <n v="7"/>
    <n v="8"/>
    <n v="17"/>
    <n v="684"/>
    <n v="113"/>
    <n v="71"/>
    <n v="76"/>
    <n v="998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  <n v="241"/>
  </r>
  <r>
    <s v="06-June"/>
    <s v="LAKE WYLIE"/>
    <n v="91"/>
    <m/>
    <n v="4927"/>
    <n v="202"/>
    <n v="665"/>
    <n v="6"/>
    <n v="6628"/>
    <n v="19"/>
    <m/>
    <m/>
    <m/>
    <n v="1337"/>
    <n v="2787"/>
    <m/>
    <n v="6"/>
    <n v="3"/>
    <n v="3"/>
    <n v="9"/>
    <n v="1"/>
    <n v="138"/>
    <n v="32"/>
    <n v="31"/>
    <n v="71"/>
    <n v="72"/>
    <m/>
    <m/>
    <m/>
    <m/>
    <m/>
    <m/>
    <m/>
    <m/>
    <m/>
    <m/>
    <m/>
    <m/>
    <m/>
    <m/>
    <m/>
    <m/>
    <m/>
    <m/>
    <m/>
    <m/>
    <m/>
    <m/>
    <m/>
    <n v="1"/>
    <n v="20"/>
    <n v="5"/>
    <m/>
    <x v="0"/>
    <n v="128"/>
  </r>
  <r>
    <s v="06-June"/>
    <s v="YORK"/>
    <n v="91"/>
    <m/>
    <n v="4363"/>
    <n v="482"/>
    <n v="877"/>
    <n v="2"/>
    <n v="5114"/>
    <n v="82"/>
    <m/>
    <m/>
    <m/>
    <n v="1349"/>
    <n v="2303"/>
    <m/>
    <n v="11"/>
    <n v="8"/>
    <n v="1"/>
    <n v="6"/>
    <n v="0"/>
    <n v="204"/>
    <n v="452"/>
    <n v="7"/>
    <n v="40"/>
    <n v="0"/>
    <m/>
    <m/>
    <m/>
    <m/>
    <m/>
    <m/>
    <m/>
    <m/>
    <m/>
    <m/>
    <m/>
    <m/>
    <m/>
    <m/>
    <m/>
    <m/>
    <m/>
    <m/>
    <m/>
    <m/>
    <m/>
    <m/>
    <m/>
    <n v="6"/>
    <n v="12"/>
    <n v="3"/>
    <m/>
    <x v="0"/>
    <n v="59"/>
  </r>
  <r>
    <s v="06-June"/>
    <s v="OUTREACH / BOOKMOBILE"/>
    <n v="36"/>
    <m/>
    <n v="756"/>
    <m/>
    <m/>
    <m/>
    <n v="1542"/>
    <m/>
    <m/>
    <m/>
    <m/>
    <n v="19"/>
    <n v="397"/>
    <m/>
    <n v="1"/>
    <n v="0"/>
    <n v="0"/>
    <n v="0"/>
    <n v="0"/>
    <n v="10"/>
    <n v="0"/>
    <n v="0"/>
    <n v="0"/>
    <n v="0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  <m/>
  </r>
  <r>
    <s v="04-April"/>
    <s v="CLOVER"/>
    <m/>
    <n v="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03"/>
  </r>
  <r>
    <s v="04-April"/>
    <s v="FORT MILL"/>
    <m/>
    <n v="4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21"/>
  </r>
  <r>
    <s v="04-April"/>
    <s v="LAKE WYLIE"/>
    <m/>
    <n v="1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82"/>
  </r>
  <r>
    <s v="04-April"/>
    <s v="ROCK HILL"/>
    <m/>
    <n v="3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68"/>
  </r>
  <r>
    <s v="04-April"/>
    <s v="YORK"/>
    <m/>
    <n v="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4"/>
  </r>
  <r>
    <s v="04-April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s v="04-April"/>
    <s v="ROCK HILL"/>
    <n v="218"/>
    <m/>
    <n v="15340"/>
    <n v="2034"/>
    <n v="3639"/>
    <n v="4"/>
    <n v="15145"/>
    <n v="139"/>
    <m/>
    <n v="6"/>
    <n v="116"/>
    <n v="2870"/>
    <n v="6318"/>
    <n v="563"/>
    <n v="22"/>
    <n v="6"/>
    <n v="15"/>
    <n v="29"/>
    <n v="6"/>
    <n v="890"/>
    <n v="277"/>
    <n v="162"/>
    <n v="292"/>
    <n v="156"/>
    <m/>
    <m/>
    <m/>
    <m/>
    <m/>
    <m/>
    <m/>
    <m/>
    <m/>
    <m/>
    <m/>
    <m/>
    <m/>
    <m/>
    <m/>
    <m/>
    <m/>
    <m/>
    <m/>
    <m/>
    <m/>
    <m/>
    <n v="12"/>
    <n v="14"/>
    <n v="22"/>
    <n v="8"/>
    <m/>
    <x v="1"/>
    <m/>
  </r>
  <r>
    <s v="04-April"/>
    <s v="CLOVER"/>
    <n v="62"/>
    <m/>
    <n v="2761"/>
    <n v="214"/>
    <n v="557"/>
    <n v="1"/>
    <n v="3132"/>
    <n v="59"/>
    <m/>
    <m/>
    <m/>
    <n v="985"/>
    <n v="2044"/>
    <n v="163"/>
    <n v="8"/>
    <n v="2"/>
    <n v="2"/>
    <n v="1"/>
    <n v="3"/>
    <n v="85"/>
    <n v="21"/>
    <n v="6"/>
    <n v="4"/>
    <n v="30"/>
    <m/>
    <m/>
    <m/>
    <m/>
    <m/>
    <m/>
    <m/>
    <m/>
    <m/>
    <m/>
    <m/>
    <m/>
    <m/>
    <m/>
    <m/>
    <m/>
    <m/>
    <m/>
    <m/>
    <m/>
    <m/>
    <m/>
    <n v="1"/>
    <n v="4"/>
    <n v="25"/>
    <n v="0"/>
    <m/>
    <x v="1"/>
    <m/>
  </r>
  <r>
    <s v="04-April"/>
    <s v="FORT MILL"/>
    <n v="203"/>
    <m/>
    <n v="11742"/>
    <n v="781"/>
    <n v="1868"/>
    <n v="6"/>
    <n v="19642"/>
    <n v="28"/>
    <m/>
    <m/>
    <m/>
    <n v="1762"/>
    <n v="6719"/>
    <n v="380"/>
    <n v="21"/>
    <n v="9"/>
    <n v="7"/>
    <n v="11"/>
    <n v="6"/>
    <n v="754"/>
    <n v="778"/>
    <n v="65"/>
    <n v="94"/>
    <n v="265"/>
    <m/>
    <m/>
    <m/>
    <m/>
    <m/>
    <m/>
    <m/>
    <m/>
    <m/>
    <m/>
    <m/>
    <m/>
    <m/>
    <m/>
    <m/>
    <m/>
    <m/>
    <m/>
    <m/>
    <m/>
    <m/>
    <m/>
    <n v="5"/>
    <n v="4"/>
    <n v="20"/>
    <n v="0"/>
    <m/>
    <x v="1"/>
    <m/>
  </r>
  <r>
    <s v="04-April"/>
    <s v="LAKE WYLIE"/>
    <n v="64"/>
    <m/>
    <n v="3868"/>
    <n v="188"/>
    <n v="857"/>
    <n v="10"/>
    <n v="4663"/>
    <n v="15"/>
    <m/>
    <m/>
    <m/>
    <n v="1418"/>
    <n v="2758"/>
    <n v="107"/>
    <n v="4"/>
    <n v="4"/>
    <n v="2"/>
    <n v="12"/>
    <n v="2"/>
    <n v="40"/>
    <n v="20"/>
    <n v="9"/>
    <n v="100"/>
    <n v="11"/>
    <m/>
    <m/>
    <m/>
    <m/>
    <m/>
    <m/>
    <m/>
    <m/>
    <m/>
    <m/>
    <m/>
    <m/>
    <m/>
    <m/>
    <m/>
    <m/>
    <m/>
    <m/>
    <m/>
    <m/>
    <m/>
    <m/>
    <n v="9"/>
    <n v="1"/>
    <n v="25"/>
    <n v="5"/>
    <m/>
    <x v="1"/>
    <m/>
  </r>
  <r>
    <s v="04-April"/>
    <s v="YORK"/>
    <n v="82"/>
    <m/>
    <n v="3598"/>
    <n v="377"/>
    <n v="932"/>
    <n v="2"/>
    <n v="3804"/>
    <n v="112"/>
    <m/>
    <m/>
    <m/>
    <n v="1341"/>
    <n v="2373"/>
    <n v="184"/>
    <n v="12"/>
    <n v="3"/>
    <n v="1"/>
    <n v="7"/>
    <n v="0"/>
    <n v="206"/>
    <n v="66"/>
    <n v="4"/>
    <n v="61"/>
    <n v="0"/>
    <m/>
    <m/>
    <m/>
    <m/>
    <m/>
    <m/>
    <m/>
    <m/>
    <m/>
    <m/>
    <m/>
    <m/>
    <m/>
    <m/>
    <m/>
    <m/>
    <m/>
    <m/>
    <m/>
    <m/>
    <m/>
    <m/>
    <n v="2"/>
    <n v="4"/>
    <n v="28"/>
    <n v="0"/>
    <m/>
    <x v="1"/>
    <m/>
  </r>
  <r>
    <s v="04-April"/>
    <s v="OUTREACH / BOOKMOBILE"/>
    <n v="43"/>
    <m/>
    <n v="905"/>
    <m/>
    <m/>
    <m/>
    <n v="1647"/>
    <n v="4"/>
    <m/>
    <m/>
    <m/>
    <n v="15"/>
    <n v="404"/>
    <m/>
    <n v="1"/>
    <n v="0"/>
    <n v="0"/>
    <n v="2"/>
    <n v="0"/>
    <n v="25"/>
    <n v="0"/>
    <n v="0"/>
    <n v="16"/>
    <n v="0"/>
    <m/>
    <m/>
    <m/>
    <m/>
    <m/>
    <m/>
    <m/>
    <m/>
    <m/>
    <m/>
    <m/>
    <m/>
    <m/>
    <m/>
    <m/>
    <m/>
    <m/>
    <m/>
    <m/>
    <m/>
    <m/>
    <m/>
    <n v="21"/>
    <n v="2"/>
    <n v="8"/>
    <n v="0"/>
    <m/>
    <x v="1"/>
    <m/>
  </r>
  <r>
    <s v="08-August"/>
    <s v="OUTREACH / BOOKMOBILE"/>
    <n v="19"/>
    <n v="20"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n v="20"/>
    <m/>
    <m/>
    <m/>
    <m/>
    <m/>
    <m/>
    <m/>
    <m/>
    <m/>
    <m/>
    <m/>
    <n v="3"/>
    <n v="184"/>
    <n v="170"/>
    <n v="7"/>
    <n v="62"/>
    <n v="1"/>
    <m/>
    <x v="1"/>
    <m/>
  </r>
  <r>
    <s v="08-August"/>
    <s v="YORK"/>
    <n v="60"/>
    <n v="118"/>
    <n v="3914"/>
    <n v="505"/>
    <n v="781"/>
    <n v="2"/>
    <n v="5939"/>
    <n v="92"/>
    <n v="0"/>
    <m/>
    <m/>
    <m/>
    <m/>
    <n v="1090"/>
    <m/>
    <m/>
    <m/>
    <n v="3"/>
    <m/>
    <m/>
    <m/>
    <m/>
    <n v="25"/>
    <m/>
    <m/>
    <m/>
    <m/>
    <m/>
    <m/>
    <m/>
    <m/>
    <m/>
    <m/>
    <m/>
    <m/>
    <m/>
    <m/>
    <m/>
    <m/>
    <m/>
    <m/>
    <m/>
    <m/>
    <m/>
    <n v="1"/>
    <n v="150"/>
    <n v="175"/>
    <n v="10"/>
    <n v="80"/>
    <n v="0"/>
    <m/>
    <x v="1"/>
    <n v="120"/>
  </r>
  <r>
    <s v="08-August"/>
    <s v="LAKE WYLIE"/>
    <n v="72"/>
    <n v="15"/>
    <n v="3764"/>
    <n v="167"/>
    <n v="524"/>
    <n v="12"/>
    <n v="5908"/>
    <n v="14"/>
    <n v="3"/>
    <m/>
    <m/>
    <m/>
    <m/>
    <n v="491"/>
    <n v="0"/>
    <n v="0"/>
    <n v="0"/>
    <n v="7"/>
    <n v="2"/>
    <n v="0"/>
    <n v="0"/>
    <n v="0"/>
    <n v="5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7"/>
    <n v="10"/>
    <n v="88.5"/>
    <n v="6"/>
    <m/>
    <x v="1"/>
    <n v="327"/>
  </r>
  <r>
    <s v="08-August"/>
    <s v="CLOVER"/>
    <n v="38"/>
    <n v="4"/>
    <n v="2694"/>
    <n v="223"/>
    <n v="419"/>
    <n v="2"/>
    <n v="5121"/>
    <n v="66"/>
    <n v="0"/>
    <m/>
    <m/>
    <m/>
    <m/>
    <n v="1146"/>
    <n v="0"/>
    <n v="1"/>
    <n v="3"/>
    <n v="3"/>
    <n v="0"/>
    <n v="0"/>
    <n v="11"/>
    <n v="17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"/>
    <n v="6"/>
    <n v="36.5"/>
    <n v="0"/>
    <m/>
    <x v="1"/>
    <n v="94"/>
  </r>
  <r>
    <s v="08-August"/>
    <s v="FORT MILL"/>
    <n v="213"/>
    <n v="43"/>
    <n v="10805"/>
    <n v="709"/>
    <n v="1621"/>
    <n v="3"/>
    <n v="19906"/>
    <n v="33"/>
    <n v="6"/>
    <m/>
    <m/>
    <m/>
    <m/>
    <n v="1958"/>
    <m/>
    <m/>
    <n v="1"/>
    <n v="17"/>
    <n v="1"/>
    <m/>
    <m/>
    <n v="30"/>
    <n v="114"/>
    <n v="80"/>
    <m/>
    <m/>
    <m/>
    <m/>
    <m/>
    <m/>
    <m/>
    <m/>
    <m/>
    <m/>
    <m/>
    <m/>
    <m/>
    <m/>
    <m/>
    <m/>
    <m/>
    <m/>
    <m/>
    <m/>
    <m/>
    <m/>
    <n v="988"/>
    <n v="17"/>
    <n v="104"/>
    <m/>
    <m/>
    <x v="1"/>
    <n v="828"/>
  </r>
  <r>
    <s v="08-August"/>
    <s v="ROCK HILL"/>
    <n v="199"/>
    <n v="57"/>
    <n v="15257"/>
    <n v="199"/>
    <n v="3482"/>
    <n v="13"/>
    <n v="171619"/>
    <n v="123"/>
    <n v="42"/>
    <n v="5"/>
    <n v="139"/>
    <n v="9611"/>
    <n v="23150"/>
    <n v="1714"/>
    <n v="0"/>
    <n v="0"/>
    <n v="5"/>
    <n v="20"/>
    <n v="0"/>
    <n v="0"/>
    <n v="0"/>
    <n v="43"/>
    <n v="175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5"/>
    <n v="35"/>
    <n v="0"/>
    <n v="0"/>
    <n v="0"/>
    <n v="385"/>
    <n v="39"/>
    <n v="221"/>
    <n v="4"/>
    <m/>
    <x v="1"/>
    <n v="409"/>
  </r>
  <r>
    <s v="12-December"/>
    <s v="LAKE WYLIE"/>
    <n v="41"/>
    <n v="15"/>
    <n v="3342"/>
    <n v="169"/>
    <n v="561"/>
    <n v="17"/>
    <n v="4560"/>
    <n v="30"/>
    <n v="1"/>
    <m/>
    <m/>
    <m/>
    <m/>
    <m/>
    <n v="4"/>
    <n v="2"/>
    <n v="2"/>
    <n v="9"/>
    <n v="0"/>
    <n v="38"/>
    <n v="42"/>
    <n v="21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9"/>
    <n v="2"/>
    <n v="5"/>
    <n v="3"/>
    <s v="rae.lovvorn@yclibrary.org"/>
    <x v="1"/>
    <n v="214"/>
  </r>
  <r>
    <s v="12-December"/>
    <s v="YORK"/>
    <n v="43"/>
    <n v="9"/>
    <n v="4352"/>
    <n v="429"/>
    <n v="867"/>
    <n v="21"/>
    <n v="7039"/>
    <n v="120"/>
    <n v="0"/>
    <m/>
    <m/>
    <m/>
    <m/>
    <n v="1236"/>
    <n v="10"/>
    <n v="2"/>
    <n v="1"/>
    <n v="8"/>
    <n v="1"/>
    <n v="201"/>
    <n v="39"/>
    <n v="6"/>
    <n v="63"/>
    <n v="16"/>
    <m/>
    <m/>
    <m/>
    <m/>
    <m/>
    <m/>
    <m/>
    <m/>
    <m/>
    <m/>
    <m/>
    <m/>
    <m/>
    <m/>
    <m/>
    <m/>
    <m/>
    <m/>
    <m/>
    <m/>
    <m/>
    <m/>
    <n v="313"/>
    <m/>
    <m/>
    <m/>
    <s v="jennifer.stanley@yclibrary.org"/>
    <x v="1"/>
    <n v="116"/>
  </r>
  <r>
    <s v="12-December"/>
    <s v="FORT MILL"/>
    <n v="181"/>
    <n v="50"/>
    <n v="11975"/>
    <n v="778"/>
    <n v="1679"/>
    <n v="7"/>
    <n v="36502"/>
    <n v="74"/>
    <n v="5"/>
    <m/>
    <m/>
    <m/>
    <m/>
    <n v="2312"/>
    <n v="24"/>
    <n v="4"/>
    <n v="6"/>
    <n v="13"/>
    <n v="5"/>
    <n v="739"/>
    <n v="67"/>
    <n v="65"/>
    <n v="109"/>
    <n v="202"/>
    <m/>
    <m/>
    <m/>
    <m/>
    <m/>
    <m/>
    <m/>
    <m/>
    <m/>
    <m/>
    <m/>
    <m/>
    <m/>
    <m/>
    <m/>
    <m/>
    <m/>
    <m/>
    <m/>
    <m/>
    <m/>
    <m/>
    <n v="2016"/>
    <n v="1"/>
    <n v="1"/>
    <m/>
    <s v="tom.holloway@yclibrary.org"/>
    <x v="1"/>
    <n v="639"/>
  </r>
  <r>
    <s v="12-December"/>
    <s v="OUTREACH / BOOKMOBILE"/>
    <n v="7"/>
    <n v="2"/>
    <n v="792"/>
    <m/>
    <n v="2"/>
    <m/>
    <n v="1256"/>
    <n v="2"/>
    <m/>
    <m/>
    <m/>
    <m/>
    <m/>
    <m/>
    <m/>
    <m/>
    <m/>
    <m/>
    <m/>
    <m/>
    <m/>
    <m/>
    <m/>
    <m/>
    <n v="3"/>
    <m/>
    <m/>
    <n v="3"/>
    <m/>
    <n v="105"/>
    <m/>
    <m/>
    <n v="70"/>
    <m/>
    <m/>
    <m/>
    <m/>
    <m/>
    <m/>
    <m/>
    <m/>
    <m/>
    <m/>
    <m/>
    <m/>
    <m/>
    <n v="295"/>
    <n v="7"/>
    <n v="135.5"/>
    <n v="3"/>
    <s v="jennifer.strokis@yclibrary.org"/>
    <x v="1"/>
    <m/>
  </r>
  <r>
    <s v="12-December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11"/>
    <m/>
    <s v="martin.house@yclibrary.org"/>
    <x v="1"/>
    <m/>
  </r>
  <r>
    <s v="12-December"/>
    <s v="ROCK HILL"/>
    <n v="2"/>
    <n v="19"/>
    <n v="0"/>
    <n v="0"/>
    <n v="0"/>
    <n v="0"/>
    <n v="38"/>
    <n v="0"/>
    <n v="0"/>
    <n v="0"/>
    <n v="75"/>
    <n v="1825"/>
    <n v="5333"/>
    <n v="0"/>
    <n v="0"/>
    <n v="0"/>
    <n v="0"/>
    <n v="0"/>
    <n v="0"/>
    <n v="0"/>
    <n v="0"/>
    <n v="0"/>
    <n v="0"/>
    <n v="0"/>
    <n v="20"/>
    <n v="3"/>
    <n v="13"/>
    <n v="8"/>
    <n v="4"/>
    <n v="500"/>
    <n v="74"/>
    <n v="367"/>
    <n v="71"/>
    <n v="121"/>
    <n v="0"/>
    <n v="0"/>
    <n v="0"/>
    <n v="2"/>
    <n v="0"/>
    <n v="0"/>
    <n v="0"/>
    <n v="0"/>
    <n v="43"/>
    <n v="0"/>
    <m/>
    <m/>
    <n v="133"/>
    <n v="27"/>
    <n v="134.25"/>
    <n v="0"/>
    <s v="amanda.antonacci@yclibrary.org"/>
    <x v="1"/>
    <n v="0"/>
  </r>
  <r>
    <s v="02-February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2"/>
  </r>
  <r>
    <s v="02-February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503"/>
  </r>
  <r>
    <s v="02-February"/>
    <s v="LAKE WYLI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58"/>
  </r>
  <r>
    <s v="02-February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38"/>
  </r>
  <r>
    <s v="02-February"/>
    <s v="YOR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0"/>
  </r>
  <r>
    <s v="02-February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s v="02-February"/>
    <s v="ROCK HILL"/>
    <n v="218"/>
    <m/>
    <n v="13867"/>
    <n v="1859"/>
    <n v="2360"/>
    <n v="6"/>
    <n v="14107"/>
    <n v="136"/>
    <m/>
    <n v="2"/>
    <n v="92"/>
    <n v="2747"/>
    <n v="5962"/>
    <n v="596"/>
    <n v="28"/>
    <n v="5"/>
    <n v="12"/>
    <n v="29"/>
    <n v="1"/>
    <n v="940"/>
    <n v="123"/>
    <n v="131"/>
    <n v="143"/>
    <n v="51"/>
    <m/>
    <m/>
    <m/>
    <m/>
    <m/>
    <m/>
    <m/>
    <m/>
    <m/>
    <m/>
    <m/>
    <m/>
    <m/>
    <m/>
    <m/>
    <m/>
    <m/>
    <m/>
    <m/>
    <m/>
    <m/>
    <m/>
    <n v="13"/>
    <n v="50"/>
    <n v="266"/>
    <n v="7"/>
    <m/>
    <x v="1"/>
    <n v="148"/>
  </r>
  <r>
    <s v="02-February"/>
    <s v="CLOVER"/>
    <n v="29"/>
    <m/>
    <n v="2241"/>
    <n v="207"/>
    <n v="589"/>
    <n v="0"/>
    <n v="2693"/>
    <n v="58"/>
    <m/>
    <m/>
    <m/>
    <n v="985"/>
    <n v="1846"/>
    <n v="100"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8"/>
    <n v="35"/>
    <n v="60"/>
    <n v="0"/>
    <m/>
    <x v="1"/>
    <n v="46"/>
  </r>
  <r>
    <s v="02-February"/>
    <s v="FORT MILL"/>
    <n v="208"/>
    <m/>
    <n v="11414"/>
    <n v="686"/>
    <n v="1730"/>
    <n v="14"/>
    <n v="17829"/>
    <n v="27"/>
    <m/>
    <m/>
    <m/>
    <n v="1641"/>
    <n v="5960"/>
    <n v="282"/>
    <n v="23"/>
    <n v="6"/>
    <n v="7"/>
    <n v="14"/>
    <n v="4"/>
    <n v="683"/>
    <n v="66"/>
    <n v="93"/>
    <n v="116"/>
    <n v="154"/>
    <m/>
    <m/>
    <m/>
    <m/>
    <m/>
    <m/>
    <m/>
    <m/>
    <m/>
    <m/>
    <m/>
    <m/>
    <m/>
    <m/>
    <m/>
    <m/>
    <m/>
    <m/>
    <m/>
    <m/>
    <m/>
    <m/>
    <n v="5"/>
    <n v="16"/>
    <n v="221"/>
    <n v="0"/>
    <m/>
    <x v="1"/>
    <n v="314"/>
  </r>
  <r>
    <s v="02-February"/>
    <s v="LAKE WYLIE"/>
    <n v="54"/>
    <m/>
    <n v="3403"/>
    <n v="193"/>
    <n v="992"/>
    <n v="11"/>
    <n v="4250"/>
    <n v="12"/>
    <m/>
    <m/>
    <m/>
    <n v="1347"/>
    <n v="2470"/>
    <n v="62"/>
    <n v="5"/>
    <n v="4"/>
    <n v="2"/>
    <n v="13"/>
    <n v="0"/>
    <n v="52"/>
    <n v="47"/>
    <n v="8"/>
    <n v="118"/>
    <n v="0"/>
    <m/>
    <m/>
    <m/>
    <m/>
    <m/>
    <m/>
    <m/>
    <m/>
    <m/>
    <m/>
    <m/>
    <m/>
    <m/>
    <m/>
    <m/>
    <m/>
    <m/>
    <m/>
    <m/>
    <m/>
    <m/>
    <m/>
    <n v="11"/>
    <n v="4"/>
    <n v="86"/>
    <n v="5"/>
    <m/>
    <x v="1"/>
    <n v="115"/>
  </r>
  <r>
    <s v="02-February"/>
    <s v="YORK"/>
    <n v="36"/>
    <m/>
    <n v="3286"/>
    <n v="409"/>
    <n v="975"/>
    <n v="5"/>
    <n v="3430"/>
    <n v="96"/>
    <m/>
    <m/>
    <m/>
    <n v="1192"/>
    <n v="2195"/>
    <n v="218"/>
    <n v="7"/>
    <n v="3"/>
    <n v="1"/>
    <n v="8"/>
    <n v="1"/>
    <n v="73"/>
    <n v="68"/>
    <n v="5"/>
    <n v="67"/>
    <n v="20"/>
    <m/>
    <m/>
    <m/>
    <m/>
    <m/>
    <m/>
    <m/>
    <m/>
    <m/>
    <m/>
    <m/>
    <m/>
    <m/>
    <m/>
    <m/>
    <m/>
    <m/>
    <m/>
    <m/>
    <m/>
    <m/>
    <m/>
    <n v="2"/>
    <n v="18"/>
    <n v="87"/>
    <n v="2"/>
    <m/>
    <x v="1"/>
    <n v="40"/>
  </r>
  <r>
    <s v="02-February"/>
    <s v="OUTREACH / BOOKMOBILE"/>
    <n v="24"/>
    <m/>
    <n v="13867"/>
    <m/>
    <m/>
    <m/>
    <n v="1764"/>
    <n v="4"/>
    <m/>
    <m/>
    <m/>
    <n v="15"/>
    <n v="421"/>
    <m/>
    <n v="4"/>
    <n v="0"/>
    <n v="0"/>
    <n v="0"/>
    <n v="0"/>
    <n v="104"/>
    <n v="0"/>
    <n v="0"/>
    <n v="0"/>
    <n v="0"/>
    <m/>
    <m/>
    <m/>
    <m/>
    <m/>
    <m/>
    <m/>
    <m/>
    <m/>
    <m/>
    <m/>
    <m/>
    <m/>
    <m/>
    <m/>
    <m/>
    <m/>
    <m/>
    <m/>
    <m/>
    <m/>
    <m/>
    <n v="0"/>
    <n v="8"/>
    <n v="58"/>
    <n v="0"/>
    <m/>
    <x v="1"/>
    <m/>
  </r>
  <r>
    <s v="01-January"/>
    <s v="ROCK HILL"/>
    <m/>
    <n v="181"/>
    <n v="13105"/>
    <n v="1617"/>
    <n v="3059"/>
    <n v="2"/>
    <n v="14481"/>
    <n v="136"/>
    <m/>
    <n v="7"/>
    <n v="105"/>
    <m/>
    <m/>
    <n v="749"/>
    <n v="22"/>
    <n v="5"/>
    <n v="5"/>
    <n v="18"/>
    <n v="8"/>
    <n v="913"/>
    <n v="99"/>
    <n v="47"/>
    <n v="137"/>
    <n v="364"/>
    <m/>
    <m/>
    <m/>
    <m/>
    <m/>
    <m/>
    <m/>
    <m/>
    <m/>
    <m/>
    <m/>
    <m/>
    <m/>
    <m/>
    <m/>
    <m/>
    <m/>
    <m/>
    <m/>
    <m/>
    <m/>
    <m/>
    <n v="47"/>
    <n v="9"/>
    <n v="48"/>
    <n v="9"/>
    <m/>
    <x v="1"/>
    <n v="199"/>
  </r>
  <r>
    <s v="01-January"/>
    <s v="CLOVER"/>
    <m/>
    <n v="27"/>
    <n v="2152"/>
    <n v="216"/>
    <n v="457"/>
    <n v="1"/>
    <n v="2594"/>
    <n v="62"/>
    <m/>
    <m/>
    <m/>
    <m/>
    <m/>
    <n v="190"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7"/>
    <n v="38"/>
    <n v="27"/>
    <n v="0"/>
    <m/>
    <x v="1"/>
    <n v="36"/>
  </r>
  <r>
    <s v="01-January"/>
    <s v="FORT MILL"/>
    <m/>
    <n v="202"/>
    <n v="10010"/>
    <n v="679"/>
    <n v="1570"/>
    <n v="6"/>
    <n v="18615"/>
    <n v="28"/>
    <m/>
    <m/>
    <m/>
    <m/>
    <m/>
    <n v="160"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5"/>
    <n v="0"/>
    <n v="0"/>
    <n v="0"/>
    <m/>
    <x v="1"/>
    <n v="324"/>
  </r>
  <r>
    <s v="01-January"/>
    <s v="LAKE WYLIE"/>
    <m/>
    <n v="46"/>
    <n v="3150"/>
    <n v="138"/>
    <n v="742"/>
    <n v="9"/>
    <n v="4442"/>
    <n v="16"/>
    <m/>
    <m/>
    <m/>
    <m/>
    <m/>
    <n v="87"/>
    <n v="1"/>
    <n v="2"/>
    <n v="2"/>
    <n v="10"/>
    <n v="0"/>
    <n v="8"/>
    <n v="6"/>
    <n v="4"/>
    <n v="105"/>
    <n v="0"/>
    <m/>
    <m/>
    <m/>
    <m/>
    <m/>
    <m/>
    <m/>
    <m/>
    <m/>
    <m/>
    <m/>
    <m/>
    <m/>
    <m/>
    <m/>
    <m/>
    <m/>
    <m/>
    <m/>
    <m/>
    <m/>
    <m/>
    <n v="7"/>
    <n v="1"/>
    <n v="9"/>
    <n v="2"/>
    <m/>
    <x v="1"/>
    <n v="74"/>
  </r>
  <r>
    <s v="01-January"/>
    <s v="YORK"/>
    <m/>
    <n v="56"/>
    <n v="3430"/>
    <n v="395"/>
    <n v="457"/>
    <n v="3"/>
    <n v="3551"/>
    <n v="104"/>
    <m/>
    <m/>
    <m/>
    <m/>
    <m/>
    <n v="575"/>
    <n v="10"/>
    <n v="2"/>
    <n v="2"/>
    <n v="9"/>
    <n v="0"/>
    <n v="146"/>
    <n v="56"/>
    <n v="15"/>
    <n v="91"/>
    <n v="0"/>
    <m/>
    <m/>
    <m/>
    <m/>
    <m/>
    <m/>
    <m/>
    <m/>
    <m/>
    <m/>
    <m/>
    <m/>
    <m/>
    <m/>
    <m/>
    <m/>
    <m/>
    <m/>
    <m/>
    <m/>
    <m/>
    <m/>
    <n v="2"/>
    <n v="4"/>
    <n v="16"/>
    <n v="3"/>
    <m/>
    <x v="1"/>
    <n v="58"/>
  </r>
  <r>
    <s v="01-January"/>
    <s v="OUTREACH / BOOKMOBILE"/>
    <m/>
    <n v="7"/>
    <n v="625"/>
    <m/>
    <m/>
    <m/>
    <n v="1342"/>
    <n v="4"/>
    <m/>
    <m/>
    <m/>
    <m/>
    <m/>
    <m/>
    <n v="3"/>
    <n v="0"/>
    <n v="0"/>
    <n v="0"/>
    <n v="0"/>
    <n v="96"/>
    <n v="0"/>
    <n v="0"/>
    <n v="0"/>
    <n v="0"/>
    <m/>
    <m/>
    <m/>
    <m/>
    <m/>
    <m/>
    <m/>
    <m/>
    <m/>
    <m/>
    <m/>
    <m/>
    <m/>
    <m/>
    <m/>
    <m/>
    <m/>
    <m/>
    <m/>
    <m/>
    <m/>
    <m/>
    <n v="1"/>
    <n v="1"/>
    <n v="1"/>
    <n v="0"/>
    <m/>
    <x v="1"/>
    <m/>
  </r>
  <r>
    <s v="07-July"/>
    <s v="OUTREACH / BOOKMOBILE"/>
    <n v="13"/>
    <n v="6"/>
    <n v="12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n v="246"/>
    <m/>
    <m/>
    <n v="1"/>
    <m/>
    <x v="1"/>
    <m/>
  </r>
  <r>
    <s v="07-July"/>
    <s v="CLOVER"/>
    <n v="34"/>
    <n v="12"/>
    <n v="3515"/>
    <n v="245"/>
    <n v="477"/>
    <n v="1"/>
    <m/>
    <m/>
    <m/>
    <m/>
    <m/>
    <m/>
    <m/>
    <m/>
    <n v="10"/>
    <n v="3"/>
    <n v="7"/>
    <n v="5"/>
    <n v="6"/>
    <n v="114"/>
    <n v="39"/>
    <n v="39"/>
    <n v="36"/>
    <n v="126"/>
    <m/>
    <m/>
    <m/>
    <m/>
    <m/>
    <m/>
    <m/>
    <m/>
    <m/>
    <m/>
    <m/>
    <m/>
    <m/>
    <m/>
    <m/>
    <m/>
    <m/>
    <m/>
    <m/>
    <m/>
    <n v="1"/>
    <m/>
    <n v="4"/>
    <n v="14"/>
    <n v="15.8"/>
    <m/>
    <m/>
    <x v="1"/>
    <n v="87"/>
  </r>
  <r>
    <s v="07-July"/>
    <s v="FORT MILL"/>
    <n v="252"/>
    <n v="76"/>
    <n v="15128"/>
    <n v="772"/>
    <n v="2086"/>
    <m/>
    <m/>
    <m/>
    <m/>
    <m/>
    <m/>
    <m/>
    <m/>
    <m/>
    <n v="24"/>
    <n v="6"/>
    <n v="8"/>
    <n v="12"/>
    <n v="14"/>
    <n v="731"/>
    <n v="148"/>
    <n v="269"/>
    <n v="117"/>
    <n v="803"/>
    <m/>
    <n v="1"/>
    <m/>
    <m/>
    <m/>
    <m/>
    <m/>
    <m/>
    <m/>
    <m/>
    <m/>
    <m/>
    <m/>
    <m/>
    <m/>
    <m/>
    <m/>
    <m/>
    <m/>
    <m/>
    <m/>
    <m/>
    <n v="4"/>
    <n v="9"/>
    <n v="10"/>
    <m/>
    <m/>
    <x v="1"/>
    <n v="674"/>
  </r>
  <r>
    <s v="07-July"/>
    <s v="LAKE WYLIE"/>
    <n v="67"/>
    <n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57"/>
  </r>
  <r>
    <s v="07-July"/>
    <s v="ROCK HILL"/>
    <n v="223"/>
    <n v="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13"/>
  </r>
  <r>
    <s v="07-July"/>
    <s v="ROCK HILL"/>
    <m/>
    <m/>
    <n v="20248"/>
    <n v="2158"/>
    <n v="3826"/>
    <n v="20"/>
    <n v="33792"/>
    <n v="141"/>
    <n v="27"/>
    <m/>
    <n v="123"/>
    <n v="7"/>
    <m/>
    <n v="2011"/>
    <n v="12"/>
    <n v="6"/>
    <n v="21"/>
    <n v="21"/>
    <n v="13"/>
    <n v="547"/>
    <n v="226"/>
    <n v="398"/>
    <n v="192"/>
    <n v="1385"/>
    <m/>
    <n v="4"/>
    <m/>
    <m/>
    <m/>
    <m/>
    <n v="1602"/>
    <m/>
    <m/>
    <m/>
    <m/>
    <n v="2"/>
    <m/>
    <m/>
    <m/>
    <m/>
    <n v="10"/>
    <m/>
    <m/>
    <m/>
    <m/>
    <m/>
    <n v="374"/>
    <n v="20"/>
    <n v="27.5"/>
    <n v="8"/>
    <m/>
    <x v="1"/>
    <m/>
  </r>
  <r>
    <s v="07-July"/>
    <s v="YORK"/>
    <n v="65"/>
    <n v="21"/>
    <n v="4771"/>
    <n v="471"/>
    <n v="724"/>
    <n v="0"/>
    <n v="6285"/>
    <n v="105"/>
    <m/>
    <m/>
    <m/>
    <m/>
    <m/>
    <n v="1125"/>
    <n v="11"/>
    <n v="3"/>
    <n v="6"/>
    <n v="7"/>
    <n v="4"/>
    <n v="202"/>
    <n v="93"/>
    <n v="57"/>
    <n v="53"/>
    <n v="249"/>
    <m/>
    <m/>
    <m/>
    <m/>
    <m/>
    <m/>
    <m/>
    <m/>
    <m/>
    <m/>
    <m/>
    <m/>
    <m/>
    <m/>
    <m/>
    <m/>
    <m/>
    <m/>
    <m/>
    <m/>
    <m/>
    <m/>
    <n v="95"/>
    <n v="7"/>
    <n v="6"/>
    <n v="0"/>
    <m/>
    <x v="1"/>
    <n v="81"/>
  </r>
  <r>
    <s v="06-June"/>
    <s v="ROCK HILL"/>
    <n v="349"/>
    <m/>
    <n v="19413"/>
    <n v="2046"/>
    <n v="10094"/>
    <n v="9"/>
    <n v="21648"/>
    <n v="151"/>
    <m/>
    <n v="2"/>
    <n v="137"/>
    <n v="3102"/>
    <n v="1021"/>
    <n v="697"/>
    <n v="13"/>
    <n v="4"/>
    <n v="23"/>
    <n v="22"/>
    <n v="19"/>
    <n v="629"/>
    <n v="92"/>
    <n v="289"/>
    <n v="202"/>
    <n v="1912"/>
    <m/>
    <m/>
    <m/>
    <m/>
    <m/>
    <m/>
    <m/>
    <m/>
    <m/>
    <m/>
    <m/>
    <m/>
    <m/>
    <m/>
    <m/>
    <m/>
    <m/>
    <m/>
    <m/>
    <m/>
    <m/>
    <m/>
    <n v="8"/>
    <n v="15"/>
    <n v="14"/>
    <n v="5"/>
    <m/>
    <x v="1"/>
    <m/>
  </r>
  <r>
    <s v="06-June"/>
    <s v="CLOVER"/>
    <n v="62"/>
    <m/>
    <n v="3404"/>
    <n v="222"/>
    <n v="490"/>
    <n v="0"/>
    <n v="4678"/>
    <n v="70"/>
    <m/>
    <m/>
    <m/>
    <n v="1359"/>
    <n v="1968"/>
    <n v="208"/>
    <n v="10"/>
    <n v="3"/>
    <n v="4"/>
    <n v="4"/>
    <n v="4"/>
    <n v="130"/>
    <n v="45"/>
    <n v="25"/>
    <n v="21"/>
    <n v="125"/>
    <m/>
    <m/>
    <m/>
    <m/>
    <m/>
    <m/>
    <m/>
    <m/>
    <m/>
    <m/>
    <m/>
    <m/>
    <m/>
    <m/>
    <m/>
    <m/>
    <m/>
    <m/>
    <m/>
    <m/>
    <m/>
    <m/>
    <n v="8"/>
    <n v="1"/>
    <n v="21"/>
    <n v="1"/>
    <m/>
    <x v="1"/>
    <m/>
  </r>
  <r>
    <s v="06-June"/>
    <s v="FORT MILL"/>
    <n v="265"/>
    <m/>
    <n v="14653"/>
    <n v="766"/>
    <n v="1871"/>
    <n v="1"/>
    <n v="23998"/>
    <n v="38"/>
    <m/>
    <m/>
    <m/>
    <n v="1847"/>
    <n v="7156"/>
    <n v="274"/>
    <n v="22"/>
    <n v="5"/>
    <n v="9"/>
    <n v="12"/>
    <n v="16"/>
    <n v="679"/>
    <n v="129"/>
    <n v="113"/>
    <n v="83"/>
    <n v="1121"/>
    <m/>
    <m/>
    <m/>
    <m/>
    <m/>
    <m/>
    <m/>
    <m/>
    <m/>
    <m/>
    <m/>
    <m/>
    <m/>
    <m/>
    <m/>
    <m/>
    <m/>
    <m/>
    <m/>
    <m/>
    <m/>
    <m/>
    <n v="4"/>
    <n v="1"/>
    <n v="12"/>
    <n v="0"/>
    <m/>
    <x v="1"/>
    <m/>
  </r>
  <r>
    <s v="06-June"/>
    <s v="LAKE WYLIE"/>
    <n v="137"/>
    <m/>
    <n v="5355"/>
    <n v="214"/>
    <n v="891"/>
    <n v="5"/>
    <n v="6109"/>
    <n v="22"/>
    <m/>
    <m/>
    <m/>
    <n v="1568"/>
    <n v="3167"/>
    <n v="141"/>
    <n v="4"/>
    <n v="12"/>
    <n v="2"/>
    <n v="11"/>
    <n v="5"/>
    <n v="45"/>
    <n v="623"/>
    <n v="20"/>
    <n v="92"/>
    <n v="23"/>
    <m/>
    <m/>
    <m/>
    <m/>
    <m/>
    <m/>
    <m/>
    <m/>
    <m/>
    <m/>
    <m/>
    <m/>
    <m/>
    <m/>
    <m/>
    <m/>
    <m/>
    <m/>
    <m/>
    <m/>
    <m/>
    <m/>
    <n v="9"/>
    <n v="1"/>
    <n v="16"/>
    <n v="8"/>
    <m/>
    <x v="1"/>
    <m/>
  </r>
  <r>
    <s v="06-June"/>
    <s v="YORK"/>
    <n v="82"/>
    <m/>
    <n v="4774"/>
    <n v="447"/>
    <n v="1015"/>
    <n v="1"/>
    <n v="5010"/>
    <n v="120"/>
    <m/>
    <m/>
    <m/>
    <n v="1501"/>
    <n v="2669"/>
    <n v="242"/>
    <n v="10"/>
    <n v="2"/>
    <n v="3"/>
    <n v="7"/>
    <n v="4"/>
    <n v="246"/>
    <n v="60"/>
    <n v="20"/>
    <n v="99"/>
    <n v="332"/>
    <m/>
    <m/>
    <m/>
    <m/>
    <m/>
    <m/>
    <m/>
    <m/>
    <m/>
    <m/>
    <m/>
    <m/>
    <m/>
    <m/>
    <m/>
    <m/>
    <m/>
    <m/>
    <m/>
    <m/>
    <m/>
    <m/>
    <n v="2"/>
    <n v="10"/>
    <n v="7"/>
    <n v="0"/>
    <m/>
    <x v="1"/>
    <m/>
  </r>
  <r>
    <s v="06-June"/>
    <s v="OUTREACH / BOOKMOBILE"/>
    <n v="235"/>
    <m/>
    <n v="1346"/>
    <m/>
    <m/>
    <m/>
    <n v="1498"/>
    <n v="4"/>
    <m/>
    <m/>
    <m/>
    <n v="21"/>
    <n v="309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n v="3"/>
    <n v="1"/>
    <n v="4"/>
    <n v="2"/>
    <m/>
    <x v="1"/>
    <m/>
  </r>
  <r>
    <s v="03-March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s v="03-March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s v="03-March"/>
    <s v="LAKE WYLI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s v="03-March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s v="03-March"/>
    <s v="YOR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s v="03-March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s v="03-March"/>
    <s v="ROCK HILL"/>
    <n v="209"/>
    <m/>
    <n v="15555"/>
    <n v="2125"/>
    <n v="3342"/>
    <n v="6"/>
    <n v="17206"/>
    <n v="141"/>
    <m/>
    <n v="6"/>
    <n v="131"/>
    <n v="2981"/>
    <n v="6480"/>
    <n v="852"/>
    <n v="31"/>
    <n v="5"/>
    <n v="13"/>
    <n v="27"/>
    <n v="6"/>
    <n v="1188"/>
    <n v="116"/>
    <n v="155"/>
    <n v="277"/>
    <n v="106"/>
    <m/>
    <m/>
    <m/>
    <m/>
    <m/>
    <m/>
    <m/>
    <m/>
    <m/>
    <m/>
    <m/>
    <m/>
    <m/>
    <m/>
    <m/>
    <m/>
    <m/>
    <m/>
    <m/>
    <m/>
    <m/>
    <m/>
    <n v="13"/>
    <n v="42"/>
    <n v="41"/>
    <n v="10"/>
    <m/>
    <x v="1"/>
    <m/>
  </r>
  <r>
    <s v="03-March"/>
    <s v="CLOVER"/>
    <n v="37"/>
    <m/>
    <n v="2402"/>
    <n v="208"/>
    <n v="457"/>
    <n v="0"/>
    <n v="2858"/>
    <n v="66"/>
    <m/>
    <m/>
    <m/>
    <n v="1046"/>
    <n v="1961"/>
    <n v="253"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1"/>
    <n v="16"/>
    <n v="20"/>
    <n v="0"/>
    <m/>
    <x v="1"/>
    <m/>
  </r>
  <r>
    <s v="03-March"/>
    <s v="FORT MILL"/>
    <n v="208"/>
    <m/>
    <n v="12513"/>
    <n v="810"/>
    <n v="1795"/>
    <n v="14"/>
    <n v="19038"/>
    <n v="30"/>
    <m/>
    <m/>
    <m/>
    <n v="1805"/>
    <n v="6730"/>
    <n v="273"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6"/>
    <n v="6"/>
    <n v="13"/>
    <n v="0"/>
    <m/>
    <x v="1"/>
    <m/>
  </r>
  <r>
    <s v="03-March"/>
    <s v="LAKE WYLIE"/>
    <n v="55"/>
    <m/>
    <n v="3810"/>
    <n v="218"/>
    <n v="958"/>
    <n v="12"/>
    <n v="4857"/>
    <n v="18"/>
    <m/>
    <m/>
    <m/>
    <n v="1414"/>
    <n v="2581"/>
    <n v="87"/>
    <n v="4"/>
    <n v="1"/>
    <n v="2"/>
    <n v="13"/>
    <n v="2"/>
    <n v="39"/>
    <n v="7"/>
    <n v="19"/>
    <n v="122"/>
    <n v="16"/>
    <m/>
    <m/>
    <m/>
    <m/>
    <m/>
    <m/>
    <m/>
    <m/>
    <m/>
    <m/>
    <m/>
    <m/>
    <m/>
    <m/>
    <m/>
    <m/>
    <m/>
    <m/>
    <m/>
    <m/>
    <m/>
    <m/>
    <n v="8"/>
    <n v="1"/>
    <n v="53"/>
    <n v="9"/>
    <m/>
    <x v="1"/>
    <m/>
  </r>
  <r>
    <s v="03-March"/>
    <s v="YORK"/>
    <n v="62"/>
    <m/>
    <n v="3798"/>
    <n v="458"/>
    <n v="1054"/>
    <n v="4"/>
    <n v="3862"/>
    <n v="121"/>
    <m/>
    <m/>
    <m/>
    <n v="1352"/>
    <n v="2362"/>
    <n v="234"/>
    <n v="14"/>
    <n v="1"/>
    <n v="1"/>
    <n v="8"/>
    <n v="0"/>
    <n v="162"/>
    <n v="4"/>
    <n v="4"/>
    <n v="61"/>
    <n v="0"/>
    <m/>
    <m/>
    <m/>
    <m/>
    <m/>
    <m/>
    <m/>
    <m/>
    <m/>
    <m/>
    <m/>
    <m/>
    <m/>
    <m/>
    <m/>
    <m/>
    <m/>
    <m/>
    <m/>
    <m/>
    <m/>
    <m/>
    <n v="2"/>
    <n v="11"/>
    <n v="66"/>
    <n v="0"/>
    <m/>
    <x v="1"/>
    <m/>
  </r>
  <r>
    <s v="03-March"/>
    <s v="OUTREACH / BOOKMOBILE"/>
    <n v="18"/>
    <m/>
    <n v="507"/>
    <m/>
    <m/>
    <m/>
    <n v="1184"/>
    <n v="4"/>
    <m/>
    <m/>
    <m/>
    <n v="12"/>
    <n v="409"/>
    <m/>
    <n v="4"/>
    <n v="0"/>
    <n v="0"/>
    <n v="0"/>
    <n v="0"/>
    <n v="123"/>
    <n v="0"/>
    <n v="0"/>
    <n v="0"/>
    <n v="0"/>
    <m/>
    <m/>
    <m/>
    <m/>
    <m/>
    <m/>
    <m/>
    <m/>
    <m/>
    <m/>
    <m/>
    <m/>
    <m/>
    <m/>
    <m/>
    <m/>
    <m/>
    <m/>
    <m/>
    <m/>
    <m/>
    <m/>
    <n v="1"/>
    <n v="2"/>
    <n v="2"/>
    <n v="3"/>
    <m/>
    <x v="1"/>
    <m/>
  </r>
  <r>
    <s v="05-May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12"/>
  </r>
  <r>
    <s v="05-May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84"/>
  </r>
  <r>
    <s v="05-May"/>
    <s v="LAKE WYLI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78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m/>
    <x v="0"/>
    <x v="0"/>
    <m/>
    <x v="0"/>
    <x v="0"/>
    <x v="0"/>
    <m/>
    <n v="4"/>
    <m/>
    <m/>
    <n v="27"/>
    <m/>
    <m/>
    <m/>
    <m/>
    <m/>
    <n v="22"/>
    <n v="6"/>
    <n v="15"/>
    <n v="29"/>
    <n v="6"/>
    <n v="890"/>
    <n v="277"/>
    <n v="162"/>
    <n v="292"/>
    <n v="156"/>
    <m/>
    <n v="6"/>
    <m/>
    <m/>
    <m/>
    <m/>
    <n v="60"/>
    <m/>
    <m/>
    <m/>
    <m/>
    <m/>
    <m/>
    <m/>
    <m/>
    <m/>
    <m/>
    <m/>
    <m/>
    <m/>
    <m/>
    <m/>
    <n v="50"/>
    <n v="14"/>
    <n v="21.5"/>
    <n v="8"/>
    <m/>
    <x v="0"/>
    <m/>
  </r>
  <r>
    <m/>
    <x v="0"/>
    <x v="1"/>
    <m/>
    <x v="1"/>
    <x v="1"/>
    <x v="1"/>
    <m/>
    <n v="1"/>
    <m/>
    <m/>
    <n v="0"/>
    <m/>
    <m/>
    <m/>
    <m/>
    <m/>
    <n v="8"/>
    <n v="2"/>
    <n v="2"/>
    <n v="1"/>
    <n v="3"/>
    <n v="85"/>
    <n v="21"/>
    <n v="6"/>
    <n v="4"/>
    <n v="30"/>
    <m/>
    <n v="0"/>
    <m/>
    <m/>
    <m/>
    <m/>
    <n v="0"/>
    <m/>
    <m/>
    <m/>
    <m/>
    <m/>
    <m/>
    <m/>
    <m/>
    <m/>
    <m/>
    <m/>
    <m/>
    <m/>
    <m/>
    <m/>
    <n v="20"/>
    <n v="4"/>
    <n v="25"/>
    <n v="0"/>
    <m/>
    <x v="0"/>
    <m/>
  </r>
  <r>
    <m/>
    <x v="0"/>
    <x v="2"/>
    <m/>
    <x v="2"/>
    <x v="2"/>
    <x v="2"/>
    <m/>
    <n v="6"/>
    <m/>
    <m/>
    <n v="5"/>
    <m/>
    <m/>
    <m/>
    <m/>
    <m/>
    <n v="21"/>
    <n v="9"/>
    <n v="7"/>
    <n v="11"/>
    <n v="6"/>
    <n v="754"/>
    <n v="778"/>
    <n v="65"/>
    <n v="94"/>
    <n v="265"/>
    <m/>
    <n v="3"/>
    <m/>
    <m/>
    <m/>
    <m/>
    <n v="800"/>
    <m/>
    <m/>
    <m/>
    <m/>
    <m/>
    <m/>
    <m/>
    <m/>
    <m/>
    <m/>
    <m/>
    <m/>
    <m/>
    <m/>
    <m/>
    <n v="402"/>
    <n v="2"/>
    <n v="2"/>
    <m/>
    <m/>
    <x v="0"/>
    <m/>
  </r>
  <r>
    <m/>
    <x v="0"/>
    <x v="3"/>
    <m/>
    <x v="3"/>
    <x v="3"/>
    <x v="3"/>
    <m/>
    <n v="10"/>
    <m/>
    <m/>
    <n v="2"/>
    <m/>
    <m/>
    <m/>
    <m/>
    <m/>
    <n v="4"/>
    <n v="4"/>
    <n v="2"/>
    <n v="12"/>
    <n v="2"/>
    <n v="40"/>
    <n v="20"/>
    <n v="9"/>
    <n v="100"/>
    <n v="11"/>
    <m/>
    <n v="0"/>
    <m/>
    <m/>
    <m/>
    <m/>
    <n v="0"/>
    <m/>
    <m/>
    <m/>
    <m/>
    <m/>
    <m/>
    <m/>
    <m/>
    <m/>
    <m/>
    <m/>
    <m/>
    <m/>
    <m/>
    <m/>
    <n v="372"/>
    <n v="1"/>
    <n v="24.5"/>
    <n v="5"/>
    <m/>
    <x v="0"/>
    <m/>
  </r>
  <r>
    <m/>
    <x v="0"/>
    <x v="4"/>
    <m/>
    <x v="2"/>
    <x v="4"/>
    <x v="4"/>
    <m/>
    <n v="2"/>
    <m/>
    <m/>
    <n v="0"/>
    <m/>
    <m/>
    <m/>
    <m/>
    <m/>
    <n v="12"/>
    <n v="3"/>
    <n v="1"/>
    <n v="7"/>
    <m/>
    <n v="206"/>
    <n v="66"/>
    <n v="4"/>
    <n v="61"/>
    <m/>
    <m/>
    <n v="1"/>
    <m/>
    <m/>
    <m/>
    <m/>
    <n v="150"/>
    <m/>
    <m/>
    <m/>
    <m/>
    <m/>
    <m/>
    <m/>
    <m/>
    <m/>
    <m/>
    <m/>
    <m/>
    <m/>
    <m/>
    <m/>
    <n v="5"/>
    <n v="4"/>
    <n v="28"/>
    <n v="0"/>
    <m/>
    <x v="0"/>
    <m/>
  </r>
  <r>
    <m/>
    <x v="0"/>
    <x v="5"/>
    <m/>
    <x v="2"/>
    <x v="5"/>
    <x v="5"/>
    <m/>
    <m/>
    <m/>
    <m/>
    <m/>
    <m/>
    <m/>
    <m/>
    <m/>
    <m/>
    <n v="1"/>
    <m/>
    <m/>
    <n v="2"/>
    <m/>
    <n v="25"/>
    <m/>
    <m/>
    <n v="16"/>
    <m/>
    <m/>
    <m/>
    <m/>
    <m/>
    <m/>
    <m/>
    <m/>
    <m/>
    <m/>
    <m/>
    <m/>
    <m/>
    <m/>
    <m/>
    <m/>
    <m/>
    <m/>
    <m/>
    <m/>
    <m/>
    <m/>
    <m/>
    <n v="385"/>
    <n v="2"/>
    <n v="8"/>
    <m/>
    <m/>
    <x v="0"/>
    <m/>
  </r>
  <r>
    <m/>
    <x v="0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0"/>
    <x v="6"/>
    <m/>
    <x v="2"/>
    <x v="6"/>
    <x v="5"/>
    <m/>
    <m/>
    <m/>
    <m/>
    <m/>
    <n v="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0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0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0"/>
    <x v="6"/>
    <m/>
    <x v="2"/>
    <x v="6"/>
    <x v="5"/>
    <n v="0"/>
    <m/>
    <n v="80838"/>
    <n v="357"/>
    <m/>
    <m/>
    <m/>
    <m/>
    <m/>
    <n v="53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0"/>
    <x v="6"/>
    <m/>
    <x v="4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"/>
    <x v="0"/>
    <m/>
    <x v="5"/>
    <x v="7"/>
    <x v="6"/>
    <m/>
    <m/>
    <m/>
    <m/>
    <n v="20"/>
    <m/>
    <m/>
    <m/>
    <m/>
    <m/>
    <m/>
    <m/>
    <n v="5"/>
    <n v="16"/>
    <n v="1"/>
    <m/>
    <m/>
    <n v="46"/>
    <n v="135"/>
    <n v="34"/>
    <m/>
    <m/>
    <m/>
    <m/>
    <m/>
    <m/>
    <m/>
    <m/>
    <m/>
    <m/>
    <m/>
    <m/>
    <m/>
    <m/>
    <m/>
    <m/>
    <m/>
    <m/>
    <m/>
    <m/>
    <m/>
    <m/>
    <n v="244"/>
    <n v="50"/>
    <n v="375"/>
    <n v="21"/>
    <m/>
    <x v="0"/>
    <m/>
  </r>
  <r>
    <m/>
    <x v="1"/>
    <x v="1"/>
    <m/>
    <x v="6"/>
    <x v="8"/>
    <x v="7"/>
    <m/>
    <n v="1"/>
    <m/>
    <m/>
    <n v="0"/>
    <m/>
    <m/>
    <m/>
    <m/>
    <m/>
    <n v="1"/>
    <m/>
    <m/>
    <n v="4"/>
    <n v="1"/>
    <n v="16"/>
    <m/>
    <m/>
    <n v="20"/>
    <n v="5"/>
    <m/>
    <m/>
    <m/>
    <m/>
    <m/>
    <m/>
    <m/>
    <m/>
    <m/>
    <m/>
    <m/>
    <m/>
    <m/>
    <m/>
    <m/>
    <m/>
    <m/>
    <m/>
    <m/>
    <m/>
    <m/>
    <m/>
    <n v="100"/>
    <n v="26"/>
    <n v="76.5"/>
    <m/>
    <m/>
    <x v="0"/>
    <m/>
  </r>
  <r>
    <m/>
    <x v="1"/>
    <x v="2"/>
    <m/>
    <x v="7"/>
    <x v="9"/>
    <x v="8"/>
    <m/>
    <n v="3"/>
    <m/>
    <m/>
    <n v="5"/>
    <m/>
    <m/>
    <m/>
    <m/>
    <m/>
    <m/>
    <n v="1"/>
    <m/>
    <n v="6"/>
    <n v="1"/>
    <m/>
    <n v="15"/>
    <m/>
    <n v="50"/>
    <n v="52"/>
    <m/>
    <m/>
    <m/>
    <m/>
    <m/>
    <m/>
    <m/>
    <m/>
    <m/>
    <m/>
    <m/>
    <m/>
    <m/>
    <m/>
    <m/>
    <m/>
    <m/>
    <m/>
    <m/>
    <m/>
    <m/>
    <m/>
    <n v="242"/>
    <n v="1"/>
    <n v="1"/>
    <m/>
    <m/>
    <x v="0"/>
    <m/>
  </r>
  <r>
    <m/>
    <x v="1"/>
    <x v="2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"/>
    <n v="133"/>
    <m/>
    <m/>
    <x v="0"/>
    <m/>
  </r>
  <r>
    <m/>
    <x v="1"/>
    <x v="3"/>
    <m/>
    <x v="8"/>
    <x v="10"/>
    <x v="9"/>
    <m/>
    <n v="10"/>
    <m/>
    <m/>
    <n v="0"/>
    <m/>
    <m/>
    <m/>
    <m/>
    <m/>
    <n v="1"/>
    <n v="0"/>
    <n v="0"/>
    <n v="10"/>
    <n v="4"/>
    <n v="7"/>
    <n v="0"/>
    <n v="0"/>
    <n v="82"/>
    <n v="27"/>
    <m/>
    <n v="0"/>
    <m/>
    <m/>
    <m/>
    <m/>
    <n v="0"/>
    <m/>
    <m/>
    <m/>
    <m/>
    <m/>
    <m/>
    <m/>
    <m/>
    <m/>
    <m/>
    <m/>
    <m/>
    <m/>
    <m/>
    <m/>
    <n v="249"/>
    <n v="11"/>
    <n v="81.5"/>
    <n v="3"/>
    <m/>
    <x v="0"/>
    <m/>
  </r>
  <r>
    <m/>
    <x v="1"/>
    <x v="4"/>
    <m/>
    <x v="9"/>
    <x v="11"/>
    <x v="10"/>
    <m/>
    <n v="3"/>
    <m/>
    <m/>
    <n v="0"/>
    <m/>
    <m/>
    <m/>
    <m/>
    <m/>
    <m/>
    <m/>
    <m/>
    <n v="2"/>
    <m/>
    <m/>
    <m/>
    <m/>
    <n v="15"/>
    <m/>
    <m/>
    <n v="1"/>
    <m/>
    <m/>
    <m/>
    <m/>
    <n v="40"/>
    <m/>
    <m/>
    <m/>
    <m/>
    <m/>
    <m/>
    <m/>
    <m/>
    <m/>
    <m/>
    <m/>
    <m/>
    <m/>
    <m/>
    <m/>
    <n v="0"/>
    <n v="6"/>
    <n v="30"/>
    <n v="0"/>
    <m/>
    <x v="0"/>
    <m/>
  </r>
  <r>
    <m/>
    <x v="1"/>
    <x v="5"/>
    <m/>
    <x v="10"/>
    <x v="1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3"/>
    <m/>
    <m/>
    <n v="6"/>
    <m/>
    <x v="0"/>
    <m/>
  </r>
  <r>
    <m/>
    <x v="1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"/>
    <x v="6"/>
    <m/>
    <x v="2"/>
    <x v="6"/>
    <x v="5"/>
    <m/>
    <m/>
    <m/>
    <m/>
    <m/>
    <n v="5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"/>
    <x v="0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"/>
    <x v="6"/>
    <m/>
    <x v="2"/>
    <x v="6"/>
    <x v="5"/>
    <n v="0"/>
    <m/>
    <n v="84346"/>
    <n v="351"/>
    <m/>
    <m/>
    <m/>
    <m/>
    <m/>
    <n v="57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"/>
    <x v="6"/>
    <m/>
    <x v="11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2"/>
    <x v="0"/>
    <m/>
    <x v="12"/>
    <x v="13"/>
    <x v="11"/>
    <m/>
    <n v="5"/>
    <m/>
    <m/>
    <n v="13"/>
    <m/>
    <m/>
    <m/>
    <m/>
    <m/>
    <n v="23"/>
    <n v="73"/>
    <n v="20"/>
    <n v="21"/>
    <n v="9"/>
    <n v="899"/>
    <n v="73"/>
    <n v="1402"/>
    <n v="175"/>
    <n v="216"/>
    <m/>
    <n v="7"/>
    <m/>
    <m/>
    <m/>
    <m/>
    <n v="1308"/>
    <m/>
    <m/>
    <m/>
    <m/>
    <m/>
    <m/>
    <m/>
    <m/>
    <m/>
    <m/>
    <m/>
    <m/>
    <m/>
    <m/>
    <m/>
    <n v="259"/>
    <n v="10"/>
    <n v="23"/>
    <n v="9"/>
    <m/>
    <x v="0"/>
    <m/>
  </r>
  <r>
    <m/>
    <x v="2"/>
    <x v="2"/>
    <m/>
    <x v="2"/>
    <x v="14"/>
    <x v="12"/>
    <m/>
    <n v="2"/>
    <m/>
    <m/>
    <n v="5"/>
    <m/>
    <m/>
    <m/>
    <m/>
    <m/>
    <n v="14"/>
    <n v="4"/>
    <n v="6"/>
    <n v="11"/>
    <n v="3"/>
    <n v="418"/>
    <n v="49"/>
    <n v="68"/>
    <n v="71"/>
    <n v="114"/>
    <m/>
    <m/>
    <m/>
    <m/>
    <m/>
    <m/>
    <m/>
    <m/>
    <m/>
    <m/>
    <m/>
    <m/>
    <m/>
    <m/>
    <m/>
    <m/>
    <m/>
    <m/>
    <m/>
    <m/>
    <m/>
    <m/>
    <n v="368"/>
    <m/>
    <m/>
    <m/>
    <m/>
    <x v="0"/>
    <m/>
  </r>
  <r>
    <m/>
    <x v="2"/>
    <x v="3"/>
    <m/>
    <x v="13"/>
    <x v="15"/>
    <x v="13"/>
    <m/>
    <n v="9"/>
    <m/>
    <m/>
    <n v="2"/>
    <m/>
    <m/>
    <m/>
    <m/>
    <m/>
    <n v="7"/>
    <n v="4"/>
    <n v="2"/>
    <n v="5"/>
    <n v="0"/>
    <n v="127"/>
    <n v="43"/>
    <n v="5"/>
    <n v="41"/>
    <n v="0"/>
    <m/>
    <n v="0"/>
    <m/>
    <m/>
    <m/>
    <m/>
    <n v="0"/>
    <m/>
    <m/>
    <m/>
    <m/>
    <m/>
    <m/>
    <m/>
    <m/>
    <m/>
    <m/>
    <m/>
    <m/>
    <m/>
    <m/>
    <m/>
    <n v="301"/>
    <n v="1"/>
    <n v="8"/>
    <n v="8"/>
    <m/>
    <x v="0"/>
    <m/>
  </r>
  <r>
    <m/>
    <x v="2"/>
    <x v="4"/>
    <m/>
    <x v="2"/>
    <x v="16"/>
    <x v="14"/>
    <m/>
    <n v="2"/>
    <m/>
    <m/>
    <n v="0"/>
    <m/>
    <m/>
    <m/>
    <m/>
    <m/>
    <n v="9"/>
    <n v="3"/>
    <n v="1"/>
    <n v="7"/>
    <m/>
    <n v="166"/>
    <n v="81"/>
    <n v="7"/>
    <n v="60"/>
    <m/>
    <m/>
    <m/>
    <m/>
    <m/>
    <m/>
    <m/>
    <m/>
    <m/>
    <m/>
    <m/>
    <m/>
    <m/>
    <m/>
    <m/>
    <m/>
    <m/>
    <m/>
    <m/>
    <m/>
    <m/>
    <m/>
    <m/>
    <n v="70"/>
    <n v="5"/>
    <n v="10"/>
    <n v="0"/>
    <m/>
    <x v="0"/>
    <m/>
  </r>
  <r>
    <m/>
    <x v="2"/>
    <x v="5"/>
    <m/>
    <x v="2"/>
    <x v="17"/>
    <x v="5"/>
    <m/>
    <m/>
    <m/>
    <m/>
    <m/>
    <m/>
    <m/>
    <m/>
    <m/>
    <m/>
    <n v="3"/>
    <m/>
    <m/>
    <m/>
    <m/>
    <n v="98"/>
    <m/>
    <m/>
    <m/>
    <m/>
    <m/>
    <m/>
    <m/>
    <m/>
    <m/>
    <m/>
    <m/>
    <m/>
    <m/>
    <m/>
    <m/>
    <m/>
    <m/>
    <m/>
    <m/>
    <m/>
    <m/>
    <m/>
    <m/>
    <m/>
    <m/>
    <m/>
    <n v="586"/>
    <m/>
    <m/>
    <m/>
    <m/>
    <x v="0"/>
    <m/>
  </r>
  <r>
    <m/>
    <x v="2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2"/>
    <x v="6"/>
    <m/>
    <x v="2"/>
    <x v="6"/>
    <x v="5"/>
    <m/>
    <m/>
    <m/>
    <m/>
    <m/>
    <n v="2"/>
    <n v="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2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2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2"/>
    <x v="6"/>
    <m/>
    <x v="2"/>
    <x v="6"/>
    <x v="5"/>
    <n v="0"/>
    <m/>
    <n v="65379"/>
    <n v="312"/>
    <m/>
    <m/>
    <m/>
    <m/>
    <m/>
    <n v="44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2"/>
    <x v="1"/>
    <m/>
    <x v="2"/>
    <x v="1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2"/>
    <x v="6"/>
    <m/>
    <x v="14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3"/>
    <x v="1"/>
    <m/>
    <x v="2"/>
    <x v="19"/>
    <x v="15"/>
    <m/>
    <m/>
    <m/>
    <m/>
    <m/>
    <m/>
    <m/>
    <m/>
    <m/>
    <m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0"/>
    <n v="35"/>
    <n v="59.5"/>
    <m/>
    <m/>
    <x v="0"/>
    <m/>
  </r>
  <r>
    <m/>
    <x v="3"/>
    <x v="2"/>
    <m/>
    <x v="2"/>
    <x v="20"/>
    <x v="16"/>
    <m/>
    <n v="14"/>
    <m/>
    <m/>
    <n v="6"/>
    <m/>
    <m/>
    <m/>
    <m/>
    <m/>
    <n v="23"/>
    <n v="6"/>
    <n v="7"/>
    <n v="14"/>
    <n v="4"/>
    <n v="683"/>
    <n v="66"/>
    <n v="93"/>
    <n v="116"/>
    <n v="154"/>
    <m/>
    <n v="1"/>
    <m/>
    <m/>
    <m/>
    <m/>
    <n v="400"/>
    <m/>
    <m/>
    <m/>
    <m/>
    <m/>
    <m/>
    <m/>
    <m/>
    <m/>
    <m/>
    <m/>
    <m/>
    <m/>
    <m/>
    <m/>
    <n v="365"/>
    <n v="16"/>
    <n v="120"/>
    <m/>
    <m/>
    <x v="0"/>
    <m/>
  </r>
  <r>
    <m/>
    <x v="3"/>
    <x v="3"/>
    <m/>
    <x v="2"/>
    <x v="21"/>
    <x v="17"/>
    <m/>
    <n v="11"/>
    <m/>
    <m/>
    <n v="3"/>
    <m/>
    <m/>
    <m/>
    <m/>
    <m/>
    <n v="5"/>
    <n v="4"/>
    <n v="2"/>
    <n v="13"/>
    <n v="0"/>
    <n v="52"/>
    <n v="47"/>
    <n v="8"/>
    <n v="118"/>
    <n v="0"/>
    <m/>
    <n v="0"/>
    <m/>
    <m/>
    <m/>
    <m/>
    <n v="0"/>
    <m/>
    <m/>
    <m/>
    <m/>
    <m/>
    <m/>
    <m/>
    <m/>
    <m/>
    <m/>
    <m/>
    <m/>
    <m/>
    <m/>
    <m/>
    <n v="432"/>
    <n v="1"/>
    <n v="86"/>
    <n v="5"/>
    <m/>
    <x v="0"/>
    <m/>
  </r>
  <r>
    <m/>
    <x v="3"/>
    <x v="4"/>
    <m/>
    <x v="2"/>
    <x v="22"/>
    <x v="18"/>
    <m/>
    <n v="5"/>
    <m/>
    <m/>
    <n v="0"/>
    <m/>
    <m/>
    <m/>
    <m/>
    <m/>
    <n v="7"/>
    <n v="3"/>
    <n v="1"/>
    <n v="8"/>
    <n v="1"/>
    <n v="73"/>
    <n v="68"/>
    <n v="5"/>
    <n v="67"/>
    <n v="20"/>
    <m/>
    <n v="1"/>
    <m/>
    <m/>
    <m/>
    <m/>
    <n v="57"/>
    <m/>
    <m/>
    <m/>
    <m/>
    <m/>
    <m/>
    <m/>
    <m/>
    <m/>
    <m/>
    <m/>
    <m/>
    <m/>
    <m/>
    <m/>
    <n v="48"/>
    <n v="18"/>
    <n v="86.5"/>
    <n v="2"/>
    <m/>
    <x v="0"/>
    <m/>
  </r>
  <r>
    <m/>
    <x v="3"/>
    <x v="5"/>
    <m/>
    <x v="2"/>
    <x v="23"/>
    <x v="5"/>
    <m/>
    <m/>
    <m/>
    <m/>
    <m/>
    <m/>
    <m/>
    <m/>
    <m/>
    <m/>
    <n v="4"/>
    <m/>
    <m/>
    <m/>
    <m/>
    <n v="104"/>
    <m/>
    <m/>
    <m/>
    <m/>
    <m/>
    <m/>
    <m/>
    <m/>
    <m/>
    <m/>
    <m/>
    <m/>
    <m/>
    <m/>
    <m/>
    <m/>
    <m/>
    <m/>
    <m/>
    <m/>
    <m/>
    <m/>
    <m/>
    <m/>
    <m/>
    <m/>
    <m/>
    <n v="1"/>
    <n v="1.5"/>
    <m/>
    <m/>
    <x v="0"/>
    <m/>
  </r>
  <r>
    <m/>
    <x v="3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3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3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3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3"/>
    <x v="6"/>
    <m/>
    <x v="2"/>
    <x v="6"/>
    <x v="5"/>
    <n v="0"/>
    <m/>
    <n v="73349"/>
    <n v="333"/>
    <m/>
    <m/>
    <m/>
    <m/>
    <m/>
    <n v="54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3"/>
    <x v="0"/>
    <m/>
    <x v="2"/>
    <x v="2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3"/>
    <x v="6"/>
    <m/>
    <x v="15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4"/>
    <x v="1"/>
    <m/>
    <x v="16"/>
    <x v="25"/>
    <x v="19"/>
    <m/>
    <n v="1"/>
    <m/>
    <m/>
    <m/>
    <m/>
    <m/>
    <m/>
    <m/>
    <m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30"/>
    <n v="38"/>
    <n v="26.5"/>
    <m/>
    <m/>
    <x v="0"/>
    <m/>
  </r>
  <r>
    <m/>
    <x v="4"/>
    <x v="2"/>
    <m/>
    <x v="2"/>
    <x v="26"/>
    <x v="20"/>
    <m/>
    <n v="6"/>
    <m/>
    <m/>
    <n v="5"/>
    <m/>
    <m/>
    <m/>
    <m/>
    <m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469"/>
    <m/>
    <m/>
    <m/>
    <m/>
    <x v="0"/>
    <m/>
  </r>
  <r>
    <m/>
    <x v="4"/>
    <x v="3"/>
    <m/>
    <x v="17"/>
    <x v="27"/>
    <x v="21"/>
    <m/>
    <n v="9"/>
    <m/>
    <m/>
    <n v="3"/>
    <m/>
    <m/>
    <m/>
    <m/>
    <m/>
    <n v="1"/>
    <n v="2"/>
    <n v="2"/>
    <n v="10"/>
    <n v="0"/>
    <n v="8"/>
    <n v="6"/>
    <n v="4"/>
    <n v="105"/>
    <n v="0"/>
    <m/>
    <n v="0"/>
    <m/>
    <m/>
    <m/>
    <m/>
    <n v="0"/>
    <m/>
    <m/>
    <m/>
    <m/>
    <m/>
    <m/>
    <m/>
    <m/>
    <m/>
    <m/>
    <m/>
    <m/>
    <m/>
    <m/>
    <m/>
    <n v="261"/>
    <n v="1"/>
    <n v="9"/>
    <n v="2"/>
    <m/>
    <x v="0"/>
    <m/>
  </r>
  <r>
    <m/>
    <x v="4"/>
    <x v="4"/>
    <m/>
    <x v="18"/>
    <x v="28"/>
    <x v="22"/>
    <m/>
    <n v="3"/>
    <m/>
    <m/>
    <n v="0"/>
    <m/>
    <m/>
    <m/>
    <m/>
    <m/>
    <n v="10"/>
    <n v="2"/>
    <n v="2"/>
    <n v="9"/>
    <m/>
    <n v="146"/>
    <n v="56"/>
    <n v="15"/>
    <n v="91"/>
    <m/>
    <m/>
    <m/>
    <m/>
    <m/>
    <m/>
    <m/>
    <m/>
    <m/>
    <m/>
    <m/>
    <m/>
    <m/>
    <m/>
    <m/>
    <m/>
    <m/>
    <m/>
    <m/>
    <m/>
    <m/>
    <m/>
    <m/>
    <n v="150"/>
    <n v="4"/>
    <n v="16"/>
    <n v="3"/>
    <m/>
    <x v="0"/>
    <m/>
  </r>
  <r>
    <m/>
    <x v="4"/>
    <x v="5"/>
    <m/>
    <x v="2"/>
    <x v="29"/>
    <x v="5"/>
    <m/>
    <m/>
    <m/>
    <m/>
    <m/>
    <m/>
    <m/>
    <m/>
    <m/>
    <m/>
    <n v="3"/>
    <m/>
    <m/>
    <m/>
    <m/>
    <n v="96"/>
    <m/>
    <m/>
    <m/>
    <m/>
    <m/>
    <m/>
    <m/>
    <m/>
    <m/>
    <m/>
    <m/>
    <m/>
    <m/>
    <m/>
    <m/>
    <m/>
    <m/>
    <m/>
    <m/>
    <m/>
    <m/>
    <m/>
    <m/>
    <m/>
    <m/>
    <m/>
    <n v="130"/>
    <n v="1"/>
    <n v="1"/>
    <m/>
    <m/>
    <x v="0"/>
    <m/>
  </r>
  <r>
    <m/>
    <x v="4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4"/>
    <x v="6"/>
    <m/>
    <x v="2"/>
    <x v="6"/>
    <x v="5"/>
    <m/>
    <m/>
    <m/>
    <m/>
    <m/>
    <n v="7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4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4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4"/>
    <x v="6"/>
    <m/>
    <x v="2"/>
    <x v="6"/>
    <x v="5"/>
    <m/>
    <m/>
    <m/>
    <m/>
    <m/>
    <n v="2"/>
    <n v="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4"/>
    <x v="6"/>
    <m/>
    <x v="2"/>
    <x v="6"/>
    <x v="5"/>
    <n v="0"/>
    <m/>
    <n v="77438"/>
    <n v="350"/>
    <m/>
    <m/>
    <m/>
    <m/>
    <m/>
    <n v="45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4"/>
    <x v="0"/>
    <m/>
    <x v="2"/>
    <x v="3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4"/>
    <x v="6"/>
    <m/>
    <x v="19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5"/>
    <x v="0"/>
    <m/>
    <x v="20"/>
    <x v="31"/>
    <x v="23"/>
    <m/>
    <n v="2"/>
    <m/>
    <m/>
    <n v="40"/>
    <m/>
    <m/>
    <m/>
    <m/>
    <m/>
    <n v="11"/>
    <n v="5"/>
    <n v="25"/>
    <n v="20"/>
    <n v="13"/>
    <n v="652"/>
    <n v="153"/>
    <n v="315"/>
    <n v="165"/>
    <n v="1092"/>
    <m/>
    <n v="2"/>
    <m/>
    <m/>
    <m/>
    <m/>
    <n v="71"/>
    <m/>
    <m/>
    <m/>
    <m/>
    <m/>
    <m/>
    <m/>
    <m/>
    <m/>
    <m/>
    <m/>
    <m/>
    <m/>
    <m/>
    <m/>
    <n v="674"/>
    <n v="9"/>
    <n v="53"/>
    <n v="7"/>
    <m/>
    <x v="0"/>
    <m/>
  </r>
  <r>
    <m/>
    <x v="5"/>
    <x v="1"/>
    <m/>
    <x v="21"/>
    <x v="32"/>
    <x v="24"/>
    <m/>
    <m/>
    <m/>
    <m/>
    <n v="0"/>
    <m/>
    <m/>
    <m/>
    <m/>
    <m/>
    <n v="14"/>
    <n v="3"/>
    <n v="5"/>
    <n v="6"/>
    <n v="6"/>
    <n v="177"/>
    <n v="17"/>
    <n v="30"/>
    <n v="53"/>
    <n v="106"/>
    <m/>
    <m/>
    <m/>
    <m/>
    <m/>
    <m/>
    <m/>
    <m/>
    <m/>
    <m/>
    <m/>
    <m/>
    <m/>
    <m/>
    <m/>
    <m/>
    <m/>
    <m/>
    <m/>
    <m/>
    <m/>
    <m/>
    <n v="108"/>
    <n v="17"/>
    <n v="20.5"/>
    <m/>
    <m/>
    <x v="0"/>
    <m/>
  </r>
  <r>
    <m/>
    <x v="5"/>
    <x v="2"/>
    <m/>
    <x v="22"/>
    <x v="33"/>
    <x v="25"/>
    <m/>
    <n v="2"/>
    <m/>
    <m/>
    <n v="5"/>
    <m/>
    <m/>
    <m/>
    <m/>
    <m/>
    <n v="24"/>
    <n v="5"/>
    <n v="7"/>
    <n v="8"/>
    <n v="15"/>
    <n v="737"/>
    <n v="95"/>
    <n v="86"/>
    <n v="75"/>
    <n v="741"/>
    <m/>
    <n v="1"/>
    <m/>
    <m/>
    <m/>
    <m/>
    <n v="12"/>
    <m/>
    <m/>
    <m/>
    <m/>
    <m/>
    <m/>
    <m/>
    <m/>
    <m/>
    <m/>
    <m/>
    <m/>
    <m/>
    <m/>
    <m/>
    <n v="491"/>
    <n v="1"/>
    <n v="1"/>
    <m/>
    <m/>
    <x v="0"/>
    <m/>
  </r>
  <r>
    <m/>
    <x v="5"/>
    <x v="4"/>
    <m/>
    <x v="23"/>
    <x v="34"/>
    <x v="26"/>
    <m/>
    <n v="2"/>
    <m/>
    <m/>
    <n v="0"/>
    <m/>
    <m/>
    <m/>
    <m/>
    <m/>
    <n v="9"/>
    <n v="10"/>
    <n v="3"/>
    <n v="7"/>
    <n v="0"/>
    <n v="143"/>
    <n v="292"/>
    <n v="32"/>
    <n v="114"/>
    <n v="0"/>
    <m/>
    <n v="0"/>
    <m/>
    <m/>
    <m/>
    <m/>
    <n v="0"/>
    <m/>
    <m/>
    <m/>
    <m/>
    <m/>
    <m/>
    <m/>
    <m/>
    <m/>
    <m/>
    <m/>
    <m/>
    <m/>
    <m/>
    <m/>
    <n v="35"/>
    <n v="6"/>
    <n v="108"/>
    <n v="0"/>
    <m/>
    <x v="0"/>
    <m/>
  </r>
  <r>
    <m/>
    <x v="5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5"/>
    <x v="6"/>
    <m/>
    <x v="2"/>
    <x v="6"/>
    <x v="5"/>
    <m/>
    <m/>
    <m/>
    <m/>
    <m/>
    <n v="11"/>
    <n v="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5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5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5"/>
    <x v="6"/>
    <m/>
    <x v="2"/>
    <x v="6"/>
    <x v="5"/>
    <n v="0"/>
    <m/>
    <n v="76749"/>
    <n v="376"/>
    <m/>
    <m/>
    <m/>
    <m/>
    <m/>
    <n v="48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5"/>
    <x v="3"/>
    <m/>
    <x v="24"/>
    <x v="3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5"/>
    <x v="6"/>
    <m/>
    <x v="25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5"/>
    <x v="7"/>
    <m/>
    <x v="26"/>
    <x v="3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6"/>
    <x v="0"/>
    <m/>
    <x v="27"/>
    <x v="37"/>
    <x v="27"/>
    <m/>
    <n v="6"/>
    <m/>
    <m/>
    <n v="21"/>
    <m/>
    <m/>
    <m/>
    <m/>
    <m/>
    <n v="31"/>
    <n v="5"/>
    <n v="13"/>
    <n v="27"/>
    <n v="6"/>
    <n v="1188"/>
    <n v="116"/>
    <n v="155"/>
    <n v="277"/>
    <n v="106"/>
    <m/>
    <n v="7"/>
    <m/>
    <m/>
    <m/>
    <m/>
    <n v="111"/>
    <m/>
    <m/>
    <m/>
    <m/>
    <m/>
    <m/>
    <m/>
    <m/>
    <m/>
    <m/>
    <m/>
    <m/>
    <m/>
    <m/>
    <m/>
    <n v="30"/>
    <n v="42"/>
    <n v="40.5"/>
    <n v="10"/>
    <m/>
    <x v="0"/>
    <m/>
  </r>
  <r>
    <m/>
    <x v="6"/>
    <x v="1"/>
    <m/>
    <x v="28"/>
    <x v="38"/>
    <x v="28"/>
    <m/>
    <n v="0"/>
    <m/>
    <m/>
    <m/>
    <m/>
    <m/>
    <m/>
    <m/>
    <m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0"/>
    <n v="19"/>
    <n v="20"/>
    <n v="0"/>
    <m/>
    <x v="0"/>
    <m/>
  </r>
  <r>
    <m/>
    <x v="6"/>
    <x v="2"/>
    <m/>
    <x v="2"/>
    <x v="39"/>
    <x v="29"/>
    <m/>
    <n v="14"/>
    <m/>
    <m/>
    <n v="5"/>
    <m/>
    <m/>
    <m/>
    <m/>
    <m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320"/>
    <n v="5"/>
    <n v="5"/>
    <m/>
    <m/>
    <x v="0"/>
    <m/>
  </r>
  <r>
    <m/>
    <x v="6"/>
    <x v="3"/>
    <m/>
    <x v="29"/>
    <x v="40"/>
    <x v="30"/>
    <m/>
    <n v="12"/>
    <m/>
    <m/>
    <n v="2"/>
    <m/>
    <m/>
    <m/>
    <m/>
    <m/>
    <n v="4"/>
    <n v="2"/>
    <n v="2"/>
    <n v="13"/>
    <n v="2"/>
    <n v="39"/>
    <n v="7"/>
    <n v="19"/>
    <n v="122"/>
    <n v="16"/>
    <m/>
    <n v="0"/>
    <m/>
    <m/>
    <m/>
    <m/>
    <n v="0"/>
    <m/>
    <m/>
    <m/>
    <m/>
    <m/>
    <m/>
    <m/>
    <m/>
    <m/>
    <m/>
    <m/>
    <m/>
    <m/>
    <m/>
    <m/>
    <n v="365"/>
    <n v="1"/>
    <n v="53"/>
    <n v="9"/>
    <m/>
    <x v="0"/>
    <m/>
  </r>
  <r>
    <m/>
    <x v="6"/>
    <x v="4"/>
    <m/>
    <x v="2"/>
    <x v="41"/>
    <x v="31"/>
    <m/>
    <n v="4"/>
    <m/>
    <m/>
    <n v="0"/>
    <m/>
    <m/>
    <m/>
    <m/>
    <m/>
    <n v="14"/>
    <n v="1"/>
    <n v="1"/>
    <n v="8"/>
    <m/>
    <n v="162"/>
    <n v="4"/>
    <n v="4"/>
    <n v="61"/>
    <m/>
    <m/>
    <n v="1"/>
    <m/>
    <m/>
    <m/>
    <m/>
    <n v="20"/>
    <m/>
    <m/>
    <m/>
    <m/>
    <m/>
    <m/>
    <m/>
    <m/>
    <m/>
    <m/>
    <m/>
    <m/>
    <m/>
    <m/>
    <m/>
    <n v="45"/>
    <n v="11"/>
    <n v="66"/>
    <n v="0"/>
    <m/>
    <x v="0"/>
    <m/>
  </r>
  <r>
    <m/>
    <x v="6"/>
    <x v="5"/>
    <m/>
    <x v="2"/>
    <x v="42"/>
    <x v="5"/>
    <m/>
    <m/>
    <m/>
    <m/>
    <m/>
    <m/>
    <m/>
    <m/>
    <m/>
    <m/>
    <n v="4"/>
    <m/>
    <m/>
    <m/>
    <m/>
    <n v="123"/>
    <m/>
    <m/>
    <m/>
    <m/>
    <m/>
    <m/>
    <m/>
    <m/>
    <m/>
    <m/>
    <m/>
    <m/>
    <m/>
    <m/>
    <m/>
    <m/>
    <m/>
    <m/>
    <m/>
    <m/>
    <m/>
    <m/>
    <m/>
    <m/>
    <m/>
    <m/>
    <n v="489"/>
    <n v="2"/>
    <n v="2"/>
    <n v="3"/>
    <m/>
    <x v="0"/>
    <m/>
  </r>
  <r>
    <m/>
    <x v="6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6"/>
    <x v="6"/>
    <m/>
    <x v="2"/>
    <x v="6"/>
    <x v="5"/>
    <m/>
    <m/>
    <m/>
    <m/>
    <m/>
    <n v="6"/>
    <n v="1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6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6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6"/>
    <x v="6"/>
    <m/>
    <x v="2"/>
    <x v="6"/>
    <x v="5"/>
    <n v="0"/>
    <m/>
    <n v="82902"/>
    <n v="380"/>
    <m/>
    <m/>
    <m/>
    <m/>
    <m/>
    <n v="64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6"/>
    <x v="6"/>
    <m/>
    <x v="30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7"/>
    <x v="0"/>
    <m/>
    <x v="31"/>
    <x v="43"/>
    <x v="32"/>
    <m/>
    <n v="12"/>
    <m/>
    <m/>
    <n v="38"/>
    <m/>
    <m/>
    <m/>
    <m/>
    <m/>
    <n v="15"/>
    <n v="6"/>
    <n v="10"/>
    <n v="22"/>
    <n v="8"/>
    <n v="636"/>
    <n v="140"/>
    <n v="59"/>
    <n v="245"/>
    <n v="1644"/>
    <m/>
    <n v="5"/>
    <m/>
    <m/>
    <m/>
    <m/>
    <n v="21"/>
    <m/>
    <m/>
    <m/>
    <m/>
    <m/>
    <m/>
    <m/>
    <m/>
    <m/>
    <m/>
    <m/>
    <m/>
    <m/>
    <m/>
    <m/>
    <n v="0"/>
    <n v="15"/>
    <n v="14.5"/>
    <n v="7"/>
    <m/>
    <x v="0"/>
    <m/>
  </r>
  <r>
    <m/>
    <x v="7"/>
    <x v="1"/>
    <m/>
    <x v="32"/>
    <x v="44"/>
    <x v="33"/>
    <m/>
    <n v="1"/>
    <m/>
    <m/>
    <n v="0"/>
    <n v="0"/>
    <n v="0"/>
    <m/>
    <m/>
    <m/>
    <n v="10"/>
    <n v="2"/>
    <n v="3"/>
    <n v="3"/>
    <n v="0"/>
    <n v="155"/>
    <n v="12"/>
    <n v="17"/>
    <n v="28"/>
    <n v="0"/>
    <m/>
    <n v="0"/>
    <m/>
    <m/>
    <m/>
    <m/>
    <n v="0"/>
    <m/>
    <m/>
    <m/>
    <m/>
    <m/>
    <m/>
    <m/>
    <m/>
    <m/>
    <m/>
    <m/>
    <m/>
    <m/>
    <m/>
    <m/>
    <n v="0"/>
    <n v="1"/>
    <n v="25"/>
    <n v="0"/>
    <m/>
    <x v="0"/>
    <m/>
  </r>
  <r>
    <m/>
    <x v="7"/>
    <x v="2"/>
    <m/>
    <x v="2"/>
    <x v="45"/>
    <x v="34"/>
    <m/>
    <n v="4"/>
    <m/>
    <m/>
    <n v="5"/>
    <m/>
    <m/>
    <m/>
    <m/>
    <m/>
    <n v="21"/>
    <n v="5"/>
    <n v="5"/>
    <n v="10"/>
    <n v="5"/>
    <n v="714"/>
    <n v="70"/>
    <n v="84"/>
    <n v="96"/>
    <n v="894"/>
    <m/>
    <n v="1"/>
    <m/>
    <m/>
    <m/>
    <m/>
    <n v="770"/>
    <m/>
    <m/>
    <m/>
    <m/>
    <m/>
    <m/>
    <m/>
    <m/>
    <m/>
    <m/>
    <m/>
    <m/>
    <m/>
    <m/>
    <m/>
    <n v="504"/>
    <n v="2"/>
    <n v="2"/>
    <m/>
    <m/>
    <x v="0"/>
    <m/>
  </r>
  <r>
    <m/>
    <x v="7"/>
    <x v="3"/>
    <m/>
    <x v="33"/>
    <x v="46"/>
    <x v="35"/>
    <m/>
    <n v="4"/>
    <m/>
    <m/>
    <n v="2"/>
    <m/>
    <m/>
    <m/>
    <m/>
    <m/>
    <n v="4"/>
    <n v="5"/>
    <n v="2"/>
    <n v="9"/>
    <n v="3"/>
    <n v="50"/>
    <n v="51"/>
    <n v="11"/>
    <n v="91"/>
    <n v="3"/>
    <m/>
    <n v="0"/>
    <m/>
    <m/>
    <m/>
    <m/>
    <n v="0"/>
    <m/>
    <m/>
    <m/>
    <m/>
    <m/>
    <m/>
    <m/>
    <m/>
    <m/>
    <m/>
    <m/>
    <m/>
    <m/>
    <m/>
    <m/>
    <n v="411"/>
    <n v="1"/>
    <n v="9"/>
    <n v="1"/>
    <m/>
    <x v="0"/>
    <m/>
  </r>
  <r>
    <m/>
    <x v="7"/>
    <x v="4"/>
    <m/>
    <x v="3"/>
    <x v="47"/>
    <x v="36"/>
    <m/>
    <n v="2"/>
    <m/>
    <m/>
    <n v="0"/>
    <m/>
    <m/>
    <m/>
    <m/>
    <m/>
    <n v="10"/>
    <n v="3"/>
    <n v="7"/>
    <n v="9"/>
    <n v="1"/>
    <n v="135"/>
    <n v="72"/>
    <n v="7"/>
    <n v="69"/>
    <n v="112"/>
    <m/>
    <m/>
    <m/>
    <m/>
    <m/>
    <m/>
    <m/>
    <m/>
    <m/>
    <m/>
    <m/>
    <m/>
    <m/>
    <m/>
    <m/>
    <m/>
    <m/>
    <m/>
    <m/>
    <m/>
    <m/>
    <m/>
    <n v="0"/>
    <n v="3"/>
    <n v="9"/>
    <n v="0"/>
    <m/>
    <x v="0"/>
    <m/>
  </r>
  <r>
    <m/>
    <x v="7"/>
    <x v="5"/>
    <m/>
    <x v="2"/>
    <x v="48"/>
    <x v="5"/>
    <m/>
    <m/>
    <m/>
    <m/>
    <m/>
    <m/>
    <m/>
    <m/>
    <m/>
    <m/>
    <n v="1"/>
    <m/>
    <m/>
    <m/>
    <m/>
    <n v="8"/>
    <m/>
    <m/>
    <m/>
    <m/>
    <m/>
    <m/>
    <m/>
    <m/>
    <m/>
    <m/>
    <m/>
    <m/>
    <m/>
    <m/>
    <m/>
    <m/>
    <m/>
    <m/>
    <m/>
    <m/>
    <m/>
    <m/>
    <m/>
    <m/>
    <m/>
    <m/>
    <n v="133"/>
    <m/>
    <m/>
    <m/>
    <m/>
    <x v="0"/>
    <m/>
  </r>
  <r>
    <m/>
    <x v="7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7"/>
    <x v="6"/>
    <m/>
    <x v="2"/>
    <x v="6"/>
    <x v="5"/>
    <m/>
    <m/>
    <m/>
    <m/>
    <m/>
    <n v="4"/>
    <n v="1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7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7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7"/>
    <x v="6"/>
    <m/>
    <x v="2"/>
    <x v="6"/>
    <x v="5"/>
    <n v="0"/>
    <m/>
    <n v="89643"/>
    <n v="346"/>
    <m/>
    <m/>
    <m/>
    <m/>
    <m/>
    <n v="65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7"/>
    <x v="6"/>
    <m/>
    <x v="34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8"/>
    <x v="0"/>
    <m/>
    <x v="2"/>
    <x v="49"/>
    <x v="5"/>
    <m/>
    <n v="6"/>
    <m/>
    <m/>
    <n v="20"/>
    <m/>
    <m/>
    <m/>
    <m/>
    <m/>
    <n v="23"/>
    <n v="5"/>
    <n v="8"/>
    <n v="18"/>
    <n v="4"/>
    <n v="900"/>
    <n v="132"/>
    <n v="1719"/>
    <n v="162"/>
    <n v="70"/>
    <m/>
    <n v="3"/>
    <m/>
    <m/>
    <m/>
    <m/>
    <n v="1645"/>
    <m/>
    <m/>
    <m/>
    <m/>
    <m/>
    <m/>
    <m/>
    <m/>
    <m/>
    <m/>
    <m/>
    <m/>
    <m/>
    <m/>
    <m/>
    <n v="140"/>
    <n v="17"/>
    <n v="76.25"/>
    <n v="8"/>
    <m/>
    <x v="0"/>
    <m/>
  </r>
  <r>
    <m/>
    <x v="8"/>
    <x v="1"/>
    <m/>
    <x v="2"/>
    <x v="50"/>
    <x v="37"/>
    <m/>
    <m/>
    <m/>
    <m/>
    <m/>
    <m/>
    <m/>
    <m/>
    <m/>
    <m/>
    <n v="7"/>
    <n v="3"/>
    <n v="2"/>
    <n v="6"/>
    <n v="2"/>
    <n v="104"/>
    <n v="19"/>
    <n v="14"/>
    <n v="50"/>
    <n v="69"/>
    <m/>
    <m/>
    <m/>
    <m/>
    <m/>
    <m/>
    <m/>
    <m/>
    <m/>
    <m/>
    <m/>
    <m/>
    <m/>
    <m/>
    <m/>
    <m/>
    <m/>
    <m/>
    <m/>
    <m/>
    <m/>
    <m/>
    <n v="85"/>
    <n v="21"/>
    <n v="22"/>
    <m/>
    <m/>
    <x v="0"/>
    <m/>
  </r>
  <r>
    <m/>
    <x v="8"/>
    <x v="2"/>
    <m/>
    <x v="2"/>
    <x v="51"/>
    <x v="38"/>
    <m/>
    <n v="4"/>
    <m/>
    <m/>
    <n v="5"/>
    <m/>
    <m/>
    <m/>
    <m/>
    <m/>
    <n v="25"/>
    <n v="6"/>
    <n v="6"/>
    <n v="11"/>
    <n v="3"/>
    <n v="609"/>
    <n v="82"/>
    <n v="52"/>
    <n v="88"/>
    <n v="112"/>
    <m/>
    <m/>
    <m/>
    <m/>
    <m/>
    <m/>
    <m/>
    <m/>
    <m/>
    <m/>
    <m/>
    <m/>
    <m/>
    <m/>
    <m/>
    <m/>
    <m/>
    <m/>
    <m/>
    <m/>
    <m/>
    <m/>
    <n v="388"/>
    <m/>
    <m/>
    <m/>
    <m/>
    <x v="0"/>
    <m/>
  </r>
  <r>
    <m/>
    <x v="8"/>
    <x v="3"/>
    <m/>
    <x v="35"/>
    <x v="52"/>
    <x v="39"/>
    <m/>
    <n v="7"/>
    <m/>
    <m/>
    <n v="2"/>
    <m/>
    <m/>
    <m/>
    <m/>
    <m/>
    <n v="7"/>
    <n v="5"/>
    <n v="2"/>
    <n v="8"/>
    <n v="1"/>
    <n v="122"/>
    <n v="44"/>
    <n v="5"/>
    <n v="60"/>
    <n v="8"/>
    <m/>
    <n v="0"/>
    <m/>
    <m/>
    <m/>
    <m/>
    <n v="0"/>
    <m/>
    <m/>
    <m/>
    <m/>
    <m/>
    <m/>
    <m/>
    <m/>
    <m/>
    <m/>
    <m/>
    <m/>
    <m/>
    <m/>
    <m/>
    <n v="349"/>
    <n v="14"/>
    <n v="85"/>
    <n v="4"/>
    <m/>
    <x v="0"/>
    <m/>
  </r>
  <r>
    <m/>
    <x v="8"/>
    <x v="4"/>
    <m/>
    <x v="2"/>
    <x v="15"/>
    <x v="40"/>
    <m/>
    <n v="3"/>
    <m/>
    <m/>
    <n v="0"/>
    <m/>
    <m/>
    <m/>
    <m/>
    <m/>
    <n v="10"/>
    <n v="2"/>
    <n v="1"/>
    <n v="8"/>
    <m/>
    <n v="104"/>
    <n v="27"/>
    <n v="5"/>
    <n v="162"/>
    <m/>
    <m/>
    <n v="1"/>
    <m/>
    <m/>
    <m/>
    <m/>
    <n v="150"/>
    <m/>
    <m/>
    <m/>
    <m/>
    <m/>
    <m/>
    <m/>
    <m/>
    <m/>
    <m/>
    <m/>
    <m/>
    <m/>
    <m/>
    <m/>
    <n v="0"/>
    <n v="5"/>
    <n v="75"/>
    <n v="1"/>
    <m/>
    <x v="0"/>
    <m/>
  </r>
  <r>
    <m/>
    <x v="8"/>
    <x v="5"/>
    <m/>
    <x v="2"/>
    <x v="53"/>
    <x v="5"/>
    <m/>
    <m/>
    <m/>
    <m/>
    <m/>
    <m/>
    <m/>
    <m/>
    <m/>
    <m/>
    <n v="4"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x v="0"/>
    <m/>
  </r>
  <r>
    <m/>
    <x v="8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8"/>
    <x v="6"/>
    <m/>
    <x v="2"/>
    <x v="6"/>
    <x v="5"/>
    <m/>
    <m/>
    <m/>
    <m/>
    <m/>
    <n v="4"/>
    <n v="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8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8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8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8"/>
    <x v="6"/>
    <m/>
    <x v="2"/>
    <x v="6"/>
    <x v="5"/>
    <n v="0"/>
    <m/>
    <n v="67938"/>
    <n v="270"/>
    <m/>
    <m/>
    <m/>
    <m/>
    <m/>
    <n v="38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8"/>
    <x v="6"/>
    <m/>
    <x v="36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9"/>
    <x v="5"/>
    <m/>
    <x v="2"/>
    <x v="36"/>
    <x v="5"/>
    <m/>
    <m/>
    <m/>
    <m/>
    <m/>
    <m/>
    <m/>
    <m/>
    <m/>
    <m/>
    <n v="4"/>
    <m/>
    <m/>
    <m/>
    <m/>
    <n v="58"/>
    <m/>
    <m/>
    <m/>
    <m/>
    <m/>
    <m/>
    <m/>
    <m/>
    <m/>
    <m/>
    <m/>
    <m/>
    <m/>
    <m/>
    <m/>
    <m/>
    <m/>
    <m/>
    <m/>
    <m/>
    <m/>
    <m/>
    <m/>
    <m/>
    <m/>
    <m/>
    <n v="445"/>
    <m/>
    <m/>
    <n v="7"/>
    <m/>
    <x v="0"/>
    <m/>
  </r>
  <r>
    <m/>
    <x v="9"/>
    <x v="0"/>
    <m/>
    <x v="2"/>
    <x v="54"/>
    <x v="41"/>
    <m/>
    <n v="3"/>
    <m/>
    <m/>
    <n v="31"/>
    <m/>
    <m/>
    <m/>
    <m/>
    <m/>
    <n v="25"/>
    <n v="9"/>
    <n v="11"/>
    <n v="20"/>
    <n v="7"/>
    <n v="959"/>
    <n v="221"/>
    <n v="137"/>
    <n v="161"/>
    <n v="178"/>
    <m/>
    <n v="5"/>
    <m/>
    <m/>
    <m/>
    <m/>
    <n v="221"/>
    <m/>
    <m/>
    <m/>
    <m/>
    <m/>
    <m/>
    <m/>
    <m/>
    <m/>
    <m/>
    <m/>
    <m/>
    <m/>
    <m/>
    <m/>
    <n v="180"/>
    <n v="14"/>
    <n v="47.75"/>
    <n v="13"/>
    <m/>
    <x v="0"/>
    <m/>
  </r>
  <r>
    <m/>
    <x v="9"/>
    <x v="1"/>
    <m/>
    <x v="28"/>
    <x v="55"/>
    <x v="42"/>
    <m/>
    <m/>
    <m/>
    <m/>
    <m/>
    <m/>
    <m/>
    <m/>
    <m/>
    <m/>
    <n v="12"/>
    <n v="2"/>
    <n v="2"/>
    <n v="7"/>
    <n v="3"/>
    <n v="140"/>
    <n v="16"/>
    <n v="11"/>
    <n v="60"/>
    <n v="251"/>
    <m/>
    <m/>
    <m/>
    <m/>
    <m/>
    <m/>
    <m/>
    <m/>
    <m/>
    <m/>
    <m/>
    <m/>
    <m/>
    <m/>
    <m/>
    <m/>
    <m/>
    <m/>
    <m/>
    <m/>
    <m/>
    <m/>
    <n v="86"/>
    <n v="30"/>
    <n v="76"/>
    <m/>
    <m/>
    <x v="0"/>
    <m/>
  </r>
  <r>
    <m/>
    <x v="9"/>
    <x v="1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9"/>
    <x v="2"/>
    <m/>
    <x v="2"/>
    <x v="56"/>
    <x v="43"/>
    <m/>
    <m/>
    <m/>
    <m/>
    <n v="5"/>
    <m/>
    <m/>
    <m/>
    <m/>
    <m/>
    <n v="40"/>
    <n v="6"/>
    <n v="8"/>
    <n v="10"/>
    <n v="4"/>
    <n v="806"/>
    <n v="82"/>
    <n v="71"/>
    <n v="100"/>
    <n v="108"/>
    <m/>
    <m/>
    <m/>
    <m/>
    <m/>
    <m/>
    <m/>
    <m/>
    <m/>
    <m/>
    <m/>
    <m/>
    <m/>
    <m/>
    <m/>
    <m/>
    <m/>
    <m/>
    <m/>
    <m/>
    <m/>
    <m/>
    <n v="328"/>
    <m/>
    <m/>
    <m/>
    <m/>
    <x v="0"/>
    <m/>
  </r>
  <r>
    <m/>
    <x v="9"/>
    <x v="3"/>
    <m/>
    <x v="37"/>
    <x v="57"/>
    <x v="44"/>
    <m/>
    <n v="9"/>
    <m/>
    <m/>
    <n v="2"/>
    <m/>
    <m/>
    <m/>
    <m/>
    <m/>
    <n v="8"/>
    <n v="6"/>
    <n v="3"/>
    <n v="10"/>
    <n v="3"/>
    <n v="178"/>
    <n v="78"/>
    <n v="13"/>
    <n v="83"/>
    <n v="13"/>
    <m/>
    <n v="1"/>
    <m/>
    <m/>
    <m/>
    <m/>
    <n v="24"/>
    <m/>
    <m/>
    <m/>
    <m/>
    <m/>
    <m/>
    <m/>
    <m/>
    <m/>
    <m/>
    <m/>
    <m/>
    <m/>
    <m/>
    <m/>
    <n v="290"/>
    <n v="1"/>
    <n v="6"/>
    <n v="3"/>
    <m/>
    <x v="0"/>
    <m/>
  </r>
  <r>
    <m/>
    <x v="9"/>
    <x v="4"/>
    <m/>
    <x v="2"/>
    <x v="58"/>
    <x v="45"/>
    <m/>
    <n v="1"/>
    <m/>
    <m/>
    <n v="0"/>
    <m/>
    <m/>
    <m/>
    <m/>
    <m/>
    <n v="11"/>
    <n v="4"/>
    <n v="2"/>
    <n v="9"/>
    <m/>
    <n v="152"/>
    <n v="116"/>
    <n v="11"/>
    <n v="77"/>
    <m/>
    <m/>
    <m/>
    <m/>
    <m/>
    <m/>
    <m/>
    <m/>
    <m/>
    <m/>
    <m/>
    <m/>
    <m/>
    <m/>
    <m/>
    <m/>
    <m/>
    <m/>
    <m/>
    <m/>
    <m/>
    <m/>
    <m/>
    <n v="46"/>
    <n v="6"/>
    <n v="12"/>
    <n v="2"/>
    <m/>
    <x v="0"/>
    <m/>
  </r>
  <r>
    <m/>
    <x v="9"/>
    <x v="5"/>
    <m/>
    <x v="2"/>
    <x v="59"/>
    <x v="5"/>
    <m/>
    <m/>
    <m/>
    <m/>
    <m/>
    <m/>
    <m/>
    <m/>
    <m/>
    <m/>
    <m/>
    <m/>
    <m/>
    <m/>
    <n v="2"/>
    <m/>
    <m/>
    <m/>
    <m/>
    <n v="45"/>
    <m/>
    <m/>
    <m/>
    <m/>
    <m/>
    <m/>
    <m/>
    <m/>
    <m/>
    <m/>
    <m/>
    <m/>
    <m/>
    <m/>
    <m/>
    <m/>
    <m/>
    <m/>
    <m/>
    <m/>
    <m/>
    <m/>
    <n v="426"/>
    <m/>
    <m/>
    <n v="5"/>
    <m/>
    <x v="0"/>
    <m/>
  </r>
  <r>
    <m/>
    <x v="9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9"/>
    <x v="6"/>
    <m/>
    <x v="2"/>
    <x v="6"/>
    <x v="5"/>
    <m/>
    <m/>
    <m/>
    <m/>
    <m/>
    <n v="4"/>
    <n v="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9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9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9"/>
    <x v="6"/>
    <m/>
    <x v="2"/>
    <x v="6"/>
    <x v="5"/>
    <n v="0"/>
    <m/>
    <n v="85295"/>
    <n v="364"/>
    <m/>
    <m/>
    <m/>
    <m/>
    <m/>
    <n v="4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9"/>
    <x v="6"/>
    <m/>
    <x v="38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0"/>
    <x v="0"/>
    <m/>
    <x v="39"/>
    <x v="60"/>
    <x v="5"/>
    <m/>
    <n v="2"/>
    <m/>
    <m/>
    <n v="26"/>
    <m/>
    <m/>
    <m/>
    <m/>
    <m/>
    <n v="27"/>
    <n v="7"/>
    <n v="11"/>
    <n v="21"/>
    <n v="7"/>
    <n v="1083"/>
    <n v="1357"/>
    <n v="123"/>
    <n v="184"/>
    <n v="813"/>
    <m/>
    <n v="8"/>
    <m/>
    <m/>
    <m/>
    <m/>
    <n v="2010"/>
    <m/>
    <m/>
    <m/>
    <m/>
    <m/>
    <m/>
    <m/>
    <m/>
    <m/>
    <m/>
    <m/>
    <m/>
    <m/>
    <m/>
    <m/>
    <n v="75"/>
    <n v="10"/>
    <n v="28"/>
    <n v="3"/>
    <m/>
    <x v="0"/>
    <m/>
  </r>
  <r>
    <m/>
    <x v="10"/>
    <x v="1"/>
    <m/>
    <x v="10"/>
    <x v="61"/>
    <x v="46"/>
    <m/>
    <n v="1"/>
    <m/>
    <m/>
    <m/>
    <m/>
    <m/>
    <m/>
    <m/>
    <m/>
    <n v="9"/>
    <n v="2"/>
    <n v="2"/>
    <n v="6"/>
    <n v="2"/>
    <n v="118"/>
    <n v="28"/>
    <n v="8"/>
    <n v="48"/>
    <n v="65"/>
    <m/>
    <m/>
    <m/>
    <m/>
    <m/>
    <m/>
    <m/>
    <m/>
    <m/>
    <m/>
    <m/>
    <m/>
    <m/>
    <m/>
    <m/>
    <m/>
    <m/>
    <m/>
    <m/>
    <m/>
    <m/>
    <m/>
    <n v="115"/>
    <n v="4"/>
    <n v="9.5"/>
    <m/>
    <m/>
    <x v="0"/>
    <m/>
  </r>
  <r>
    <m/>
    <x v="10"/>
    <x v="2"/>
    <m/>
    <x v="40"/>
    <x v="62"/>
    <x v="47"/>
    <m/>
    <n v="2"/>
    <m/>
    <m/>
    <n v="5"/>
    <m/>
    <m/>
    <m/>
    <m/>
    <m/>
    <n v="31"/>
    <n v="5"/>
    <n v="7"/>
    <n v="11"/>
    <n v="1"/>
    <n v="819"/>
    <n v="66"/>
    <n v="85"/>
    <n v="88"/>
    <n v="62"/>
    <m/>
    <m/>
    <m/>
    <m/>
    <m/>
    <m/>
    <m/>
    <m/>
    <m/>
    <m/>
    <m/>
    <m/>
    <m/>
    <m/>
    <m/>
    <m/>
    <m/>
    <m/>
    <m/>
    <m/>
    <m/>
    <m/>
    <n v="407"/>
    <n v="2"/>
    <n v="9"/>
    <m/>
    <m/>
    <x v="0"/>
    <m/>
  </r>
  <r>
    <m/>
    <x v="10"/>
    <x v="3"/>
    <m/>
    <x v="41"/>
    <x v="63"/>
    <x v="48"/>
    <m/>
    <n v="11"/>
    <m/>
    <m/>
    <n v="0"/>
    <m/>
    <m/>
    <m/>
    <m/>
    <m/>
    <n v="5"/>
    <n v="5"/>
    <n v="1"/>
    <n v="9"/>
    <n v="3"/>
    <n v="82"/>
    <n v="74"/>
    <n v="3"/>
    <n v="59"/>
    <n v="8"/>
    <m/>
    <n v="0"/>
    <m/>
    <m/>
    <m/>
    <m/>
    <n v="0"/>
    <m/>
    <m/>
    <m/>
    <m/>
    <m/>
    <m/>
    <m/>
    <m/>
    <m/>
    <m/>
    <m/>
    <m/>
    <m/>
    <m/>
    <m/>
    <n v="256"/>
    <n v="1"/>
    <n v="16.5"/>
    <n v="5"/>
    <m/>
    <x v="0"/>
    <m/>
  </r>
  <r>
    <m/>
    <x v="10"/>
    <x v="4"/>
    <m/>
    <x v="1"/>
    <x v="64"/>
    <x v="49"/>
    <m/>
    <n v="3"/>
    <m/>
    <m/>
    <n v="0"/>
    <m/>
    <m/>
    <m/>
    <m/>
    <m/>
    <n v="13"/>
    <n v="3"/>
    <n v="1"/>
    <n v="9"/>
    <m/>
    <n v="201"/>
    <n v="81"/>
    <n v="4"/>
    <n v="78"/>
    <m/>
    <m/>
    <n v="1"/>
    <m/>
    <m/>
    <m/>
    <m/>
    <n v="200"/>
    <m/>
    <m/>
    <m/>
    <m/>
    <m/>
    <m/>
    <m/>
    <m/>
    <m/>
    <m/>
    <m/>
    <m/>
    <m/>
    <m/>
    <m/>
    <n v="26"/>
    <n v="11"/>
    <n v="16"/>
    <n v="4"/>
    <m/>
    <x v="0"/>
    <m/>
  </r>
  <r>
    <m/>
    <x v="10"/>
    <x v="5"/>
    <m/>
    <x v="42"/>
    <x v="6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8"/>
    <n v="3"/>
    <n v="18"/>
    <n v="3"/>
    <m/>
    <x v="0"/>
    <m/>
  </r>
  <r>
    <m/>
    <x v="10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0"/>
    <x v="6"/>
    <m/>
    <x v="2"/>
    <x v="6"/>
    <x v="5"/>
    <m/>
    <m/>
    <m/>
    <m/>
    <m/>
    <n v="5"/>
    <n v="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0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0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0"/>
    <x v="6"/>
    <m/>
    <x v="2"/>
    <x v="6"/>
    <x v="5"/>
    <n v="0"/>
    <m/>
    <n v="77925"/>
    <n v="317"/>
    <m/>
    <m/>
    <m/>
    <m/>
    <m/>
    <n v="42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0"/>
    <x v="6"/>
    <m/>
    <x v="43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1"/>
    <x v="0"/>
    <n v="325"/>
    <x v="2"/>
    <x v="66"/>
    <x v="50"/>
    <n v="3497"/>
    <n v="3"/>
    <n v="19988"/>
    <n v="0"/>
    <m/>
    <n v="122"/>
    <n v="4"/>
    <n v="2857"/>
    <n v="6142"/>
    <m/>
    <n v="11"/>
    <n v="4"/>
    <n v="18"/>
    <n v="19"/>
    <n v="16"/>
    <n v="456"/>
    <n v="88"/>
    <n v="237"/>
    <n v="164"/>
    <n v="1609"/>
    <m/>
    <m/>
    <m/>
    <m/>
    <m/>
    <m/>
    <m/>
    <m/>
    <m/>
    <m/>
    <m/>
    <m/>
    <m/>
    <m/>
    <m/>
    <m/>
    <m/>
    <m/>
    <m/>
    <m/>
    <m/>
    <m/>
    <m/>
    <n v="15"/>
    <n v="14"/>
    <n v="18"/>
    <m/>
    <x v="0"/>
    <n v="159"/>
  </r>
  <r>
    <m/>
    <x v="11"/>
    <x v="1"/>
    <n v="50"/>
    <x v="2"/>
    <x v="67"/>
    <x v="51"/>
    <n v="505"/>
    <n v="1"/>
    <n v="4091"/>
    <n v="50"/>
    <m/>
    <m/>
    <m/>
    <n v="992"/>
    <n v="1832"/>
    <m/>
    <n v="11"/>
    <n v="3"/>
    <n v="2"/>
    <n v="6"/>
    <n v="7"/>
    <n v="175"/>
    <n v="47"/>
    <n v="17"/>
    <n v="46"/>
    <n v="260"/>
    <m/>
    <m/>
    <m/>
    <m/>
    <m/>
    <m/>
    <m/>
    <m/>
    <m/>
    <m/>
    <m/>
    <m/>
    <m/>
    <m/>
    <m/>
    <m/>
    <m/>
    <m/>
    <m/>
    <m/>
    <m/>
    <m/>
    <m/>
    <n v="28"/>
    <n v="31"/>
    <n v="0"/>
    <m/>
    <x v="0"/>
    <n v="43"/>
  </r>
  <r>
    <m/>
    <x v="11"/>
    <x v="2"/>
    <n v="329"/>
    <x v="2"/>
    <x v="68"/>
    <x v="52"/>
    <n v="1944"/>
    <n v="0"/>
    <n v="24821"/>
    <n v="26"/>
    <m/>
    <m/>
    <m/>
    <n v="1523"/>
    <n v="6441"/>
    <m/>
    <n v="22"/>
    <n v="4"/>
    <n v="7"/>
    <n v="8"/>
    <n v="17"/>
    <n v="684"/>
    <n v="113"/>
    <n v="71"/>
    <n v="76"/>
    <n v="998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  <n v="241"/>
  </r>
  <r>
    <m/>
    <x v="11"/>
    <x v="3"/>
    <n v="91"/>
    <x v="2"/>
    <x v="69"/>
    <x v="53"/>
    <n v="665"/>
    <n v="6"/>
    <n v="6628"/>
    <n v="19"/>
    <m/>
    <m/>
    <m/>
    <n v="1337"/>
    <n v="2787"/>
    <m/>
    <n v="6"/>
    <n v="3"/>
    <n v="3"/>
    <n v="9"/>
    <n v="1"/>
    <n v="138"/>
    <n v="32"/>
    <n v="31"/>
    <n v="71"/>
    <n v="72"/>
    <m/>
    <m/>
    <m/>
    <m/>
    <m/>
    <m/>
    <m/>
    <m/>
    <m/>
    <m/>
    <m/>
    <m/>
    <m/>
    <m/>
    <m/>
    <m/>
    <m/>
    <m/>
    <m/>
    <m/>
    <m/>
    <m/>
    <m/>
    <n v="1"/>
    <n v="20"/>
    <n v="5"/>
    <m/>
    <x v="0"/>
    <n v="128"/>
  </r>
  <r>
    <m/>
    <x v="11"/>
    <x v="4"/>
    <n v="91"/>
    <x v="2"/>
    <x v="70"/>
    <x v="54"/>
    <n v="877"/>
    <n v="2"/>
    <n v="5114"/>
    <n v="82"/>
    <m/>
    <m/>
    <m/>
    <n v="1349"/>
    <n v="2303"/>
    <m/>
    <n v="11"/>
    <n v="8"/>
    <n v="1"/>
    <n v="6"/>
    <n v="0"/>
    <n v="204"/>
    <n v="452"/>
    <n v="7"/>
    <n v="40"/>
    <n v="0"/>
    <m/>
    <m/>
    <m/>
    <m/>
    <m/>
    <m/>
    <m/>
    <m/>
    <m/>
    <m/>
    <m/>
    <m/>
    <m/>
    <m/>
    <m/>
    <m/>
    <m/>
    <m/>
    <m/>
    <m/>
    <m/>
    <m/>
    <m/>
    <n v="6"/>
    <n v="12"/>
    <n v="3"/>
    <m/>
    <x v="0"/>
    <n v="59"/>
  </r>
  <r>
    <m/>
    <x v="11"/>
    <x v="7"/>
    <n v="36"/>
    <x v="2"/>
    <x v="71"/>
    <x v="5"/>
    <m/>
    <m/>
    <n v="1542"/>
    <m/>
    <m/>
    <m/>
    <m/>
    <n v="19"/>
    <n v="397"/>
    <m/>
    <n v="1"/>
    <n v="0"/>
    <n v="0"/>
    <n v="0"/>
    <n v="0"/>
    <n v="10"/>
    <n v="0"/>
    <n v="0"/>
    <n v="0"/>
    <n v="0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  <m/>
  </r>
  <r>
    <m/>
    <x v="0"/>
    <x v="1"/>
    <m/>
    <x v="44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03"/>
  </r>
  <r>
    <m/>
    <x v="0"/>
    <x v="2"/>
    <m/>
    <x v="45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21"/>
  </r>
  <r>
    <m/>
    <x v="0"/>
    <x v="3"/>
    <m/>
    <x v="46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82"/>
  </r>
  <r>
    <m/>
    <x v="0"/>
    <x v="0"/>
    <m/>
    <x v="47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68"/>
  </r>
  <r>
    <m/>
    <x v="0"/>
    <x v="4"/>
    <m/>
    <x v="48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4"/>
  </r>
  <r>
    <m/>
    <x v="0"/>
    <x v="7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0"/>
    <x v="0"/>
    <n v="218"/>
    <x v="2"/>
    <x v="72"/>
    <x v="0"/>
    <n v="3639"/>
    <n v="4"/>
    <n v="15145"/>
    <n v="139"/>
    <m/>
    <n v="6"/>
    <n v="116"/>
    <n v="2870"/>
    <n v="6318"/>
    <n v="563"/>
    <n v="22"/>
    <n v="6"/>
    <n v="15"/>
    <n v="29"/>
    <n v="6"/>
    <n v="890"/>
    <n v="277"/>
    <n v="162"/>
    <n v="292"/>
    <n v="156"/>
    <m/>
    <m/>
    <m/>
    <m/>
    <m/>
    <m/>
    <m/>
    <m/>
    <m/>
    <m/>
    <m/>
    <m/>
    <m/>
    <m/>
    <m/>
    <m/>
    <m/>
    <m/>
    <m/>
    <m/>
    <m/>
    <m/>
    <n v="12"/>
    <n v="14"/>
    <n v="22"/>
    <n v="8"/>
    <m/>
    <x v="1"/>
    <m/>
  </r>
  <r>
    <m/>
    <x v="0"/>
    <x v="1"/>
    <n v="62"/>
    <x v="2"/>
    <x v="1"/>
    <x v="1"/>
    <n v="557"/>
    <n v="1"/>
    <n v="3132"/>
    <n v="59"/>
    <m/>
    <m/>
    <m/>
    <n v="985"/>
    <n v="2044"/>
    <n v="163"/>
    <n v="8"/>
    <n v="2"/>
    <n v="2"/>
    <n v="1"/>
    <n v="3"/>
    <n v="85"/>
    <n v="21"/>
    <n v="6"/>
    <n v="4"/>
    <n v="30"/>
    <m/>
    <m/>
    <m/>
    <m/>
    <m/>
    <m/>
    <m/>
    <m/>
    <m/>
    <m/>
    <m/>
    <m/>
    <m/>
    <m/>
    <m/>
    <m/>
    <m/>
    <m/>
    <m/>
    <m/>
    <m/>
    <m/>
    <n v="1"/>
    <n v="4"/>
    <n v="25"/>
    <n v="0"/>
    <m/>
    <x v="1"/>
    <m/>
  </r>
  <r>
    <m/>
    <x v="0"/>
    <x v="2"/>
    <n v="203"/>
    <x v="2"/>
    <x v="73"/>
    <x v="2"/>
    <n v="1868"/>
    <n v="6"/>
    <n v="19642"/>
    <n v="28"/>
    <m/>
    <m/>
    <m/>
    <n v="1762"/>
    <n v="6719"/>
    <n v="380"/>
    <n v="21"/>
    <n v="9"/>
    <n v="7"/>
    <n v="11"/>
    <n v="6"/>
    <n v="754"/>
    <n v="778"/>
    <n v="65"/>
    <n v="94"/>
    <n v="265"/>
    <m/>
    <m/>
    <m/>
    <m/>
    <m/>
    <m/>
    <m/>
    <m/>
    <m/>
    <m/>
    <m/>
    <m/>
    <m/>
    <m/>
    <m/>
    <m/>
    <m/>
    <m/>
    <m/>
    <m/>
    <m/>
    <m/>
    <n v="5"/>
    <n v="4"/>
    <n v="20"/>
    <n v="0"/>
    <m/>
    <x v="1"/>
    <m/>
  </r>
  <r>
    <m/>
    <x v="0"/>
    <x v="3"/>
    <n v="64"/>
    <x v="2"/>
    <x v="74"/>
    <x v="3"/>
    <n v="857"/>
    <n v="10"/>
    <n v="4663"/>
    <n v="15"/>
    <m/>
    <m/>
    <m/>
    <n v="1418"/>
    <n v="2758"/>
    <n v="107"/>
    <n v="4"/>
    <n v="4"/>
    <n v="2"/>
    <n v="12"/>
    <n v="2"/>
    <n v="40"/>
    <n v="20"/>
    <n v="9"/>
    <n v="100"/>
    <n v="11"/>
    <m/>
    <m/>
    <m/>
    <m/>
    <m/>
    <m/>
    <m/>
    <m/>
    <m/>
    <m/>
    <m/>
    <m/>
    <m/>
    <m/>
    <m/>
    <m/>
    <m/>
    <m/>
    <m/>
    <m/>
    <m/>
    <m/>
    <n v="9"/>
    <n v="1"/>
    <n v="25"/>
    <n v="5"/>
    <m/>
    <x v="1"/>
    <m/>
  </r>
  <r>
    <m/>
    <x v="0"/>
    <x v="4"/>
    <n v="82"/>
    <x v="2"/>
    <x v="4"/>
    <x v="4"/>
    <n v="932"/>
    <n v="2"/>
    <n v="3804"/>
    <n v="112"/>
    <m/>
    <m/>
    <m/>
    <n v="1341"/>
    <n v="2373"/>
    <n v="184"/>
    <n v="12"/>
    <n v="3"/>
    <n v="1"/>
    <n v="7"/>
    <n v="0"/>
    <n v="206"/>
    <n v="66"/>
    <n v="4"/>
    <n v="61"/>
    <n v="0"/>
    <m/>
    <m/>
    <m/>
    <m/>
    <m/>
    <m/>
    <m/>
    <m/>
    <m/>
    <m/>
    <m/>
    <m/>
    <m/>
    <m/>
    <m/>
    <m/>
    <m/>
    <m/>
    <m/>
    <m/>
    <m/>
    <m/>
    <n v="2"/>
    <n v="4"/>
    <n v="28"/>
    <n v="0"/>
    <m/>
    <x v="1"/>
    <m/>
  </r>
  <r>
    <m/>
    <x v="0"/>
    <x v="7"/>
    <n v="43"/>
    <x v="2"/>
    <x v="5"/>
    <x v="5"/>
    <m/>
    <m/>
    <n v="1647"/>
    <n v="4"/>
    <m/>
    <m/>
    <m/>
    <n v="15"/>
    <n v="404"/>
    <m/>
    <n v="1"/>
    <n v="0"/>
    <n v="0"/>
    <n v="2"/>
    <n v="0"/>
    <n v="25"/>
    <n v="0"/>
    <n v="0"/>
    <n v="16"/>
    <n v="0"/>
    <m/>
    <m/>
    <m/>
    <m/>
    <m/>
    <m/>
    <m/>
    <m/>
    <m/>
    <m/>
    <m/>
    <m/>
    <m/>
    <m/>
    <m/>
    <m/>
    <m/>
    <m/>
    <m/>
    <m/>
    <m/>
    <m/>
    <n v="21"/>
    <n v="2"/>
    <n v="8"/>
    <n v="0"/>
    <m/>
    <x v="1"/>
    <m/>
  </r>
  <r>
    <n v="45902.601480057871"/>
    <x v="1"/>
    <x v="7"/>
    <n v="19"/>
    <x v="49"/>
    <x v="6"/>
    <x v="5"/>
    <m/>
    <m/>
    <m/>
    <m/>
    <m/>
    <m/>
    <m/>
    <m/>
    <m/>
    <m/>
    <m/>
    <m/>
    <m/>
    <m/>
    <m/>
    <m/>
    <m/>
    <m/>
    <m/>
    <m/>
    <m/>
    <m/>
    <m/>
    <n v="2"/>
    <m/>
    <m/>
    <m/>
    <m/>
    <n v="20"/>
    <m/>
    <m/>
    <m/>
    <m/>
    <m/>
    <m/>
    <m/>
    <m/>
    <m/>
    <m/>
    <m/>
    <n v="3"/>
    <n v="184"/>
    <n v="170"/>
    <n v="7"/>
    <n v="62"/>
    <n v="1"/>
    <m/>
    <x v="1"/>
    <m/>
  </r>
  <r>
    <n v="45902.611247708337"/>
    <x v="1"/>
    <x v="4"/>
    <n v="60"/>
    <x v="50"/>
    <x v="75"/>
    <x v="55"/>
    <n v="781"/>
    <n v="2"/>
    <n v="5939"/>
    <n v="92"/>
    <n v="0"/>
    <m/>
    <m/>
    <m/>
    <m/>
    <n v="1090"/>
    <m/>
    <m/>
    <m/>
    <n v="3"/>
    <m/>
    <m/>
    <m/>
    <m/>
    <n v="25"/>
    <m/>
    <m/>
    <m/>
    <m/>
    <m/>
    <m/>
    <m/>
    <m/>
    <m/>
    <m/>
    <m/>
    <m/>
    <m/>
    <m/>
    <m/>
    <m/>
    <m/>
    <m/>
    <m/>
    <m/>
    <m/>
    <n v="1"/>
    <n v="150"/>
    <n v="175"/>
    <n v="10"/>
    <n v="80"/>
    <n v="0"/>
    <m/>
    <x v="1"/>
    <n v="120"/>
  </r>
  <r>
    <n v="45902.656003229167"/>
    <x v="1"/>
    <x v="3"/>
    <n v="72"/>
    <x v="51"/>
    <x v="76"/>
    <x v="44"/>
    <n v="524"/>
    <n v="12"/>
    <n v="5908"/>
    <n v="14"/>
    <n v="3"/>
    <m/>
    <m/>
    <m/>
    <m/>
    <n v="491"/>
    <n v="0"/>
    <n v="0"/>
    <n v="0"/>
    <n v="7"/>
    <n v="2"/>
    <n v="0"/>
    <n v="0"/>
    <n v="0"/>
    <n v="5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7"/>
    <n v="10"/>
    <n v="88.5"/>
    <n v="6"/>
    <m/>
    <x v="1"/>
    <n v="327"/>
  </r>
  <r>
    <n v="45903.40756363426"/>
    <x v="1"/>
    <x v="1"/>
    <n v="38"/>
    <x v="52"/>
    <x v="77"/>
    <x v="56"/>
    <n v="419"/>
    <n v="2"/>
    <n v="5121"/>
    <n v="66"/>
    <n v="0"/>
    <m/>
    <m/>
    <m/>
    <m/>
    <n v="1146"/>
    <n v="0"/>
    <n v="1"/>
    <n v="3"/>
    <n v="3"/>
    <n v="0"/>
    <n v="0"/>
    <n v="11"/>
    <n v="17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"/>
    <n v="6"/>
    <n v="36.5"/>
    <n v="0"/>
    <m/>
    <x v="1"/>
    <n v="94"/>
  </r>
  <r>
    <n v="45903.637155300923"/>
    <x v="1"/>
    <x v="2"/>
    <n v="213"/>
    <x v="53"/>
    <x v="78"/>
    <x v="57"/>
    <n v="1621"/>
    <n v="3"/>
    <n v="19906"/>
    <n v="33"/>
    <n v="6"/>
    <m/>
    <m/>
    <m/>
    <m/>
    <n v="1958"/>
    <m/>
    <m/>
    <n v="1"/>
    <n v="17"/>
    <n v="1"/>
    <m/>
    <m/>
    <n v="30"/>
    <n v="114"/>
    <n v="80"/>
    <m/>
    <m/>
    <m/>
    <m/>
    <m/>
    <m/>
    <m/>
    <m/>
    <m/>
    <m/>
    <m/>
    <m/>
    <m/>
    <m/>
    <m/>
    <m/>
    <m/>
    <m/>
    <m/>
    <m/>
    <m/>
    <m/>
    <n v="988"/>
    <n v="17"/>
    <n v="104"/>
    <m/>
    <m/>
    <x v="1"/>
    <n v="828"/>
  </r>
  <r>
    <n v="45905.533074594903"/>
    <x v="1"/>
    <x v="0"/>
    <n v="199"/>
    <x v="54"/>
    <x v="79"/>
    <x v="58"/>
    <n v="3482"/>
    <n v="13"/>
    <n v="171619"/>
    <n v="123"/>
    <n v="42"/>
    <n v="5"/>
    <n v="139"/>
    <n v="9611"/>
    <n v="23150"/>
    <n v="1714"/>
    <n v="0"/>
    <n v="0"/>
    <n v="5"/>
    <n v="20"/>
    <n v="0"/>
    <n v="0"/>
    <n v="0"/>
    <n v="43"/>
    <n v="175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5"/>
    <n v="35"/>
    <n v="0"/>
    <n v="0"/>
    <n v="0"/>
    <n v="385"/>
    <n v="39"/>
    <n v="221"/>
    <n v="4"/>
    <m/>
    <x v="1"/>
    <n v="409"/>
  </r>
  <r>
    <m/>
    <x v="2"/>
    <x v="3"/>
    <n v="41"/>
    <x v="51"/>
    <x v="80"/>
    <x v="59"/>
    <n v="561"/>
    <n v="17"/>
    <n v="4560"/>
    <n v="30"/>
    <n v="1"/>
    <m/>
    <m/>
    <m/>
    <m/>
    <m/>
    <n v="4"/>
    <n v="2"/>
    <n v="2"/>
    <n v="9"/>
    <n v="0"/>
    <n v="38"/>
    <n v="42"/>
    <n v="21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9"/>
    <n v="2"/>
    <n v="5"/>
    <n v="3"/>
    <s v="rae.lovvorn@yclibrary.org"/>
    <x v="1"/>
    <n v="214"/>
  </r>
  <r>
    <m/>
    <x v="2"/>
    <x v="4"/>
    <n v="43"/>
    <x v="55"/>
    <x v="81"/>
    <x v="60"/>
    <n v="867"/>
    <n v="21"/>
    <n v="7039"/>
    <n v="120"/>
    <n v="0"/>
    <m/>
    <m/>
    <m/>
    <m/>
    <n v="1236"/>
    <n v="10"/>
    <n v="2"/>
    <n v="1"/>
    <n v="8"/>
    <n v="1"/>
    <n v="201"/>
    <n v="39"/>
    <n v="6"/>
    <n v="63"/>
    <n v="16"/>
    <m/>
    <m/>
    <m/>
    <m/>
    <m/>
    <m/>
    <m/>
    <m/>
    <m/>
    <m/>
    <m/>
    <m/>
    <m/>
    <m/>
    <m/>
    <m/>
    <m/>
    <m/>
    <m/>
    <m/>
    <m/>
    <m/>
    <n v="313"/>
    <m/>
    <m/>
    <m/>
    <s v="jennifer.stanley@yclibrary.org"/>
    <x v="1"/>
    <n v="116"/>
  </r>
  <r>
    <m/>
    <x v="2"/>
    <x v="2"/>
    <n v="181"/>
    <x v="56"/>
    <x v="82"/>
    <x v="61"/>
    <n v="1679"/>
    <n v="7"/>
    <n v="36502"/>
    <n v="74"/>
    <n v="5"/>
    <m/>
    <m/>
    <m/>
    <m/>
    <n v="2312"/>
    <n v="24"/>
    <n v="4"/>
    <n v="6"/>
    <n v="13"/>
    <n v="5"/>
    <n v="739"/>
    <n v="67"/>
    <n v="65"/>
    <n v="109"/>
    <n v="202"/>
    <m/>
    <m/>
    <m/>
    <m/>
    <m/>
    <m/>
    <m/>
    <m/>
    <m/>
    <m/>
    <m/>
    <m/>
    <m/>
    <m/>
    <m/>
    <m/>
    <m/>
    <m/>
    <m/>
    <m/>
    <m/>
    <m/>
    <n v="2016"/>
    <n v="1"/>
    <n v="1"/>
    <m/>
    <s v="tom.holloway@yclibrary.org"/>
    <x v="1"/>
    <n v="639"/>
  </r>
  <r>
    <m/>
    <x v="2"/>
    <x v="7"/>
    <n v="7"/>
    <x v="57"/>
    <x v="83"/>
    <x v="5"/>
    <n v="2"/>
    <m/>
    <n v="1256"/>
    <n v="2"/>
    <m/>
    <m/>
    <m/>
    <m/>
    <m/>
    <m/>
    <m/>
    <m/>
    <m/>
    <m/>
    <m/>
    <m/>
    <m/>
    <m/>
    <m/>
    <m/>
    <n v="3"/>
    <m/>
    <m/>
    <n v="3"/>
    <m/>
    <n v="105"/>
    <m/>
    <m/>
    <n v="70"/>
    <m/>
    <m/>
    <m/>
    <m/>
    <m/>
    <m/>
    <m/>
    <m/>
    <m/>
    <m/>
    <m/>
    <m/>
    <m/>
    <n v="295"/>
    <n v="7"/>
    <n v="135.5"/>
    <n v="3"/>
    <s v="jennifer.strokis@yclibrary.org"/>
    <x v="1"/>
    <m/>
  </r>
  <r>
    <m/>
    <x v="2"/>
    <x v="2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11"/>
    <m/>
    <s v="martin.house@yclibrary.org"/>
    <x v="1"/>
    <m/>
  </r>
  <r>
    <m/>
    <x v="2"/>
    <x v="0"/>
    <n v="2"/>
    <x v="58"/>
    <x v="84"/>
    <x v="62"/>
    <n v="0"/>
    <n v="0"/>
    <n v="38"/>
    <n v="0"/>
    <n v="0"/>
    <n v="0"/>
    <n v="75"/>
    <n v="1825"/>
    <n v="5333"/>
    <n v="0"/>
    <n v="0"/>
    <n v="0"/>
    <n v="0"/>
    <n v="0"/>
    <n v="0"/>
    <n v="0"/>
    <n v="0"/>
    <n v="0"/>
    <n v="0"/>
    <n v="0"/>
    <n v="20"/>
    <n v="3"/>
    <n v="13"/>
    <n v="8"/>
    <n v="4"/>
    <n v="500"/>
    <n v="74"/>
    <n v="367"/>
    <n v="71"/>
    <n v="121"/>
    <n v="0"/>
    <n v="0"/>
    <n v="0"/>
    <n v="2"/>
    <n v="0"/>
    <n v="0"/>
    <n v="0"/>
    <n v="0"/>
    <n v="43"/>
    <n v="0"/>
    <m/>
    <m/>
    <n v="133"/>
    <n v="27"/>
    <n v="134.25"/>
    <n v="0"/>
    <s v="amanda.antonacci@yclibrary.org"/>
    <x v="1"/>
    <n v="0"/>
  </r>
  <r>
    <m/>
    <x v="3"/>
    <x v="1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2"/>
  </r>
  <r>
    <m/>
    <x v="3"/>
    <x v="2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503"/>
  </r>
  <r>
    <m/>
    <x v="3"/>
    <x v="3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58"/>
  </r>
  <r>
    <m/>
    <x v="3"/>
    <x v="0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38"/>
  </r>
  <r>
    <m/>
    <x v="3"/>
    <x v="4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0"/>
  </r>
  <r>
    <m/>
    <x v="3"/>
    <x v="7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3"/>
    <x v="0"/>
    <n v="218"/>
    <x v="2"/>
    <x v="24"/>
    <x v="63"/>
    <n v="2360"/>
    <n v="6"/>
    <n v="14107"/>
    <n v="136"/>
    <m/>
    <n v="2"/>
    <n v="92"/>
    <n v="2747"/>
    <n v="5962"/>
    <n v="596"/>
    <n v="28"/>
    <n v="5"/>
    <n v="12"/>
    <n v="29"/>
    <n v="1"/>
    <n v="940"/>
    <n v="123"/>
    <n v="131"/>
    <n v="143"/>
    <n v="51"/>
    <m/>
    <m/>
    <m/>
    <m/>
    <m/>
    <m/>
    <m/>
    <m/>
    <m/>
    <m/>
    <m/>
    <m/>
    <m/>
    <m/>
    <m/>
    <m/>
    <m/>
    <m/>
    <m/>
    <m/>
    <m/>
    <m/>
    <n v="13"/>
    <n v="50"/>
    <n v="266"/>
    <n v="7"/>
    <m/>
    <x v="1"/>
    <n v="148"/>
  </r>
  <r>
    <m/>
    <x v="3"/>
    <x v="1"/>
    <n v="29"/>
    <x v="2"/>
    <x v="19"/>
    <x v="15"/>
    <n v="589"/>
    <n v="0"/>
    <n v="2693"/>
    <n v="58"/>
    <m/>
    <m/>
    <m/>
    <n v="985"/>
    <n v="1846"/>
    <n v="100"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8"/>
    <n v="35"/>
    <n v="60"/>
    <n v="0"/>
    <m/>
    <x v="1"/>
    <n v="46"/>
  </r>
  <r>
    <m/>
    <x v="3"/>
    <x v="2"/>
    <n v="208"/>
    <x v="2"/>
    <x v="85"/>
    <x v="16"/>
    <n v="1730"/>
    <n v="14"/>
    <n v="17829"/>
    <n v="27"/>
    <m/>
    <m/>
    <m/>
    <n v="1641"/>
    <n v="5960"/>
    <n v="282"/>
    <n v="23"/>
    <n v="6"/>
    <n v="7"/>
    <n v="14"/>
    <n v="4"/>
    <n v="683"/>
    <n v="66"/>
    <n v="93"/>
    <n v="116"/>
    <n v="154"/>
    <m/>
    <m/>
    <m/>
    <m/>
    <m/>
    <m/>
    <m/>
    <m/>
    <m/>
    <m/>
    <m/>
    <m/>
    <m/>
    <m/>
    <m/>
    <m/>
    <m/>
    <m/>
    <m/>
    <m/>
    <m/>
    <m/>
    <n v="5"/>
    <n v="16"/>
    <n v="221"/>
    <n v="0"/>
    <m/>
    <x v="1"/>
    <n v="314"/>
  </r>
  <r>
    <m/>
    <x v="3"/>
    <x v="3"/>
    <n v="54"/>
    <x v="2"/>
    <x v="86"/>
    <x v="17"/>
    <n v="992"/>
    <n v="11"/>
    <n v="4250"/>
    <n v="12"/>
    <m/>
    <m/>
    <m/>
    <n v="1347"/>
    <n v="2470"/>
    <n v="62"/>
    <n v="5"/>
    <n v="4"/>
    <n v="2"/>
    <n v="13"/>
    <n v="0"/>
    <n v="52"/>
    <n v="47"/>
    <n v="8"/>
    <n v="118"/>
    <n v="0"/>
    <m/>
    <m/>
    <m/>
    <m/>
    <m/>
    <m/>
    <m/>
    <m/>
    <m/>
    <m/>
    <m/>
    <m/>
    <m/>
    <m/>
    <m/>
    <m/>
    <m/>
    <m/>
    <m/>
    <m/>
    <m/>
    <m/>
    <n v="11"/>
    <n v="4"/>
    <n v="86"/>
    <n v="5"/>
    <m/>
    <x v="1"/>
    <n v="115"/>
  </r>
  <r>
    <m/>
    <x v="3"/>
    <x v="4"/>
    <n v="36"/>
    <x v="2"/>
    <x v="22"/>
    <x v="18"/>
    <n v="975"/>
    <n v="5"/>
    <n v="3430"/>
    <n v="96"/>
    <m/>
    <m/>
    <m/>
    <n v="1192"/>
    <n v="2195"/>
    <n v="218"/>
    <n v="7"/>
    <n v="3"/>
    <n v="1"/>
    <n v="8"/>
    <n v="1"/>
    <n v="73"/>
    <n v="68"/>
    <n v="5"/>
    <n v="67"/>
    <n v="20"/>
    <m/>
    <m/>
    <m/>
    <m/>
    <m/>
    <m/>
    <m/>
    <m/>
    <m/>
    <m/>
    <m/>
    <m/>
    <m/>
    <m/>
    <m/>
    <m/>
    <m/>
    <m/>
    <m/>
    <m/>
    <m/>
    <m/>
    <n v="2"/>
    <n v="18"/>
    <n v="87"/>
    <n v="2"/>
    <m/>
    <x v="1"/>
    <n v="40"/>
  </r>
  <r>
    <m/>
    <x v="3"/>
    <x v="7"/>
    <n v="24"/>
    <x v="2"/>
    <x v="24"/>
    <x v="5"/>
    <m/>
    <m/>
    <n v="1764"/>
    <n v="4"/>
    <m/>
    <m/>
    <m/>
    <n v="15"/>
    <n v="421"/>
    <m/>
    <n v="4"/>
    <n v="0"/>
    <n v="0"/>
    <n v="0"/>
    <n v="0"/>
    <n v="104"/>
    <n v="0"/>
    <n v="0"/>
    <n v="0"/>
    <n v="0"/>
    <m/>
    <m/>
    <m/>
    <m/>
    <m/>
    <m/>
    <m/>
    <m/>
    <m/>
    <m/>
    <m/>
    <m/>
    <m/>
    <m/>
    <m/>
    <m/>
    <m/>
    <m/>
    <m/>
    <m/>
    <m/>
    <m/>
    <n v="0"/>
    <n v="8"/>
    <n v="58"/>
    <n v="0"/>
    <m/>
    <x v="1"/>
    <m/>
  </r>
  <r>
    <m/>
    <x v="4"/>
    <x v="0"/>
    <m/>
    <x v="59"/>
    <x v="30"/>
    <x v="64"/>
    <n v="3059"/>
    <n v="2"/>
    <n v="14481"/>
    <n v="136"/>
    <m/>
    <n v="7"/>
    <n v="105"/>
    <m/>
    <m/>
    <n v="749"/>
    <n v="22"/>
    <n v="5"/>
    <n v="5"/>
    <n v="18"/>
    <n v="8"/>
    <n v="913"/>
    <n v="99"/>
    <n v="47"/>
    <n v="137"/>
    <n v="364"/>
    <m/>
    <m/>
    <m/>
    <m/>
    <m/>
    <m/>
    <m/>
    <m/>
    <m/>
    <m/>
    <m/>
    <m/>
    <m/>
    <m/>
    <m/>
    <m/>
    <m/>
    <m/>
    <m/>
    <m/>
    <m/>
    <m/>
    <n v="47"/>
    <n v="9"/>
    <n v="48"/>
    <n v="9"/>
    <m/>
    <x v="1"/>
    <n v="199"/>
  </r>
  <r>
    <m/>
    <x v="4"/>
    <x v="1"/>
    <m/>
    <x v="16"/>
    <x v="25"/>
    <x v="19"/>
    <n v="457"/>
    <n v="1"/>
    <n v="2594"/>
    <n v="62"/>
    <m/>
    <m/>
    <m/>
    <m/>
    <m/>
    <n v="190"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7"/>
    <n v="38"/>
    <n v="27"/>
    <n v="0"/>
    <m/>
    <x v="1"/>
    <n v="36"/>
  </r>
  <r>
    <m/>
    <x v="4"/>
    <x v="2"/>
    <m/>
    <x v="39"/>
    <x v="87"/>
    <x v="20"/>
    <n v="1570"/>
    <n v="6"/>
    <n v="18615"/>
    <n v="28"/>
    <m/>
    <m/>
    <m/>
    <m/>
    <m/>
    <n v="160"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5"/>
    <n v="0"/>
    <n v="0"/>
    <n v="0"/>
    <m/>
    <x v="1"/>
    <n v="324"/>
  </r>
  <r>
    <m/>
    <x v="4"/>
    <x v="3"/>
    <m/>
    <x v="17"/>
    <x v="88"/>
    <x v="21"/>
    <n v="742"/>
    <n v="9"/>
    <n v="4442"/>
    <n v="16"/>
    <m/>
    <m/>
    <m/>
    <m/>
    <m/>
    <n v="87"/>
    <n v="1"/>
    <n v="2"/>
    <n v="2"/>
    <n v="10"/>
    <n v="0"/>
    <n v="8"/>
    <n v="6"/>
    <n v="4"/>
    <n v="105"/>
    <n v="0"/>
    <m/>
    <m/>
    <m/>
    <m/>
    <m/>
    <m/>
    <m/>
    <m/>
    <m/>
    <m/>
    <m/>
    <m/>
    <m/>
    <m/>
    <m/>
    <m/>
    <m/>
    <m/>
    <m/>
    <m/>
    <m/>
    <m/>
    <n v="7"/>
    <n v="1"/>
    <n v="9"/>
    <n v="2"/>
    <m/>
    <x v="1"/>
    <n v="74"/>
  </r>
  <r>
    <m/>
    <x v="4"/>
    <x v="4"/>
    <m/>
    <x v="18"/>
    <x v="28"/>
    <x v="22"/>
    <n v="457"/>
    <n v="3"/>
    <n v="3551"/>
    <n v="104"/>
    <m/>
    <m/>
    <m/>
    <m/>
    <m/>
    <n v="575"/>
    <n v="10"/>
    <n v="2"/>
    <n v="2"/>
    <n v="9"/>
    <n v="0"/>
    <n v="146"/>
    <n v="56"/>
    <n v="15"/>
    <n v="91"/>
    <n v="0"/>
    <m/>
    <m/>
    <m/>
    <m/>
    <m/>
    <m/>
    <m/>
    <m/>
    <m/>
    <m/>
    <m/>
    <m/>
    <m/>
    <m/>
    <m/>
    <m/>
    <m/>
    <m/>
    <m/>
    <m/>
    <m/>
    <m/>
    <n v="2"/>
    <n v="4"/>
    <n v="16"/>
    <n v="3"/>
    <m/>
    <x v="1"/>
    <n v="58"/>
  </r>
  <r>
    <m/>
    <x v="4"/>
    <x v="7"/>
    <m/>
    <x v="60"/>
    <x v="29"/>
    <x v="5"/>
    <m/>
    <m/>
    <n v="1342"/>
    <n v="4"/>
    <m/>
    <m/>
    <m/>
    <m/>
    <m/>
    <m/>
    <n v="3"/>
    <n v="0"/>
    <n v="0"/>
    <n v="0"/>
    <n v="0"/>
    <n v="96"/>
    <n v="0"/>
    <n v="0"/>
    <n v="0"/>
    <n v="0"/>
    <m/>
    <m/>
    <m/>
    <m/>
    <m/>
    <m/>
    <m/>
    <m/>
    <m/>
    <m/>
    <m/>
    <m/>
    <m/>
    <m/>
    <m/>
    <m/>
    <m/>
    <m/>
    <m/>
    <m/>
    <m/>
    <m/>
    <n v="1"/>
    <n v="1"/>
    <n v="1"/>
    <n v="0"/>
    <m/>
    <x v="1"/>
    <m/>
  </r>
  <r>
    <n v="45887.602997870366"/>
    <x v="5"/>
    <x v="7"/>
    <n v="13"/>
    <x v="61"/>
    <x v="8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n v="246"/>
    <m/>
    <m/>
    <n v="1"/>
    <m/>
    <x v="1"/>
    <m/>
  </r>
  <r>
    <n v="45887.60700581019"/>
    <x v="5"/>
    <x v="1"/>
    <n v="34"/>
    <x v="62"/>
    <x v="90"/>
    <x v="65"/>
    <n v="477"/>
    <n v="1"/>
    <m/>
    <m/>
    <m/>
    <m/>
    <m/>
    <m/>
    <m/>
    <m/>
    <n v="10"/>
    <n v="3"/>
    <n v="7"/>
    <n v="5"/>
    <n v="6"/>
    <n v="114"/>
    <n v="39"/>
    <n v="39"/>
    <n v="36"/>
    <n v="126"/>
    <m/>
    <m/>
    <m/>
    <m/>
    <m/>
    <m/>
    <m/>
    <m/>
    <m/>
    <m/>
    <m/>
    <m/>
    <m/>
    <m/>
    <m/>
    <m/>
    <m/>
    <m/>
    <m/>
    <m/>
    <n v="1"/>
    <m/>
    <n v="4"/>
    <n v="14"/>
    <n v="15.8"/>
    <m/>
    <m/>
    <x v="1"/>
    <n v="87"/>
  </r>
  <r>
    <n v="45887.614011180558"/>
    <x v="5"/>
    <x v="2"/>
    <n v="252"/>
    <x v="63"/>
    <x v="91"/>
    <x v="66"/>
    <n v="2086"/>
    <m/>
    <m/>
    <m/>
    <m/>
    <m/>
    <m/>
    <m/>
    <m/>
    <m/>
    <n v="24"/>
    <n v="6"/>
    <n v="8"/>
    <n v="12"/>
    <n v="14"/>
    <n v="731"/>
    <n v="148"/>
    <n v="269"/>
    <n v="117"/>
    <n v="803"/>
    <m/>
    <n v="1"/>
    <m/>
    <m/>
    <m/>
    <m/>
    <m/>
    <m/>
    <m/>
    <m/>
    <m/>
    <m/>
    <m/>
    <m/>
    <m/>
    <m/>
    <m/>
    <m/>
    <m/>
    <m/>
    <m/>
    <m/>
    <n v="4"/>
    <n v="9"/>
    <n v="10"/>
    <m/>
    <m/>
    <x v="1"/>
    <n v="674"/>
  </r>
  <r>
    <n v="45888.369058564807"/>
    <x v="5"/>
    <x v="3"/>
    <n v="67"/>
    <x v="51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57"/>
  </r>
  <r>
    <n v="45891.481946377316"/>
    <x v="5"/>
    <x v="0"/>
    <n v="223"/>
    <x v="64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13"/>
  </r>
  <r>
    <n v="45894.539856030096"/>
    <x v="5"/>
    <x v="0"/>
    <m/>
    <x v="2"/>
    <x v="92"/>
    <x v="67"/>
    <n v="3826"/>
    <n v="20"/>
    <n v="33792"/>
    <n v="141"/>
    <n v="27"/>
    <m/>
    <n v="123"/>
    <n v="7"/>
    <m/>
    <n v="2011"/>
    <n v="12"/>
    <n v="6"/>
    <n v="21"/>
    <n v="21"/>
    <n v="13"/>
    <n v="547"/>
    <n v="226"/>
    <n v="398"/>
    <n v="192"/>
    <n v="1385"/>
    <m/>
    <n v="4"/>
    <m/>
    <m/>
    <m/>
    <m/>
    <n v="1602"/>
    <m/>
    <m/>
    <m/>
    <m/>
    <n v="2"/>
    <m/>
    <m/>
    <m/>
    <m/>
    <n v="10"/>
    <m/>
    <m/>
    <m/>
    <m/>
    <m/>
    <n v="374"/>
    <n v="20"/>
    <n v="27.5"/>
    <n v="8"/>
    <m/>
    <x v="1"/>
    <m/>
  </r>
  <r>
    <n v="45894.54886649306"/>
    <x v="5"/>
    <x v="4"/>
    <n v="65"/>
    <x v="65"/>
    <x v="93"/>
    <x v="68"/>
    <n v="724"/>
    <n v="0"/>
    <n v="6285"/>
    <n v="105"/>
    <m/>
    <m/>
    <m/>
    <m/>
    <m/>
    <n v="1125"/>
    <n v="11"/>
    <n v="3"/>
    <n v="6"/>
    <n v="7"/>
    <n v="4"/>
    <n v="202"/>
    <n v="93"/>
    <n v="57"/>
    <n v="53"/>
    <n v="249"/>
    <m/>
    <m/>
    <m/>
    <m/>
    <m/>
    <m/>
    <m/>
    <m/>
    <m/>
    <m/>
    <m/>
    <m/>
    <m/>
    <m/>
    <m/>
    <m/>
    <m/>
    <m/>
    <m/>
    <m/>
    <m/>
    <m/>
    <n v="95"/>
    <n v="7"/>
    <n v="6"/>
    <n v="0"/>
    <m/>
    <x v="1"/>
    <n v="81"/>
  </r>
  <r>
    <m/>
    <x v="11"/>
    <x v="0"/>
    <n v="349"/>
    <x v="2"/>
    <x v="94"/>
    <x v="69"/>
    <n v="10094"/>
    <n v="9"/>
    <n v="21648"/>
    <n v="151"/>
    <m/>
    <n v="2"/>
    <n v="137"/>
    <n v="3102"/>
    <n v="1021"/>
    <n v="697"/>
    <n v="13"/>
    <n v="4"/>
    <n v="23"/>
    <n v="22"/>
    <n v="19"/>
    <n v="629"/>
    <n v="92"/>
    <n v="289"/>
    <n v="202"/>
    <n v="1912"/>
    <m/>
    <m/>
    <m/>
    <m/>
    <m/>
    <m/>
    <m/>
    <m/>
    <m/>
    <m/>
    <m/>
    <m/>
    <m/>
    <m/>
    <m/>
    <m/>
    <m/>
    <m/>
    <m/>
    <m/>
    <m/>
    <m/>
    <n v="8"/>
    <n v="15"/>
    <n v="14"/>
    <n v="5"/>
    <m/>
    <x v="1"/>
    <m/>
  </r>
  <r>
    <m/>
    <x v="11"/>
    <x v="1"/>
    <n v="62"/>
    <x v="2"/>
    <x v="95"/>
    <x v="70"/>
    <n v="490"/>
    <n v="0"/>
    <n v="4678"/>
    <n v="70"/>
    <m/>
    <m/>
    <m/>
    <n v="1359"/>
    <n v="1968"/>
    <n v="208"/>
    <n v="10"/>
    <n v="3"/>
    <n v="4"/>
    <n v="4"/>
    <n v="4"/>
    <n v="130"/>
    <n v="45"/>
    <n v="25"/>
    <n v="21"/>
    <n v="125"/>
    <m/>
    <m/>
    <m/>
    <m/>
    <m/>
    <m/>
    <m/>
    <m/>
    <m/>
    <m/>
    <m/>
    <m/>
    <m/>
    <m/>
    <m/>
    <m/>
    <m/>
    <m/>
    <m/>
    <m/>
    <m/>
    <m/>
    <n v="8"/>
    <n v="1"/>
    <n v="21"/>
    <n v="1"/>
    <m/>
    <x v="1"/>
    <m/>
  </r>
  <r>
    <m/>
    <x v="11"/>
    <x v="2"/>
    <n v="265"/>
    <x v="2"/>
    <x v="96"/>
    <x v="71"/>
    <n v="1871"/>
    <n v="1"/>
    <n v="23998"/>
    <n v="38"/>
    <m/>
    <m/>
    <m/>
    <n v="1847"/>
    <n v="7156"/>
    <n v="274"/>
    <n v="22"/>
    <n v="5"/>
    <n v="9"/>
    <n v="12"/>
    <n v="16"/>
    <n v="679"/>
    <n v="129"/>
    <n v="113"/>
    <n v="83"/>
    <n v="1121"/>
    <m/>
    <m/>
    <m/>
    <m/>
    <m/>
    <m/>
    <m/>
    <m/>
    <m/>
    <m/>
    <m/>
    <m/>
    <m/>
    <m/>
    <m/>
    <m/>
    <m/>
    <m/>
    <m/>
    <m/>
    <m/>
    <m/>
    <n v="4"/>
    <n v="1"/>
    <n v="12"/>
    <n v="0"/>
    <m/>
    <x v="1"/>
    <m/>
  </r>
  <r>
    <m/>
    <x v="11"/>
    <x v="3"/>
    <n v="137"/>
    <x v="2"/>
    <x v="97"/>
    <x v="1"/>
    <n v="891"/>
    <n v="5"/>
    <n v="6109"/>
    <n v="22"/>
    <m/>
    <m/>
    <m/>
    <n v="1568"/>
    <n v="3167"/>
    <n v="141"/>
    <n v="4"/>
    <n v="12"/>
    <n v="2"/>
    <n v="11"/>
    <n v="5"/>
    <n v="45"/>
    <n v="623"/>
    <n v="20"/>
    <n v="92"/>
    <n v="23"/>
    <m/>
    <m/>
    <m/>
    <m/>
    <m/>
    <m/>
    <m/>
    <m/>
    <m/>
    <m/>
    <m/>
    <m/>
    <m/>
    <m/>
    <m/>
    <m/>
    <m/>
    <m/>
    <m/>
    <m/>
    <m/>
    <m/>
    <n v="9"/>
    <n v="1"/>
    <n v="16"/>
    <n v="8"/>
    <m/>
    <x v="1"/>
    <m/>
  </r>
  <r>
    <m/>
    <x v="11"/>
    <x v="4"/>
    <n v="82"/>
    <x v="2"/>
    <x v="98"/>
    <x v="72"/>
    <n v="1015"/>
    <n v="1"/>
    <n v="5010"/>
    <n v="120"/>
    <m/>
    <m/>
    <m/>
    <n v="1501"/>
    <n v="2669"/>
    <n v="242"/>
    <n v="10"/>
    <n v="2"/>
    <n v="3"/>
    <n v="7"/>
    <n v="4"/>
    <n v="246"/>
    <n v="60"/>
    <n v="20"/>
    <n v="99"/>
    <n v="332"/>
    <m/>
    <m/>
    <m/>
    <m/>
    <m/>
    <m/>
    <m/>
    <m/>
    <m/>
    <m/>
    <m/>
    <m/>
    <m/>
    <m/>
    <m/>
    <m/>
    <m/>
    <m/>
    <m/>
    <m/>
    <m/>
    <m/>
    <n v="2"/>
    <n v="10"/>
    <n v="7"/>
    <n v="0"/>
    <m/>
    <x v="1"/>
    <m/>
  </r>
  <r>
    <m/>
    <x v="11"/>
    <x v="7"/>
    <n v="235"/>
    <x v="2"/>
    <x v="99"/>
    <x v="5"/>
    <m/>
    <m/>
    <n v="1498"/>
    <n v="4"/>
    <m/>
    <m/>
    <m/>
    <n v="21"/>
    <n v="309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n v="3"/>
    <n v="1"/>
    <n v="4"/>
    <n v="2"/>
    <m/>
    <x v="1"/>
    <m/>
  </r>
  <r>
    <m/>
    <x v="6"/>
    <x v="1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6"/>
    <x v="2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6"/>
    <x v="3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6"/>
    <x v="0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6"/>
    <x v="4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6"/>
    <x v="7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6"/>
    <x v="0"/>
    <n v="209"/>
    <x v="2"/>
    <x v="100"/>
    <x v="27"/>
    <n v="3342"/>
    <n v="6"/>
    <n v="17206"/>
    <n v="141"/>
    <m/>
    <n v="6"/>
    <n v="131"/>
    <n v="2981"/>
    <n v="6480"/>
    <n v="852"/>
    <n v="31"/>
    <n v="5"/>
    <n v="13"/>
    <n v="27"/>
    <n v="6"/>
    <n v="1188"/>
    <n v="116"/>
    <n v="155"/>
    <n v="277"/>
    <n v="106"/>
    <m/>
    <m/>
    <m/>
    <m/>
    <m/>
    <m/>
    <m/>
    <m/>
    <m/>
    <m/>
    <m/>
    <m/>
    <m/>
    <m/>
    <m/>
    <m/>
    <m/>
    <m/>
    <m/>
    <m/>
    <m/>
    <m/>
    <n v="13"/>
    <n v="42"/>
    <n v="41"/>
    <n v="10"/>
    <m/>
    <x v="1"/>
    <m/>
  </r>
  <r>
    <m/>
    <x v="6"/>
    <x v="1"/>
    <n v="37"/>
    <x v="2"/>
    <x v="38"/>
    <x v="28"/>
    <n v="457"/>
    <n v="0"/>
    <n v="2858"/>
    <n v="66"/>
    <m/>
    <m/>
    <m/>
    <n v="1046"/>
    <n v="1961"/>
    <n v="253"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1"/>
    <n v="16"/>
    <n v="20"/>
    <n v="0"/>
    <m/>
    <x v="1"/>
    <m/>
  </r>
  <r>
    <m/>
    <x v="6"/>
    <x v="2"/>
    <n v="208"/>
    <x v="2"/>
    <x v="101"/>
    <x v="29"/>
    <n v="1795"/>
    <n v="14"/>
    <n v="19038"/>
    <n v="30"/>
    <m/>
    <m/>
    <m/>
    <n v="1805"/>
    <n v="6730"/>
    <n v="273"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6"/>
    <n v="6"/>
    <n v="13"/>
    <n v="0"/>
    <m/>
    <x v="1"/>
    <m/>
  </r>
  <r>
    <m/>
    <x v="6"/>
    <x v="3"/>
    <n v="55"/>
    <x v="2"/>
    <x v="102"/>
    <x v="30"/>
    <n v="958"/>
    <n v="12"/>
    <n v="4857"/>
    <n v="18"/>
    <m/>
    <m/>
    <m/>
    <n v="1414"/>
    <n v="2581"/>
    <n v="87"/>
    <n v="4"/>
    <n v="1"/>
    <n v="2"/>
    <n v="13"/>
    <n v="2"/>
    <n v="39"/>
    <n v="7"/>
    <n v="19"/>
    <n v="122"/>
    <n v="16"/>
    <m/>
    <m/>
    <m/>
    <m/>
    <m/>
    <m/>
    <m/>
    <m/>
    <m/>
    <m/>
    <m/>
    <m/>
    <m/>
    <m/>
    <m/>
    <m/>
    <m/>
    <m/>
    <m/>
    <m/>
    <m/>
    <m/>
    <n v="8"/>
    <n v="1"/>
    <n v="53"/>
    <n v="9"/>
    <m/>
    <x v="1"/>
    <m/>
  </r>
  <r>
    <m/>
    <x v="6"/>
    <x v="4"/>
    <n v="62"/>
    <x v="2"/>
    <x v="41"/>
    <x v="31"/>
    <n v="1054"/>
    <n v="4"/>
    <n v="3862"/>
    <n v="121"/>
    <m/>
    <m/>
    <m/>
    <n v="1352"/>
    <n v="2362"/>
    <n v="234"/>
    <n v="14"/>
    <n v="1"/>
    <n v="1"/>
    <n v="8"/>
    <n v="0"/>
    <n v="162"/>
    <n v="4"/>
    <n v="4"/>
    <n v="61"/>
    <n v="0"/>
    <m/>
    <m/>
    <m/>
    <m/>
    <m/>
    <m/>
    <m/>
    <m/>
    <m/>
    <m/>
    <m/>
    <m/>
    <m/>
    <m/>
    <m/>
    <m/>
    <m/>
    <m/>
    <m/>
    <m/>
    <m/>
    <m/>
    <n v="2"/>
    <n v="11"/>
    <n v="66"/>
    <n v="0"/>
    <m/>
    <x v="1"/>
    <m/>
  </r>
  <r>
    <m/>
    <x v="6"/>
    <x v="7"/>
    <n v="18"/>
    <x v="2"/>
    <x v="42"/>
    <x v="5"/>
    <m/>
    <m/>
    <n v="1184"/>
    <n v="4"/>
    <m/>
    <m/>
    <m/>
    <n v="12"/>
    <n v="409"/>
    <m/>
    <n v="4"/>
    <n v="0"/>
    <n v="0"/>
    <n v="0"/>
    <n v="0"/>
    <n v="123"/>
    <n v="0"/>
    <n v="0"/>
    <n v="0"/>
    <n v="0"/>
    <m/>
    <m/>
    <m/>
    <m/>
    <m/>
    <m/>
    <m/>
    <m/>
    <m/>
    <m/>
    <m/>
    <m/>
    <m/>
    <m/>
    <m/>
    <m/>
    <m/>
    <m/>
    <m/>
    <m/>
    <m/>
    <m/>
    <n v="1"/>
    <n v="2"/>
    <n v="2"/>
    <n v="3"/>
    <m/>
    <x v="1"/>
    <m/>
  </r>
  <r>
    <m/>
    <x v="7"/>
    <x v="1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12"/>
  </r>
  <r>
    <m/>
    <x v="7"/>
    <x v="2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84"/>
  </r>
  <r>
    <m/>
    <x v="7"/>
    <x v="3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78"/>
  </r>
  <r>
    <m/>
    <x v="7"/>
    <x v="0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315"/>
  </r>
  <r>
    <m/>
    <x v="7"/>
    <x v="4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88"/>
  </r>
  <r>
    <m/>
    <x v="7"/>
    <x v="7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7"/>
    <x v="0"/>
    <n v="376"/>
    <x v="2"/>
    <x v="103"/>
    <x v="32"/>
    <n v="3674"/>
    <n v="12"/>
    <n v="19243"/>
    <n v="122"/>
    <m/>
    <n v="1"/>
    <n v="122"/>
    <n v="2986"/>
    <n v="6594"/>
    <n v="767"/>
    <n v="15"/>
    <n v="10"/>
    <n v="6"/>
    <n v="22"/>
    <n v="8"/>
    <n v="636"/>
    <n v="140"/>
    <n v="59"/>
    <n v="245"/>
    <n v="1644"/>
    <m/>
    <m/>
    <m/>
    <m/>
    <m/>
    <m/>
    <m/>
    <m/>
    <m/>
    <m/>
    <m/>
    <m/>
    <m/>
    <m/>
    <m/>
    <m/>
    <m/>
    <m/>
    <m/>
    <m/>
    <m/>
    <m/>
    <n v="4"/>
    <n v="15"/>
    <n v="15"/>
    <n v="7"/>
    <m/>
    <x v="1"/>
    <m/>
  </r>
  <r>
    <m/>
    <x v="7"/>
    <x v="1"/>
    <n v="59"/>
    <x v="2"/>
    <x v="44"/>
    <x v="33"/>
    <n v="373"/>
    <n v="1"/>
    <n v="3426"/>
    <n v="69"/>
    <m/>
    <m/>
    <m/>
    <n v="1169"/>
    <n v="1920"/>
    <n v="229"/>
    <n v="10"/>
    <n v="2"/>
    <n v="3"/>
    <n v="3"/>
    <n v="0"/>
    <n v="155"/>
    <n v="12"/>
    <n v="17"/>
    <n v="28"/>
    <n v="0"/>
    <m/>
    <m/>
    <m/>
    <m/>
    <m/>
    <m/>
    <m/>
    <m/>
    <m/>
    <m/>
    <m/>
    <m/>
    <m/>
    <m/>
    <m/>
    <m/>
    <m/>
    <m/>
    <m/>
    <m/>
    <m/>
    <m/>
    <n v="23"/>
    <n v="1"/>
    <n v="25"/>
    <n v="0"/>
    <m/>
    <x v="1"/>
    <m/>
  </r>
  <r>
    <m/>
    <x v="7"/>
    <x v="2"/>
    <n v="210"/>
    <x v="2"/>
    <x v="104"/>
    <x v="34"/>
    <n v="1578"/>
    <n v="4"/>
    <n v="20990"/>
    <n v="34"/>
    <m/>
    <m/>
    <m/>
    <n v="1724"/>
    <n v="6894"/>
    <n v="301"/>
    <n v="21"/>
    <n v="5"/>
    <n v="5"/>
    <n v="10"/>
    <n v="5"/>
    <n v="714"/>
    <n v="70"/>
    <n v="84"/>
    <n v="96"/>
    <n v="894"/>
    <m/>
    <m/>
    <m/>
    <m/>
    <m/>
    <m/>
    <m/>
    <m/>
    <m/>
    <m/>
    <m/>
    <m/>
    <m/>
    <m/>
    <m/>
    <m/>
    <m/>
    <m/>
    <m/>
    <m/>
    <m/>
    <m/>
    <n v="6"/>
    <n v="6"/>
    <n v="4"/>
    <n v="0"/>
    <m/>
    <x v="1"/>
    <m/>
  </r>
  <r>
    <m/>
    <x v="7"/>
    <x v="3"/>
    <n v="68"/>
    <x v="2"/>
    <x v="105"/>
    <x v="35"/>
    <n v="414"/>
    <n v="4"/>
    <n v="5447"/>
    <n v="17"/>
    <m/>
    <m/>
    <m/>
    <n v="1498"/>
    <n v="2684"/>
    <n v="122"/>
    <n v="4"/>
    <n v="5"/>
    <n v="2"/>
    <n v="9"/>
    <n v="3"/>
    <n v="50"/>
    <n v="51"/>
    <n v="11"/>
    <n v="91"/>
    <n v="3"/>
    <m/>
    <m/>
    <m/>
    <m/>
    <m/>
    <m/>
    <m/>
    <m/>
    <m/>
    <m/>
    <m/>
    <m/>
    <m/>
    <m/>
    <m/>
    <m/>
    <m/>
    <m/>
    <m/>
    <m/>
    <m/>
    <m/>
    <n v="9"/>
    <n v="1"/>
    <n v="9"/>
    <n v="1"/>
    <m/>
    <x v="1"/>
    <m/>
  </r>
  <r>
    <m/>
    <x v="7"/>
    <x v="4"/>
    <n v="64"/>
    <x v="2"/>
    <x v="47"/>
    <x v="36"/>
    <n v="694"/>
    <n v="2"/>
    <n v="4424"/>
    <n v="103"/>
    <m/>
    <m/>
    <m/>
    <n v="1342"/>
    <n v="2364"/>
    <n v="266"/>
    <n v="10"/>
    <n v="3"/>
    <n v="7"/>
    <n v="9"/>
    <n v="1"/>
    <n v="135"/>
    <n v="72"/>
    <n v="7"/>
    <n v="69"/>
    <n v="112"/>
    <m/>
    <m/>
    <m/>
    <m/>
    <m/>
    <m/>
    <m/>
    <m/>
    <m/>
    <m/>
    <m/>
    <m/>
    <m/>
    <m/>
    <m/>
    <m/>
    <m/>
    <m/>
    <m/>
    <m/>
    <m/>
    <m/>
    <n v="2"/>
    <n v="1"/>
    <n v="9"/>
    <n v="0"/>
    <m/>
    <x v="1"/>
    <m/>
  </r>
  <r>
    <m/>
    <x v="7"/>
    <x v="7"/>
    <n v="69"/>
    <x v="2"/>
    <x v="48"/>
    <x v="5"/>
    <m/>
    <m/>
    <n v="1324"/>
    <n v="1"/>
    <m/>
    <m/>
    <m/>
    <n v="11"/>
    <n v="272"/>
    <m/>
    <n v="1"/>
    <n v="0"/>
    <n v="0"/>
    <n v="0"/>
    <n v="0"/>
    <n v="8"/>
    <n v="0"/>
    <n v="0"/>
    <n v="0"/>
    <n v="0"/>
    <m/>
    <m/>
    <m/>
    <m/>
    <m/>
    <m/>
    <m/>
    <m/>
    <m/>
    <m/>
    <m/>
    <m/>
    <m/>
    <m/>
    <m/>
    <m/>
    <m/>
    <m/>
    <m/>
    <m/>
    <m/>
    <m/>
    <n v="15"/>
    <n v="0"/>
    <n v="0"/>
    <n v="0"/>
    <m/>
    <x v="1"/>
    <m/>
  </r>
  <r>
    <m/>
    <x v="8"/>
    <x v="2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s v="martin.house@yclibrary.org"/>
    <x v="1"/>
    <m/>
  </r>
  <r>
    <m/>
    <x v="8"/>
    <x v="1"/>
    <n v="21"/>
    <x v="60"/>
    <x v="106"/>
    <x v="73"/>
    <n v="426"/>
    <n v="1"/>
    <n v="4166"/>
    <n v="76"/>
    <n v="0"/>
    <m/>
    <n v="0"/>
    <m/>
    <m/>
    <n v="840"/>
    <n v="4"/>
    <n v="4"/>
    <n v="4"/>
    <n v="8"/>
    <n v="1"/>
    <n v="40"/>
    <n v="41"/>
    <n v="39"/>
    <n v="53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4"/>
    <n v="7"/>
    <n v="30.5"/>
    <n v="5"/>
    <s v="madison.brennan@yclibrary.org"/>
    <x v="1"/>
    <n v="59"/>
  </r>
  <r>
    <m/>
    <x v="8"/>
    <x v="3"/>
    <n v="38"/>
    <x v="57"/>
    <x v="107"/>
    <x v="74"/>
    <n v="523"/>
    <n v="11"/>
    <n v="4116"/>
    <n v="17"/>
    <n v="1"/>
    <m/>
    <m/>
    <m/>
    <m/>
    <n v="153"/>
    <n v="4"/>
    <n v="4"/>
    <n v="2"/>
    <n v="8"/>
    <n v="0"/>
    <n v="35"/>
    <n v="31"/>
    <n v="10"/>
    <n v="7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4"/>
    <n v="0"/>
    <n v="0"/>
    <n v="0"/>
    <n v="767"/>
    <n v="10"/>
    <n v="90"/>
    <n v="3"/>
    <s v="rae.lovvorn@yclibrary.org"/>
    <x v="1"/>
    <n v="143"/>
  </r>
  <r>
    <m/>
    <x v="8"/>
    <x v="2"/>
    <n v="181"/>
    <x v="66"/>
    <x v="108"/>
    <x v="75"/>
    <n v="1507"/>
    <n v="4"/>
    <n v="34845"/>
    <n v="56"/>
    <n v="5"/>
    <m/>
    <m/>
    <m/>
    <m/>
    <n v="1424"/>
    <n v="21"/>
    <n v="6"/>
    <n v="8"/>
    <n v="12"/>
    <n v="4"/>
    <n v="701"/>
    <n v="76"/>
    <n v="60"/>
    <n v="93"/>
    <n v="142"/>
    <m/>
    <m/>
    <m/>
    <m/>
    <m/>
    <m/>
    <m/>
    <m/>
    <m/>
    <m/>
    <m/>
    <m/>
    <m/>
    <m/>
    <m/>
    <m/>
    <m/>
    <m/>
    <m/>
    <m/>
    <m/>
    <m/>
    <n v="1433"/>
    <n v="18"/>
    <n v="140"/>
    <m/>
    <s v="tom.holloway@yclibrary.org"/>
    <x v="1"/>
    <n v="711"/>
  </r>
  <r>
    <m/>
    <x v="8"/>
    <x v="7"/>
    <n v="9"/>
    <x v="52"/>
    <x v="109"/>
    <x v="5"/>
    <m/>
    <m/>
    <n v="3056"/>
    <n v="3"/>
    <m/>
    <m/>
    <m/>
    <m/>
    <m/>
    <m/>
    <m/>
    <m/>
    <m/>
    <m/>
    <m/>
    <m/>
    <m/>
    <m/>
    <m/>
    <m/>
    <n v="3"/>
    <m/>
    <m/>
    <m/>
    <m/>
    <n v="102"/>
    <m/>
    <m/>
    <m/>
    <m/>
    <m/>
    <m/>
    <m/>
    <m/>
    <m/>
    <m/>
    <m/>
    <m/>
    <m/>
    <m/>
    <n v="2"/>
    <n v="101"/>
    <n v="311"/>
    <n v="8"/>
    <n v="151.5"/>
    <n v="2"/>
    <s v="jennifer.strokis@yclibrary.org"/>
    <x v="1"/>
    <m/>
  </r>
  <r>
    <m/>
    <x v="8"/>
    <x v="4"/>
    <n v="49"/>
    <x v="67"/>
    <x v="110"/>
    <x v="76"/>
    <n v="946"/>
    <n v="13"/>
    <n v="7503"/>
    <n v="91"/>
    <n v="0"/>
    <m/>
    <m/>
    <m/>
    <m/>
    <n v="965"/>
    <n v="11"/>
    <n v="3"/>
    <n v="1"/>
    <n v="7"/>
    <m/>
    <n v="231"/>
    <n v="46"/>
    <n v="9"/>
    <n v="52"/>
    <m/>
    <m/>
    <m/>
    <m/>
    <m/>
    <m/>
    <m/>
    <m/>
    <m/>
    <m/>
    <m/>
    <m/>
    <m/>
    <m/>
    <m/>
    <m/>
    <m/>
    <m/>
    <m/>
    <m/>
    <m/>
    <n v="1"/>
    <n v="52"/>
    <n v="40"/>
    <n v="16"/>
    <n v="100"/>
    <n v="0"/>
    <s v="jennifer.stanley@yclibrary.org"/>
    <x v="1"/>
    <n v="96"/>
  </r>
  <r>
    <m/>
    <x v="8"/>
    <x v="0"/>
    <n v="17"/>
    <x v="57"/>
    <x v="84"/>
    <x v="62"/>
    <n v="0"/>
    <n v="0"/>
    <n v="31"/>
    <n v="0"/>
    <n v="0"/>
    <n v="3"/>
    <n v="71"/>
    <n v="1534"/>
    <n v="4781"/>
    <n v="0"/>
    <n v="0"/>
    <n v="0"/>
    <n v="0"/>
    <n v="0"/>
    <n v="0"/>
    <n v="0"/>
    <n v="0"/>
    <n v="0"/>
    <n v="0"/>
    <n v="0"/>
    <n v="13"/>
    <n v="3"/>
    <n v="15"/>
    <n v="11"/>
    <n v="7"/>
    <n v="255"/>
    <n v="56"/>
    <n v="1406"/>
    <n v="107"/>
    <n v="299"/>
    <n v="0"/>
    <n v="0"/>
    <n v="1"/>
    <n v="5"/>
    <n v="1"/>
    <n v="0"/>
    <n v="0"/>
    <n v="156"/>
    <n v="49"/>
    <n v="18"/>
    <m/>
    <m/>
    <n v="15"/>
    <n v="65"/>
    <n v="259"/>
    <n v="1"/>
    <s v="amanda.antonacci@yclibrary.org"/>
    <x v="1"/>
    <n v="0"/>
  </r>
  <r>
    <n v="45964.599039351851"/>
    <x v="9"/>
    <x v="4"/>
    <n v="64"/>
    <x v="68"/>
    <x v="111"/>
    <x v="77"/>
    <n v="1145"/>
    <n v="22"/>
    <n v="8931"/>
    <n v="125"/>
    <n v="0"/>
    <m/>
    <m/>
    <m/>
    <m/>
    <n v="2239"/>
    <n v="12"/>
    <n v="2"/>
    <n v="3"/>
    <n v="9"/>
    <n v="2"/>
    <n v="231"/>
    <n v="32"/>
    <n v="14"/>
    <n v="84"/>
    <n v="22"/>
    <m/>
    <m/>
    <m/>
    <m/>
    <m/>
    <m/>
    <m/>
    <m/>
    <m/>
    <m/>
    <m/>
    <m/>
    <m/>
    <m/>
    <m/>
    <m/>
    <m/>
    <m/>
    <m/>
    <m/>
    <n v="1"/>
    <n v="140"/>
    <n v="278"/>
    <n v="8"/>
    <n v="12"/>
    <n v="0"/>
    <s v="jennifer.stanley@yclibrary.org"/>
    <x v="1"/>
    <n v="148"/>
  </r>
  <r>
    <n v="45964.637326388889"/>
    <x v="9"/>
    <x v="7"/>
    <n v="12"/>
    <x v="69"/>
    <x v="11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n v="2428"/>
    <n v="264"/>
    <n v="6"/>
    <n v="113"/>
    <n v="4"/>
    <s v="jennifer.strokis@yclibrary.org"/>
    <x v="1"/>
    <m/>
  </r>
  <r>
    <n v="45964.639664351853"/>
    <x v="9"/>
    <x v="3"/>
    <n v="49"/>
    <x v="70"/>
    <x v="113"/>
    <x v="17"/>
    <n v="668"/>
    <n v="11"/>
    <n v="5737"/>
    <n v="26"/>
    <n v="2"/>
    <m/>
    <m/>
    <m/>
    <m/>
    <n v="1056"/>
    <n v="4"/>
    <n v="5"/>
    <n v="2"/>
    <n v="10"/>
    <n v="1"/>
    <n v="48"/>
    <n v="30"/>
    <n v="13"/>
    <n v="8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5"/>
    <n v="2"/>
    <n v="10"/>
    <n v="6"/>
    <s v="rae.lovvorn@yclibrary.org"/>
    <x v="1"/>
    <n v="254"/>
  </r>
  <r>
    <n v="45965.365925925929"/>
    <x v="9"/>
    <x v="1"/>
    <n v="26"/>
    <x v="61"/>
    <x v="114"/>
    <x v="78"/>
    <n v="531"/>
    <n v="1"/>
    <n v="5548"/>
    <n v="88"/>
    <n v="0"/>
    <m/>
    <m/>
    <m/>
    <m/>
    <n v="1053"/>
    <n v="6"/>
    <n v="3"/>
    <n v="5"/>
    <n v="8"/>
    <n v="1"/>
    <n v="67"/>
    <n v="38"/>
    <n v="28"/>
    <n v="35"/>
    <n v="3"/>
    <m/>
    <m/>
    <m/>
    <m/>
    <m/>
    <m/>
    <m/>
    <m/>
    <m/>
    <m/>
    <m/>
    <m/>
    <m/>
    <m/>
    <m/>
    <m/>
    <m/>
    <m/>
    <m/>
    <m/>
    <m/>
    <m/>
    <n v="638"/>
    <n v="6"/>
    <n v="28"/>
    <n v="2"/>
    <s v="madison.brennan@yclibrary.org"/>
    <x v="1"/>
    <n v="126"/>
  </r>
  <r>
    <n v="45965.617523148147"/>
    <x v="9"/>
    <x v="2"/>
    <n v="211"/>
    <x v="71"/>
    <x v="115"/>
    <x v="79"/>
    <n v="1956"/>
    <m/>
    <n v="23486"/>
    <n v="65"/>
    <n v="5"/>
    <m/>
    <m/>
    <m/>
    <m/>
    <n v="1494"/>
    <n v="31"/>
    <n v="5"/>
    <n v="8"/>
    <n v="12"/>
    <n v="5"/>
    <n v="1194"/>
    <n v="72"/>
    <n v="73"/>
    <n v="109"/>
    <n v="162"/>
    <m/>
    <m/>
    <m/>
    <m/>
    <m/>
    <m/>
    <m/>
    <m/>
    <m/>
    <m/>
    <m/>
    <m/>
    <m/>
    <m/>
    <m/>
    <m/>
    <m/>
    <m/>
    <m/>
    <m/>
    <n v="1"/>
    <n v="250"/>
    <n v="1688"/>
    <n v="2"/>
    <n v="2"/>
    <m/>
    <s v="tom.holloway@yclibrary.org"/>
    <x v="1"/>
    <n v="707"/>
  </r>
  <r>
    <n v="45966.417696759258"/>
    <x v="9"/>
    <x v="2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5.5"/>
    <m/>
    <s v="martin.house@yclibrary.org"/>
    <x v="1"/>
    <m/>
  </r>
  <r>
    <m/>
    <x v="9"/>
    <x v="8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artin.house@yclibrary.org"/>
    <x v="1"/>
    <n v="38"/>
  </r>
  <r>
    <n v="45931.553541666668"/>
    <x v="10"/>
    <x v="7"/>
    <n v="16"/>
    <x v="72"/>
    <x v="8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"/>
    <n v="260"/>
    <n v="136"/>
    <m/>
    <m/>
    <n v="5"/>
    <s v="jennifer.strokis@yclibrary.org"/>
    <x v="1"/>
    <m/>
  </r>
  <r>
    <n v="45932.47283564815"/>
    <x v="10"/>
    <x v="3"/>
    <n v="48"/>
    <x v="73"/>
    <x v="116"/>
    <x v="19"/>
    <n v="594"/>
    <n v="9"/>
    <n v="5549"/>
    <n v="18"/>
    <n v="2"/>
    <m/>
    <m/>
    <m/>
    <m/>
    <n v="351"/>
    <n v="5"/>
    <n v="4"/>
    <n v="2"/>
    <n v="13"/>
    <n v="2"/>
    <n v="65"/>
    <n v="31"/>
    <n v="11"/>
    <n v="10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4"/>
    <n v="3"/>
    <n v="15"/>
    <n v="3"/>
    <s v="rae.lovvorn@yclibrary.org"/>
    <x v="1"/>
    <n v="294"/>
  </r>
  <r>
    <n v="45932.49622685185"/>
    <x v="10"/>
    <x v="4"/>
    <n v="64"/>
    <x v="74"/>
    <x v="117"/>
    <x v="80"/>
    <n v="809"/>
    <n v="8"/>
    <n v="6762"/>
    <n v="93"/>
    <n v="0"/>
    <m/>
    <m/>
    <m/>
    <m/>
    <n v="1602"/>
    <n v="9"/>
    <n v="2"/>
    <n v="0"/>
    <n v="9"/>
    <n v="1"/>
    <n v="184"/>
    <n v="64"/>
    <n v="0"/>
    <n v="65"/>
    <n v="13"/>
    <m/>
    <m/>
    <m/>
    <m/>
    <m/>
    <m/>
    <m/>
    <m/>
    <m/>
    <m/>
    <m/>
    <m/>
    <m/>
    <m/>
    <m/>
    <m/>
    <m/>
    <m/>
    <m/>
    <m/>
    <n v="2"/>
    <n v="330"/>
    <n v="275"/>
    <n v="0"/>
    <n v="0"/>
    <n v="0"/>
    <s v="jennifer.stanley@yclibrary.org"/>
    <x v="1"/>
    <n v="125"/>
  </r>
  <r>
    <n v="45932.503969907397"/>
    <x v="10"/>
    <x v="1"/>
    <n v="41"/>
    <x v="75"/>
    <x v="118"/>
    <x v="81"/>
    <n v="472"/>
    <n v="2"/>
    <n v="5324"/>
    <n v="69"/>
    <n v="0"/>
    <n v="0"/>
    <n v="0"/>
    <n v="0"/>
    <n v="0"/>
    <n v="676"/>
    <n v="4"/>
    <n v="4"/>
    <n v="4"/>
    <n v="8"/>
    <n v="1"/>
    <n v="38"/>
    <n v="48"/>
    <n v="29"/>
    <n v="59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9"/>
    <n v="6"/>
    <n v="19"/>
    <n v="4"/>
    <s v="madison.brennan@yclibrary.org"/>
    <x v="1"/>
    <n v="103"/>
  </r>
  <r>
    <n v="45932.532719907409"/>
    <x v="10"/>
    <x v="0"/>
    <n v="210"/>
    <x v="76"/>
    <x v="119"/>
    <x v="82"/>
    <n v="3690"/>
    <n v="18"/>
    <n v="16046"/>
    <n v="117"/>
    <n v="36"/>
    <n v="4"/>
    <n v="137"/>
    <m/>
    <m/>
    <n v="3193"/>
    <n v="21"/>
    <n v="4"/>
    <n v="13"/>
    <n v="23"/>
    <n v="4"/>
    <n v="847"/>
    <n v="106"/>
    <n v="116"/>
    <m/>
    <n v="284"/>
    <n v="0"/>
    <n v="4"/>
    <n v="2"/>
    <n v="6"/>
    <n v="5"/>
    <n v="0"/>
    <n v="1278"/>
    <n v="51"/>
    <n v="126"/>
    <n v="656"/>
    <n v="0"/>
    <n v="0"/>
    <n v="0"/>
    <n v="2"/>
    <n v="1"/>
    <n v="0"/>
    <n v="0"/>
    <n v="0"/>
    <n v="29"/>
    <n v="98"/>
    <m/>
    <m/>
    <n v="135"/>
    <n v="7"/>
    <n v="37.299999999999997"/>
    <n v="9"/>
    <s v="amanda.antonacci@yclibrary.org"/>
    <x v="1"/>
    <n v="301"/>
  </r>
  <r>
    <n v="45932.568171296298"/>
    <x v="10"/>
    <x v="2"/>
    <n v="200"/>
    <x v="77"/>
    <x v="120"/>
    <x v="83"/>
    <n v="1860"/>
    <m/>
    <n v="21893"/>
    <n v="33"/>
    <n v="5"/>
    <m/>
    <m/>
    <m/>
    <m/>
    <n v="2008"/>
    <n v="35"/>
    <n v="6"/>
    <n v="9"/>
    <n v="14"/>
    <n v="4"/>
    <n v="1301"/>
    <n v="87"/>
    <n v="79"/>
    <n v="116"/>
    <n v="203"/>
    <m/>
    <m/>
    <m/>
    <m/>
    <m/>
    <m/>
    <m/>
    <m/>
    <m/>
    <m/>
    <m/>
    <m/>
    <m/>
    <m/>
    <m/>
    <m/>
    <m/>
    <m/>
    <m/>
    <m/>
    <m/>
    <m/>
    <n v="1475"/>
    <m/>
    <m/>
    <m/>
    <s v="tom.holloway@yclibrary.org"/>
    <x v="1"/>
    <n v="909"/>
  </r>
  <r>
    <m/>
    <x v="4"/>
    <x v="2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10.5"/>
    <m/>
    <s v="martin.house@yclibrary.org"/>
    <x v="2"/>
    <m/>
  </r>
  <r>
    <m/>
    <x v="4"/>
    <x v="3"/>
    <n v="64"/>
    <x v="62"/>
    <x v="121"/>
    <x v="84"/>
    <n v="514"/>
    <n v="7"/>
    <n v="5708"/>
    <n v="29"/>
    <n v="1"/>
    <m/>
    <m/>
    <m/>
    <m/>
    <n v="568"/>
    <n v="4"/>
    <n v="5"/>
    <n v="1"/>
    <n v="9"/>
    <n v="0"/>
    <n v="46"/>
    <n v="22"/>
    <n v="12"/>
    <n v="89"/>
    <n v="0"/>
    <n v="2"/>
    <n v="0"/>
    <n v="0"/>
    <n v="0"/>
    <n v="0"/>
    <n v="31"/>
    <n v="0"/>
    <n v="0"/>
    <n v="0"/>
    <n v="0"/>
    <n v="0"/>
    <n v="0"/>
    <n v="0"/>
    <n v="0"/>
    <n v="0"/>
    <n v="0"/>
    <n v="0"/>
    <n v="0"/>
    <n v="0"/>
    <n v="0"/>
    <n v="0"/>
    <n v="0"/>
    <n v="649"/>
    <n v="4"/>
    <n v="12"/>
    <n v="5"/>
    <s v="rae.lovvorn@yclibrary.org"/>
    <x v="2"/>
    <n v="193"/>
  </r>
  <r>
    <m/>
    <x v="4"/>
    <x v="1"/>
    <n v="36"/>
    <x v="78"/>
    <x v="122"/>
    <x v="53"/>
    <n v="491"/>
    <n v="0"/>
    <n v="4823"/>
    <n v="64"/>
    <n v="0"/>
    <m/>
    <m/>
    <m/>
    <m/>
    <n v="700"/>
    <n v="5"/>
    <n v="3"/>
    <n v="4"/>
    <n v="5"/>
    <n v="1"/>
    <n v="32"/>
    <n v="28"/>
    <n v="25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7"/>
    <n v="7"/>
    <n v="22"/>
    <n v="2"/>
    <s v="madison.brennan@yclibrary.org"/>
    <x v="2"/>
    <n v="121"/>
  </r>
  <r>
    <m/>
    <x v="4"/>
    <x v="7"/>
    <n v="10"/>
    <x v="79"/>
    <x v="123"/>
    <x v="5"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"/>
    <n v="47.5"/>
    <n v="3"/>
    <s v="jennifer.strokis@yclibrary.org"/>
    <x v="2"/>
    <m/>
  </r>
  <r>
    <m/>
    <x v="4"/>
    <x v="4"/>
    <n v="62"/>
    <x v="79"/>
    <x v="124"/>
    <x v="85"/>
    <m/>
    <n v="24"/>
    <n v="7362"/>
    <n v="102"/>
    <n v="0"/>
    <m/>
    <m/>
    <m/>
    <m/>
    <n v="1766"/>
    <n v="11"/>
    <n v="3"/>
    <n v="1"/>
    <n v="6"/>
    <n v="0"/>
    <n v="231"/>
    <n v="55"/>
    <n v="7"/>
    <n v="45"/>
    <n v="0"/>
    <m/>
    <m/>
    <m/>
    <m/>
    <m/>
    <m/>
    <m/>
    <m/>
    <m/>
    <m/>
    <m/>
    <m/>
    <m/>
    <m/>
    <m/>
    <m/>
    <m/>
    <m/>
    <m/>
    <m/>
    <m/>
    <m/>
    <n v="154"/>
    <n v="2"/>
    <n v="6"/>
    <n v="0"/>
    <s v="jennifer.stanley@yclibrary.org"/>
    <x v="2"/>
    <n v="154"/>
  </r>
  <r>
    <m/>
    <x v="4"/>
    <x v="4"/>
    <m/>
    <x v="2"/>
    <x v="6"/>
    <x v="5"/>
    <n v="8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jennifer.stanley@yclibrary.org"/>
    <x v="2"/>
    <m/>
  </r>
  <r>
    <m/>
    <x v="4"/>
    <x v="2"/>
    <n v="234"/>
    <x v="1"/>
    <x v="125"/>
    <x v="86"/>
    <n v="1715"/>
    <n v="8"/>
    <n v="40953"/>
    <n v="71"/>
    <n v="5"/>
    <m/>
    <m/>
    <m/>
    <m/>
    <n v="1504"/>
    <n v="31"/>
    <n v="5"/>
    <n v="6"/>
    <n v="11"/>
    <n v="4"/>
    <n v="1270"/>
    <n v="68"/>
    <n v="46"/>
    <n v="93"/>
    <n v="183"/>
    <m/>
    <m/>
    <m/>
    <m/>
    <m/>
    <m/>
    <m/>
    <m/>
    <m/>
    <m/>
    <m/>
    <m/>
    <m/>
    <m/>
    <m/>
    <m/>
    <m/>
    <m/>
    <m/>
    <m/>
    <m/>
    <m/>
    <n v="1392"/>
    <n v="1"/>
    <n v="1"/>
    <m/>
    <s v="tom.holloway@yclibrary.org"/>
    <x v="2"/>
    <n v="646"/>
  </r>
  <r>
    <m/>
    <x v="4"/>
    <x v="0"/>
    <n v="1"/>
    <x v="80"/>
    <x v="84"/>
    <x v="62"/>
    <n v="0"/>
    <n v="0"/>
    <n v="992"/>
    <n v="0"/>
    <n v="0"/>
    <n v="1"/>
    <n v="67"/>
    <n v="1110"/>
    <n v="6578"/>
    <n v="0"/>
    <n v="0"/>
    <n v="0"/>
    <n v="0"/>
    <n v="0"/>
    <n v="0"/>
    <n v="0"/>
    <n v="0"/>
    <n v="0"/>
    <n v="0"/>
    <n v="0"/>
    <n v="16"/>
    <n v="3"/>
    <n v="11"/>
    <n v="12"/>
    <n v="5"/>
    <n v="337"/>
    <n v="57"/>
    <n v="270"/>
    <n v="96"/>
    <n v="196"/>
    <n v="0"/>
    <n v="0"/>
    <n v="0"/>
    <n v="2"/>
    <n v="0"/>
    <n v="0"/>
    <n v="0"/>
    <n v="0"/>
    <n v="22"/>
    <n v="0"/>
    <n v="0"/>
    <n v="0"/>
    <n v="64"/>
    <n v="66"/>
    <n v="132"/>
    <n v="0"/>
    <s v="amanda.antonacci@yclibrary.org"/>
    <x v="2"/>
    <n v="0"/>
  </r>
  <r>
    <n v="46085.525729166657"/>
    <x v="3"/>
    <x v="3"/>
    <n v="47"/>
    <x v="58"/>
    <x v="126"/>
    <x v="87"/>
    <n v="290"/>
    <n v="10"/>
    <n v="4042"/>
    <n v="23"/>
    <n v="0"/>
    <m/>
    <m/>
    <m/>
    <m/>
    <n v="593"/>
    <n v="7"/>
    <n v="5"/>
    <n v="2"/>
    <n v="10"/>
    <n v="0"/>
    <n v="77"/>
    <n v="51"/>
    <n v="18"/>
    <n v="83"/>
    <n v="0"/>
    <n v="2"/>
    <n v="0"/>
    <n v="0"/>
    <n v="0"/>
    <n v="0"/>
    <n v="37"/>
    <n v="0"/>
    <n v="0"/>
    <n v="0"/>
    <n v="0"/>
    <n v="0"/>
    <n v="0"/>
    <n v="0"/>
    <n v="0"/>
    <n v="0"/>
    <n v="0"/>
    <n v="0"/>
    <n v="0"/>
    <n v="0"/>
    <n v="0"/>
    <n v="0"/>
    <n v="0"/>
    <n v="638"/>
    <n v="13"/>
    <n v="121"/>
    <n v="7"/>
    <s v="rae.lovvorn@yclibrary.org"/>
    <x v="2"/>
    <n v="151"/>
  </r>
  <r>
    <n v="46085.547129629631"/>
    <x v="3"/>
    <x v="4"/>
    <n v="65"/>
    <x v="62"/>
    <x v="127"/>
    <x v="88"/>
    <n v="877"/>
    <n v="17"/>
    <n v="7854"/>
    <n v="110"/>
    <n v="0"/>
    <m/>
    <m/>
    <m/>
    <m/>
    <n v="849"/>
    <n v="7"/>
    <n v="3"/>
    <n v="2"/>
    <n v="6"/>
    <n v="1"/>
    <n v="131"/>
    <n v="45"/>
    <n v="9"/>
    <n v="47"/>
    <n v="5"/>
    <m/>
    <m/>
    <m/>
    <m/>
    <m/>
    <m/>
    <m/>
    <m/>
    <m/>
    <m/>
    <m/>
    <m/>
    <m/>
    <m/>
    <m/>
    <m/>
    <m/>
    <m/>
    <m/>
    <m/>
    <m/>
    <m/>
    <n v="251"/>
    <n v="18"/>
    <n v="147"/>
    <n v="0"/>
    <s v="jennifer.stanley@yclibrary.org"/>
    <x v="2"/>
    <n v="110"/>
  </r>
  <r>
    <n v="46085.643842592603"/>
    <x v="3"/>
    <x v="2"/>
    <n v="211"/>
    <x v="81"/>
    <x v="128"/>
    <x v="89"/>
    <n v="1579"/>
    <n v="11"/>
    <n v="39230"/>
    <n v="64"/>
    <n v="5"/>
    <m/>
    <m/>
    <m/>
    <m/>
    <n v="1875"/>
    <n v="15"/>
    <n v="5"/>
    <n v="10"/>
    <n v="13"/>
    <n v="4"/>
    <n v="624"/>
    <n v="73"/>
    <n v="100"/>
    <n v="1"/>
    <n v="236"/>
    <m/>
    <m/>
    <m/>
    <m/>
    <m/>
    <m/>
    <m/>
    <m/>
    <m/>
    <m/>
    <m/>
    <m/>
    <m/>
    <m/>
    <m/>
    <m/>
    <m/>
    <m/>
    <m/>
    <m/>
    <m/>
    <m/>
    <n v="2292"/>
    <n v="23"/>
    <n v="177"/>
    <m/>
    <s v="tom.holloway@yclibrary.org"/>
    <x v="2"/>
    <n v="126"/>
  </r>
  <r>
    <n v="46085.724745370368"/>
    <x v="3"/>
    <x v="7"/>
    <n v="19"/>
    <x v="82"/>
    <x v="129"/>
    <x v="5"/>
    <m/>
    <m/>
    <n v="2226"/>
    <m/>
    <m/>
    <m/>
    <m/>
    <m/>
    <m/>
    <m/>
    <m/>
    <m/>
    <m/>
    <m/>
    <m/>
    <m/>
    <m/>
    <m/>
    <m/>
    <m/>
    <n v="3"/>
    <m/>
    <m/>
    <n v="2"/>
    <m/>
    <n v="91"/>
    <m/>
    <m/>
    <n v="25"/>
    <m/>
    <m/>
    <m/>
    <m/>
    <m/>
    <m/>
    <m/>
    <m/>
    <m/>
    <m/>
    <m/>
    <n v="2"/>
    <n v="45"/>
    <n v="1"/>
    <n v="5"/>
    <n v="42"/>
    <n v="5"/>
    <s v="jennifer.strokis@yclibrary.org"/>
    <x v="2"/>
    <m/>
  </r>
  <r>
    <n v="46086.469259259262"/>
    <x v="3"/>
    <x v="1"/>
    <n v="27"/>
    <x v="83"/>
    <x v="130"/>
    <x v="90"/>
    <n v="450"/>
    <n v="3"/>
    <n v="4894"/>
    <n v="58"/>
    <n v="0"/>
    <m/>
    <m/>
    <m/>
    <m/>
    <n v="773"/>
    <n v="8"/>
    <n v="2"/>
    <n v="2"/>
    <n v="7"/>
    <n v="1"/>
    <n v="91"/>
    <n v="14"/>
    <n v="12"/>
    <n v="4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4"/>
    <n v="11"/>
    <n v="101.5"/>
    <n v="3"/>
    <s v="madison.brennan@yclibrary.org"/>
    <x v="2"/>
    <n v="138"/>
  </r>
  <r>
    <m/>
    <x v="12"/>
    <x v="9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x v="0"/>
    <x v="0"/>
    <x v="0"/>
    <m/>
    <n v="237"/>
    <n v="13105"/>
    <m/>
    <m/>
    <m/>
    <n v="14481"/>
    <n v="121"/>
    <m/>
    <n v="7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0"/>
    <x v="0"/>
    <x v="1"/>
    <m/>
    <n v="43"/>
    <n v="2152"/>
    <n v="216"/>
    <m/>
    <n v="1"/>
    <n v="2594"/>
    <n v="67"/>
    <m/>
    <m/>
    <m/>
    <m/>
    <m/>
    <m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30"/>
    <n v="38"/>
    <n v="26.5"/>
    <m/>
    <m/>
    <x v="0"/>
    <m/>
  </r>
  <r>
    <x v="0"/>
    <x v="0"/>
    <x v="2"/>
    <m/>
    <n v="281"/>
    <n v="10005"/>
    <n v="679"/>
    <m/>
    <n v="6"/>
    <n v="18615"/>
    <n v="33"/>
    <n v="5"/>
    <m/>
    <m/>
    <m/>
    <m/>
    <m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469"/>
    <m/>
    <m/>
    <m/>
    <m/>
    <x v="0"/>
    <m/>
  </r>
  <r>
    <x v="0"/>
    <x v="0"/>
    <x v="3"/>
    <m/>
    <n v="75"/>
    <n v="3147"/>
    <n v="138"/>
    <m/>
    <n v="9"/>
    <n v="4442"/>
    <n v="12"/>
    <n v="3"/>
    <m/>
    <m/>
    <m/>
    <m/>
    <m/>
    <n v="1"/>
    <n v="2"/>
    <n v="2"/>
    <n v="10"/>
    <n v="0"/>
    <n v="8"/>
    <n v="6"/>
    <n v="4"/>
    <n v="105"/>
    <n v="0"/>
    <m/>
    <n v="0"/>
    <m/>
    <m/>
    <m/>
    <m/>
    <n v="0"/>
    <m/>
    <m/>
    <m/>
    <m/>
    <m/>
    <m/>
    <m/>
    <m/>
    <m/>
    <m/>
    <m/>
    <m/>
    <m/>
    <m/>
    <m/>
    <n v="261"/>
    <n v="1"/>
    <n v="9"/>
    <n v="2"/>
    <m/>
    <x v="0"/>
    <m/>
  </r>
  <r>
    <x v="0"/>
    <x v="0"/>
    <x v="4"/>
    <m/>
    <n v="54"/>
    <n v="3430"/>
    <n v="395"/>
    <m/>
    <n v="3"/>
    <n v="3551"/>
    <n v="99"/>
    <n v="0"/>
    <m/>
    <m/>
    <m/>
    <m/>
    <m/>
    <n v="10"/>
    <n v="2"/>
    <n v="2"/>
    <n v="9"/>
    <m/>
    <n v="146"/>
    <n v="56"/>
    <n v="15"/>
    <n v="91"/>
    <m/>
    <m/>
    <m/>
    <m/>
    <m/>
    <m/>
    <m/>
    <m/>
    <m/>
    <m/>
    <m/>
    <m/>
    <m/>
    <m/>
    <m/>
    <m/>
    <m/>
    <m/>
    <m/>
    <m/>
    <m/>
    <m/>
    <m/>
    <n v="150"/>
    <n v="4"/>
    <n v="16"/>
    <n v="3"/>
    <m/>
    <x v="0"/>
    <m/>
  </r>
  <r>
    <x v="0"/>
    <x v="0"/>
    <x v="5"/>
    <m/>
    <n v="18"/>
    <n v="625"/>
    <m/>
    <m/>
    <m/>
    <n v="1342"/>
    <n v="0"/>
    <m/>
    <m/>
    <m/>
    <m/>
    <m/>
    <m/>
    <n v="3"/>
    <m/>
    <m/>
    <m/>
    <m/>
    <n v="96"/>
    <m/>
    <m/>
    <m/>
    <m/>
    <m/>
    <m/>
    <m/>
    <m/>
    <m/>
    <m/>
    <m/>
    <m/>
    <m/>
    <m/>
    <m/>
    <m/>
    <m/>
    <m/>
    <m/>
    <m/>
    <m/>
    <m/>
    <m/>
    <m/>
    <m/>
    <m/>
    <n v="130"/>
    <n v="1"/>
    <n v="1"/>
    <m/>
    <m/>
    <x v="0"/>
    <m/>
  </r>
  <r>
    <x v="0"/>
    <x v="0"/>
    <x v="6"/>
    <m/>
    <m/>
    <m/>
    <m/>
    <n v="0"/>
    <m/>
    <m/>
    <m/>
    <m/>
    <m/>
    <m/>
    <m/>
    <m/>
    <n v="45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"/>
    <x v="1"/>
    <x v="0"/>
    <m/>
    <n v="205"/>
    <n v="13867"/>
    <m/>
    <m/>
    <m/>
    <n v="14107"/>
    <n v="1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"/>
    <x v="1"/>
    <x v="1"/>
    <m/>
    <n v="31"/>
    <n v="2241"/>
    <n v="207"/>
    <m/>
    <m/>
    <n v="2693"/>
    <n v="57"/>
    <m/>
    <m/>
    <m/>
    <m/>
    <m/>
    <m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0"/>
    <n v="35"/>
    <n v="59.5"/>
    <m/>
    <m/>
    <x v="0"/>
    <m/>
  </r>
  <r>
    <x v="1"/>
    <x v="1"/>
    <x v="2"/>
    <m/>
    <n v="223"/>
    <n v="11408"/>
    <n v="686"/>
    <m/>
    <n v="14"/>
    <n v="17829"/>
    <n v="32"/>
    <n v="6"/>
    <m/>
    <m/>
    <m/>
    <m/>
    <m/>
    <n v="23"/>
    <n v="6"/>
    <n v="7"/>
    <n v="14"/>
    <n v="4"/>
    <n v="683"/>
    <n v="66"/>
    <n v="93"/>
    <n v="116"/>
    <n v="154"/>
    <m/>
    <n v="1"/>
    <m/>
    <m/>
    <m/>
    <m/>
    <n v="400"/>
    <m/>
    <m/>
    <m/>
    <m/>
    <m/>
    <m/>
    <m/>
    <m/>
    <m/>
    <m/>
    <m/>
    <m/>
    <m/>
    <m/>
    <m/>
    <n v="365"/>
    <n v="16"/>
    <n v="120"/>
    <m/>
    <m/>
    <x v="0"/>
    <m/>
  </r>
  <r>
    <x v="1"/>
    <x v="1"/>
    <x v="3"/>
    <m/>
    <n v="61"/>
    <n v="3400"/>
    <n v="193"/>
    <m/>
    <n v="11"/>
    <n v="4250"/>
    <n v="12"/>
    <n v="3"/>
    <m/>
    <m/>
    <m/>
    <m/>
    <m/>
    <n v="5"/>
    <n v="4"/>
    <n v="2"/>
    <n v="13"/>
    <n v="0"/>
    <n v="52"/>
    <n v="47"/>
    <n v="8"/>
    <n v="118"/>
    <n v="0"/>
    <m/>
    <n v="0"/>
    <m/>
    <m/>
    <m/>
    <m/>
    <n v="0"/>
    <m/>
    <m/>
    <m/>
    <m/>
    <m/>
    <m/>
    <m/>
    <m/>
    <m/>
    <m/>
    <m/>
    <m/>
    <m/>
    <m/>
    <m/>
    <n v="432"/>
    <n v="1"/>
    <n v="86"/>
    <n v="5"/>
    <m/>
    <x v="0"/>
    <m/>
  </r>
  <r>
    <x v="1"/>
    <x v="1"/>
    <x v="4"/>
    <m/>
    <n v="59"/>
    <n v="3286"/>
    <n v="409"/>
    <m/>
    <n v="5"/>
    <n v="3430"/>
    <n v="81"/>
    <n v="0"/>
    <m/>
    <m/>
    <m/>
    <m/>
    <m/>
    <n v="7"/>
    <n v="3"/>
    <n v="1"/>
    <n v="8"/>
    <n v="1"/>
    <n v="73"/>
    <n v="68"/>
    <n v="5"/>
    <n v="67"/>
    <n v="20"/>
    <m/>
    <n v="1"/>
    <m/>
    <m/>
    <m/>
    <m/>
    <n v="57"/>
    <m/>
    <m/>
    <m/>
    <m/>
    <m/>
    <m/>
    <m/>
    <m/>
    <m/>
    <m/>
    <m/>
    <m/>
    <m/>
    <m/>
    <m/>
    <n v="48"/>
    <n v="18"/>
    <n v="86.5"/>
    <n v="2"/>
    <m/>
    <x v="0"/>
    <m/>
  </r>
  <r>
    <x v="1"/>
    <x v="1"/>
    <x v="5"/>
    <m/>
    <n v="36"/>
    <n v="1153"/>
    <m/>
    <m/>
    <m/>
    <n v="1764"/>
    <n v="3"/>
    <m/>
    <m/>
    <m/>
    <m/>
    <m/>
    <m/>
    <n v="4"/>
    <m/>
    <m/>
    <m/>
    <m/>
    <n v="104"/>
    <m/>
    <m/>
    <m/>
    <m/>
    <m/>
    <m/>
    <m/>
    <m/>
    <m/>
    <m/>
    <m/>
    <m/>
    <m/>
    <m/>
    <m/>
    <m/>
    <m/>
    <m/>
    <m/>
    <m/>
    <m/>
    <m/>
    <m/>
    <m/>
    <m/>
    <m/>
    <m/>
    <n v="1"/>
    <n v="1.5"/>
    <m/>
    <m/>
    <x v="0"/>
    <m/>
  </r>
  <r>
    <x v="1"/>
    <x v="1"/>
    <x v="6"/>
    <m/>
    <m/>
    <m/>
    <m/>
    <n v="0"/>
    <m/>
    <m/>
    <m/>
    <n v="21"/>
    <m/>
    <m/>
    <m/>
    <m/>
    <n v="54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2"/>
    <x v="2"/>
    <x v="0"/>
    <m/>
    <n v="217"/>
    <n v="15534"/>
    <n v="2125"/>
    <m/>
    <n v="6"/>
    <n v="17206"/>
    <n v="141"/>
    <m/>
    <n v="6"/>
    <n v="131"/>
    <m/>
    <m/>
    <m/>
    <n v="31"/>
    <n v="5"/>
    <n v="13"/>
    <n v="27"/>
    <n v="6"/>
    <n v="1188"/>
    <n v="116"/>
    <n v="155"/>
    <n v="277"/>
    <n v="106"/>
    <m/>
    <n v="7"/>
    <m/>
    <m/>
    <m/>
    <m/>
    <n v="111"/>
    <m/>
    <m/>
    <m/>
    <m/>
    <m/>
    <m/>
    <m/>
    <m/>
    <m/>
    <m/>
    <m/>
    <m/>
    <m/>
    <m/>
    <m/>
    <n v="30"/>
    <n v="42"/>
    <n v="40.5"/>
    <n v="10"/>
    <m/>
    <x v="0"/>
    <m/>
  </r>
  <r>
    <x v="2"/>
    <x v="2"/>
    <x v="1"/>
    <m/>
    <n v="39"/>
    <n v="2402"/>
    <n v="208"/>
    <m/>
    <n v="0"/>
    <n v="2858"/>
    <n v="62"/>
    <m/>
    <m/>
    <m/>
    <m/>
    <m/>
    <m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0"/>
    <n v="19"/>
    <n v="20"/>
    <n v="0"/>
    <m/>
    <x v="0"/>
    <m/>
  </r>
  <r>
    <x v="2"/>
    <x v="2"/>
    <x v="2"/>
    <m/>
    <n v="201"/>
    <n v="12508"/>
    <n v="810"/>
    <m/>
    <n v="14"/>
    <n v="19038"/>
    <n v="23"/>
    <n v="5"/>
    <m/>
    <m/>
    <m/>
    <m/>
    <m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320"/>
    <n v="5"/>
    <n v="5"/>
    <m/>
    <m/>
    <x v="0"/>
    <m/>
  </r>
  <r>
    <x v="2"/>
    <x v="2"/>
    <x v="3"/>
    <m/>
    <n v="67"/>
    <n v="3808"/>
    <n v="218"/>
    <m/>
    <n v="12"/>
    <n v="4857"/>
    <n v="8"/>
    <n v="2"/>
    <m/>
    <m/>
    <m/>
    <m/>
    <m/>
    <n v="4"/>
    <n v="2"/>
    <n v="2"/>
    <n v="13"/>
    <n v="2"/>
    <n v="39"/>
    <n v="7"/>
    <n v="19"/>
    <n v="122"/>
    <n v="16"/>
    <m/>
    <n v="0"/>
    <m/>
    <m/>
    <m/>
    <m/>
    <n v="0"/>
    <m/>
    <m/>
    <m/>
    <m/>
    <m/>
    <m/>
    <m/>
    <m/>
    <m/>
    <m/>
    <m/>
    <m/>
    <m/>
    <m/>
    <m/>
    <n v="365"/>
    <n v="1"/>
    <n v="53"/>
    <n v="9"/>
    <m/>
    <x v="0"/>
    <m/>
  </r>
  <r>
    <x v="2"/>
    <x v="2"/>
    <x v="4"/>
    <m/>
    <n v="49"/>
    <n v="3798"/>
    <n v="458"/>
    <m/>
    <n v="4"/>
    <n v="3862"/>
    <n v="91"/>
    <n v="0"/>
    <m/>
    <m/>
    <m/>
    <m/>
    <m/>
    <n v="14"/>
    <n v="1"/>
    <n v="1"/>
    <n v="8"/>
    <m/>
    <n v="162"/>
    <n v="4"/>
    <n v="4"/>
    <n v="61"/>
    <m/>
    <m/>
    <n v="1"/>
    <m/>
    <m/>
    <m/>
    <m/>
    <n v="20"/>
    <m/>
    <m/>
    <m/>
    <m/>
    <m/>
    <m/>
    <m/>
    <m/>
    <m/>
    <m/>
    <m/>
    <m/>
    <m/>
    <m/>
    <m/>
    <n v="45"/>
    <n v="11"/>
    <n v="66"/>
    <n v="0"/>
    <m/>
    <x v="0"/>
    <m/>
  </r>
  <r>
    <x v="2"/>
    <x v="2"/>
    <x v="5"/>
    <m/>
    <n v="33"/>
    <n v="507"/>
    <m/>
    <m/>
    <m/>
    <n v="1184"/>
    <n v="1"/>
    <m/>
    <m/>
    <m/>
    <m/>
    <m/>
    <m/>
    <n v="4"/>
    <m/>
    <m/>
    <m/>
    <m/>
    <n v="123"/>
    <m/>
    <m/>
    <m/>
    <m/>
    <m/>
    <m/>
    <m/>
    <m/>
    <m/>
    <m/>
    <m/>
    <m/>
    <m/>
    <m/>
    <m/>
    <m/>
    <m/>
    <m/>
    <m/>
    <m/>
    <m/>
    <m/>
    <m/>
    <m/>
    <m/>
    <m/>
    <n v="489"/>
    <n v="2"/>
    <n v="2"/>
    <n v="3"/>
    <m/>
    <x v="0"/>
    <m/>
  </r>
  <r>
    <x v="2"/>
    <x v="2"/>
    <x v="6"/>
    <m/>
    <m/>
    <m/>
    <m/>
    <n v="0"/>
    <m/>
    <m/>
    <m/>
    <m/>
    <m/>
    <m/>
    <m/>
    <m/>
    <n v="64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x v="3"/>
    <x v="0"/>
    <m/>
    <n v="204"/>
    <n v="15313"/>
    <n v="2034"/>
    <m/>
    <n v="4"/>
    <n v="15145"/>
    <n v="132"/>
    <n v="27"/>
    <n v="6"/>
    <n v="116"/>
    <m/>
    <m/>
    <m/>
    <n v="22"/>
    <n v="6"/>
    <n v="15"/>
    <n v="29"/>
    <n v="6"/>
    <n v="890"/>
    <n v="277"/>
    <n v="162"/>
    <n v="292"/>
    <n v="156"/>
    <m/>
    <n v="6"/>
    <m/>
    <m/>
    <m/>
    <m/>
    <n v="60"/>
    <m/>
    <m/>
    <m/>
    <m/>
    <m/>
    <m/>
    <m/>
    <m/>
    <m/>
    <m/>
    <m/>
    <m/>
    <m/>
    <m/>
    <m/>
    <n v="50"/>
    <n v="14"/>
    <n v="21.5"/>
    <n v="8"/>
    <m/>
    <x v="0"/>
    <m/>
  </r>
  <r>
    <x v="3"/>
    <x v="3"/>
    <x v="1"/>
    <m/>
    <n v="85"/>
    <n v="2761"/>
    <n v="214"/>
    <m/>
    <n v="1"/>
    <n v="3132"/>
    <n v="63"/>
    <n v="0"/>
    <m/>
    <m/>
    <m/>
    <m/>
    <m/>
    <n v="8"/>
    <n v="2"/>
    <n v="2"/>
    <n v="1"/>
    <n v="3"/>
    <n v="85"/>
    <n v="21"/>
    <n v="6"/>
    <n v="4"/>
    <n v="30"/>
    <m/>
    <n v="0"/>
    <m/>
    <m/>
    <m/>
    <m/>
    <n v="0"/>
    <m/>
    <m/>
    <m/>
    <m/>
    <m/>
    <m/>
    <m/>
    <m/>
    <m/>
    <m/>
    <m/>
    <m/>
    <m/>
    <m/>
    <m/>
    <n v="20"/>
    <n v="4"/>
    <n v="25"/>
    <n v="0"/>
    <m/>
    <x v="0"/>
    <m/>
  </r>
  <r>
    <x v="3"/>
    <x v="3"/>
    <x v="2"/>
    <m/>
    <n v="215"/>
    <n v="11737"/>
    <n v="781"/>
    <m/>
    <n v="6"/>
    <n v="19642"/>
    <n v="26"/>
    <n v="5"/>
    <m/>
    <m/>
    <m/>
    <m/>
    <m/>
    <n v="21"/>
    <n v="9"/>
    <n v="7"/>
    <n v="11"/>
    <n v="6"/>
    <n v="754"/>
    <n v="778"/>
    <n v="65"/>
    <n v="94"/>
    <n v="265"/>
    <m/>
    <n v="3"/>
    <m/>
    <m/>
    <m/>
    <m/>
    <n v="800"/>
    <m/>
    <m/>
    <m/>
    <m/>
    <m/>
    <m/>
    <m/>
    <m/>
    <m/>
    <m/>
    <m/>
    <m/>
    <m/>
    <m/>
    <m/>
    <n v="402"/>
    <n v="2"/>
    <n v="2"/>
    <m/>
    <m/>
    <x v="0"/>
    <m/>
  </r>
  <r>
    <x v="3"/>
    <x v="3"/>
    <x v="3"/>
    <m/>
    <n v="63"/>
    <n v="3866"/>
    <n v="188"/>
    <m/>
    <n v="10"/>
    <n v="4663"/>
    <n v="11"/>
    <n v="2"/>
    <m/>
    <m/>
    <m/>
    <m/>
    <m/>
    <n v="4"/>
    <n v="4"/>
    <n v="2"/>
    <n v="12"/>
    <n v="2"/>
    <n v="40"/>
    <n v="20"/>
    <n v="9"/>
    <n v="100"/>
    <n v="11"/>
    <m/>
    <n v="0"/>
    <m/>
    <m/>
    <m/>
    <m/>
    <n v="0"/>
    <m/>
    <m/>
    <m/>
    <m/>
    <m/>
    <m/>
    <m/>
    <m/>
    <m/>
    <m/>
    <m/>
    <m/>
    <m/>
    <m/>
    <m/>
    <n v="372"/>
    <n v="1"/>
    <n v="24.5"/>
    <n v="5"/>
    <m/>
    <x v="0"/>
    <m/>
  </r>
  <r>
    <x v="3"/>
    <x v="3"/>
    <x v="4"/>
    <m/>
    <n v="50"/>
    <n v="3598"/>
    <n v="377"/>
    <m/>
    <n v="2"/>
    <n v="3804"/>
    <n v="103"/>
    <n v="0"/>
    <m/>
    <m/>
    <m/>
    <m/>
    <m/>
    <n v="12"/>
    <n v="3"/>
    <n v="1"/>
    <n v="7"/>
    <m/>
    <n v="206"/>
    <n v="66"/>
    <n v="4"/>
    <n v="61"/>
    <m/>
    <m/>
    <n v="1"/>
    <m/>
    <m/>
    <m/>
    <m/>
    <n v="150"/>
    <m/>
    <m/>
    <m/>
    <m/>
    <m/>
    <m/>
    <m/>
    <m/>
    <m/>
    <m/>
    <m/>
    <m/>
    <m/>
    <m/>
    <m/>
    <n v="5"/>
    <n v="4"/>
    <n v="28"/>
    <n v="0"/>
    <m/>
    <x v="0"/>
    <m/>
  </r>
  <r>
    <x v="3"/>
    <x v="3"/>
    <x v="5"/>
    <m/>
    <n v="8"/>
    <n v="905"/>
    <m/>
    <m/>
    <m/>
    <n v="1647"/>
    <n v="3"/>
    <m/>
    <m/>
    <m/>
    <m/>
    <m/>
    <m/>
    <n v="1"/>
    <m/>
    <m/>
    <n v="2"/>
    <m/>
    <n v="25"/>
    <m/>
    <m/>
    <n v="16"/>
    <m/>
    <m/>
    <m/>
    <m/>
    <m/>
    <m/>
    <m/>
    <m/>
    <m/>
    <m/>
    <m/>
    <m/>
    <m/>
    <m/>
    <m/>
    <m/>
    <m/>
    <m/>
    <m/>
    <m/>
    <m/>
    <m/>
    <m/>
    <n v="385"/>
    <n v="2"/>
    <n v="8"/>
    <m/>
    <m/>
    <x v="0"/>
    <m/>
  </r>
  <r>
    <x v="3"/>
    <x v="3"/>
    <x v="6"/>
    <m/>
    <m/>
    <m/>
    <m/>
    <n v="0"/>
    <m/>
    <m/>
    <m/>
    <m/>
    <m/>
    <m/>
    <m/>
    <m/>
    <n v="53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x v="4"/>
    <x v="0"/>
    <m/>
    <n v="209"/>
    <n v="17040"/>
    <n v="1972"/>
    <m/>
    <n v="12"/>
    <n v="19243"/>
    <n v="139"/>
    <n v="38"/>
    <n v="4"/>
    <n v="122"/>
    <m/>
    <m/>
    <m/>
    <n v="15"/>
    <n v="6"/>
    <n v="10"/>
    <n v="22"/>
    <n v="8"/>
    <n v="636"/>
    <n v="140"/>
    <n v="59"/>
    <n v="245"/>
    <n v="1644"/>
    <m/>
    <n v="5"/>
    <m/>
    <m/>
    <m/>
    <m/>
    <n v="21"/>
    <m/>
    <m/>
    <m/>
    <m/>
    <m/>
    <m/>
    <m/>
    <m/>
    <m/>
    <m/>
    <m/>
    <m/>
    <m/>
    <m/>
    <m/>
    <n v="0"/>
    <n v="15"/>
    <n v="14.5"/>
    <n v="7"/>
    <m/>
    <x v="0"/>
    <m/>
  </r>
  <r>
    <x v="4"/>
    <x v="4"/>
    <x v="1"/>
    <m/>
    <n v="32"/>
    <n v="2618"/>
    <n v="229"/>
    <m/>
    <n v="1"/>
    <n v="3426"/>
    <n v="60"/>
    <n v="0"/>
    <m/>
    <m/>
    <m/>
    <m/>
    <m/>
    <n v="10"/>
    <n v="2"/>
    <n v="3"/>
    <n v="3"/>
    <n v="0"/>
    <n v="155"/>
    <n v="12"/>
    <n v="17"/>
    <n v="28"/>
    <n v="0"/>
    <m/>
    <n v="0"/>
    <m/>
    <m/>
    <m/>
    <m/>
    <n v="0"/>
    <m/>
    <m/>
    <m/>
    <m/>
    <m/>
    <m/>
    <m/>
    <m/>
    <m/>
    <m/>
    <m/>
    <m/>
    <m/>
    <m/>
    <m/>
    <n v="0"/>
    <n v="1"/>
    <n v="25"/>
    <n v="0"/>
    <m/>
    <x v="0"/>
    <m/>
  </r>
  <r>
    <x v="4"/>
    <x v="4"/>
    <x v="2"/>
    <m/>
    <n v="228"/>
    <n v="12340"/>
    <n v="747"/>
    <m/>
    <n v="4"/>
    <n v="20990"/>
    <n v="28"/>
    <n v="5"/>
    <m/>
    <m/>
    <m/>
    <m/>
    <m/>
    <n v="21"/>
    <n v="5"/>
    <n v="5"/>
    <n v="10"/>
    <n v="5"/>
    <n v="714"/>
    <n v="70"/>
    <n v="84"/>
    <n v="96"/>
    <n v="894"/>
    <m/>
    <n v="1"/>
    <m/>
    <m/>
    <m/>
    <m/>
    <n v="770"/>
    <m/>
    <m/>
    <m/>
    <m/>
    <m/>
    <m/>
    <m/>
    <m/>
    <m/>
    <m/>
    <m/>
    <m/>
    <m/>
    <m/>
    <m/>
    <n v="504"/>
    <n v="2"/>
    <n v="2"/>
    <m/>
    <m/>
    <x v="0"/>
    <m/>
  </r>
  <r>
    <x v="4"/>
    <x v="4"/>
    <x v="3"/>
    <m/>
    <n v="55"/>
    <n v="3939"/>
    <n v="163"/>
    <m/>
    <n v="4"/>
    <n v="5447"/>
    <n v="9"/>
    <n v="2"/>
    <m/>
    <m/>
    <m/>
    <m/>
    <m/>
    <n v="4"/>
    <n v="5"/>
    <n v="2"/>
    <n v="9"/>
    <n v="3"/>
    <n v="50"/>
    <n v="51"/>
    <n v="11"/>
    <n v="91"/>
    <n v="3"/>
    <m/>
    <n v="0"/>
    <m/>
    <m/>
    <m/>
    <m/>
    <n v="0"/>
    <m/>
    <m/>
    <m/>
    <m/>
    <m/>
    <m/>
    <m/>
    <m/>
    <m/>
    <m/>
    <m/>
    <m/>
    <m/>
    <m/>
    <m/>
    <n v="411"/>
    <n v="1"/>
    <n v="9"/>
    <n v="1"/>
    <m/>
    <x v="0"/>
    <m/>
  </r>
  <r>
    <x v="4"/>
    <x v="4"/>
    <x v="4"/>
    <m/>
    <n v="72"/>
    <n v="3958"/>
    <n v="451"/>
    <m/>
    <n v="2"/>
    <n v="4424"/>
    <n v="98"/>
    <n v="0"/>
    <m/>
    <m/>
    <m/>
    <m/>
    <m/>
    <n v="10"/>
    <n v="3"/>
    <n v="7"/>
    <n v="9"/>
    <n v="1"/>
    <n v="135"/>
    <n v="72"/>
    <n v="7"/>
    <n v="69"/>
    <n v="112"/>
    <m/>
    <m/>
    <m/>
    <m/>
    <m/>
    <m/>
    <m/>
    <m/>
    <m/>
    <m/>
    <m/>
    <m/>
    <m/>
    <m/>
    <m/>
    <m/>
    <m/>
    <m/>
    <m/>
    <m/>
    <m/>
    <m/>
    <n v="0"/>
    <n v="3"/>
    <n v="9"/>
    <n v="0"/>
    <m/>
    <x v="0"/>
    <m/>
  </r>
  <r>
    <x v="4"/>
    <x v="4"/>
    <x v="5"/>
    <m/>
    <n v="12"/>
    <n v="571"/>
    <m/>
    <m/>
    <m/>
    <n v="1324"/>
    <n v="1"/>
    <m/>
    <m/>
    <m/>
    <m/>
    <m/>
    <m/>
    <n v="1"/>
    <m/>
    <m/>
    <m/>
    <m/>
    <n v="8"/>
    <m/>
    <m/>
    <m/>
    <m/>
    <m/>
    <m/>
    <m/>
    <m/>
    <m/>
    <m/>
    <m/>
    <m/>
    <m/>
    <m/>
    <m/>
    <m/>
    <m/>
    <m/>
    <m/>
    <m/>
    <m/>
    <m/>
    <m/>
    <m/>
    <m/>
    <m/>
    <n v="133"/>
    <m/>
    <m/>
    <m/>
    <m/>
    <x v="0"/>
    <m/>
  </r>
  <r>
    <x v="4"/>
    <x v="4"/>
    <x v="6"/>
    <m/>
    <m/>
    <m/>
    <m/>
    <n v="0"/>
    <m/>
    <m/>
    <m/>
    <m/>
    <m/>
    <m/>
    <m/>
    <m/>
    <n v="65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x v="5"/>
    <x v="0"/>
    <m/>
    <n v="325"/>
    <n v="17538"/>
    <n v="1922"/>
    <n v="3497"/>
    <n v="3"/>
    <n v="21648"/>
    <n v="122"/>
    <m/>
    <n v="122"/>
    <n v="4"/>
    <n v="2857"/>
    <n v="6142"/>
    <m/>
    <n v="11"/>
    <n v="4"/>
    <n v="18"/>
    <n v="19"/>
    <n v="16"/>
    <n v="456"/>
    <n v="88"/>
    <n v="237"/>
    <n v="164"/>
    <n v="1609"/>
    <m/>
    <m/>
    <m/>
    <m/>
    <m/>
    <m/>
    <m/>
    <m/>
    <m/>
    <m/>
    <m/>
    <m/>
    <m/>
    <m/>
    <m/>
    <m/>
    <m/>
    <m/>
    <m/>
    <m/>
    <m/>
    <m/>
    <m/>
    <n v="15"/>
    <n v="14"/>
    <n v="18"/>
    <m/>
    <x v="0"/>
    <n v="159"/>
  </r>
  <r>
    <x v="5"/>
    <x v="5"/>
    <x v="1"/>
    <m/>
    <n v="50"/>
    <n v="3142"/>
    <n v="323"/>
    <n v="505"/>
    <n v="1"/>
    <n v="4678"/>
    <n v="57"/>
    <m/>
    <m/>
    <m/>
    <n v="992"/>
    <n v="1832"/>
    <m/>
    <n v="11"/>
    <n v="3"/>
    <n v="2"/>
    <n v="6"/>
    <n v="7"/>
    <n v="175"/>
    <n v="47"/>
    <n v="17"/>
    <n v="46"/>
    <n v="260"/>
    <m/>
    <m/>
    <m/>
    <m/>
    <m/>
    <m/>
    <m/>
    <m/>
    <m/>
    <m/>
    <m/>
    <m/>
    <m/>
    <m/>
    <m/>
    <m/>
    <m/>
    <m/>
    <m/>
    <m/>
    <m/>
    <m/>
    <m/>
    <n v="28"/>
    <n v="31"/>
    <n v="0"/>
    <m/>
    <x v="0"/>
    <n v="43"/>
  </r>
  <r>
    <x v="5"/>
    <x v="5"/>
    <x v="2"/>
    <m/>
    <n v="329"/>
    <n v="12647"/>
    <n v="913"/>
    <n v="1944"/>
    <n v="0"/>
    <n v="23998"/>
    <n v="28"/>
    <m/>
    <m/>
    <m/>
    <n v="1523"/>
    <n v="6441"/>
    <m/>
    <n v="22"/>
    <n v="4"/>
    <n v="7"/>
    <n v="8"/>
    <n v="17"/>
    <n v="684"/>
    <n v="113"/>
    <n v="71"/>
    <n v="76"/>
    <n v="998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  <n v="241"/>
  </r>
  <r>
    <x v="5"/>
    <x v="5"/>
    <x v="3"/>
    <m/>
    <n v="91"/>
    <n v="4927"/>
    <n v="202"/>
    <n v="665"/>
    <n v="6"/>
    <n v="6109"/>
    <n v="18"/>
    <m/>
    <m/>
    <m/>
    <n v="1337"/>
    <n v="2787"/>
    <m/>
    <n v="6"/>
    <n v="3"/>
    <n v="3"/>
    <n v="9"/>
    <n v="1"/>
    <n v="138"/>
    <n v="32"/>
    <n v="31"/>
    <n v="71"/>
    <n v="72"/>
    <m/>
    <m/>
    <m/>
    <m/>
    <m/>
    <m/>
    <m/>
    <m/>
    <m/>
    <m/>
    <m/>
    <m/>
    <m/>
    <m/>
    <m/>
    <m/>
    <m/>
    <m/>
    <m/>
    <m/>
    <m/>
    <m/>
    <m/>
    <n v="1"/>
    <n v="20"/>
    <n v="5"/>
    <m/>
    <x v="0"/>
    <n v="128"/>
  </r>
  <r>
    <x v="5"/>
    <x v="5"/>
    <x v="4"/>
    <m/>
    <n v="91"/>
    <n v="4363"/>
    <n v="482"/>
    <n v="877"/>
    <n v="2"/>
    <n v="5010"/>
    <n v="95"/>
    <m/>
    <m/>
    <m/>
    <n v="1349"/>
    <n v="2303"/>
    <m/>
    <n v="11"/>
    <n v="8"/>
    <n v="1"/>
    <n v="6"/>
    <n v="0"/>
    <n v="204"/>
    <n v="452"/>
    <n v="7"/>
    <n v="40"/>
    <n v="0"/>
    <m/>
    <m/>
    <m/>
    <m/>
    <m/>
    <m/>
    <m/>
    <m/>
    <m/>
    <m/>
    <m/>
    <m/>
    <m/>
    <m/>
    <m/>
    <m/>
    <m/>
    <m/>
    <m/>
    <m/>
    <m/>
    <m/>
    <m/>
    <n v="6"/>
    <n v="12"/>
    <n v="3"/>
    <m/>
    <x v="0"/>
    <n v="59"/>
  </r>
  <r>
    <x v="5"/>
    <x v="5"/>
    <x v="7"/>
    <m/>
    <n v="36"/>
    <n v="756"/>
    <m/>
    <m/>
    <m/>
    <n v="1498"/>
    <n v="4"/>
    <m/>
    <m/>
    <m/>
    <n v="19"/>
    <n v="397"/>
    <m/>
    <n v="1"/>
    <n v="0"/>
    <n v="0"/>
    <n v="0"/>
    <n v="0"/>
    <n v="10"/>
    <n v="0"/>
    <n v="0"/>
    <n v="0"/>
    <n v="0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  <m/>
  </r>
  <r>
    <x v="6"/>
    <x v="6"/>
    <x v="0"/>
    <m/>
    <n v="241"/>
    <n v="19042"/>
    <n v="2069"/>
    <m/>
    <n v="2"/>
    <n v="20255"/>
    <n v="150"/>
    <n v="40"/>
    <n v="11"/>
    <n v="136"/>
    <m/>
    <m/>
    <m/>
    <n v="11"/>
    <n v="5"/>
    <n v="25"/>
    <n v="20"/>
    <n v="13"/>
    <n v="652"/>
    <n v="153"/>
    <n v="315"/>
    <n v="165"/>
    <n v="1092"/>
    <m/>
    <n v="2"/>
    <m/>
    <m/>
    <m/>
    <m/>
    <n v="71"/>
    <m/>
    <m/>
    <m/>
    <m/>
    <m/>
    <m/>
    <m/>
    <m/>
    <m/>
    <m/>
    <m/>
    <m/>
    <m/>
    <m/>
    <m/>
    <n v="674"/>
    <n v="9"/>
    <n v="53"/>
    <n v="7"/>
    <m/>
    <x v="0"/>
    <m/>
  </r>
  <r>
    <x v="6"/>
    <x v="6"/>
    <x v="1"/>
    <m/>
    <n v="33"/>
    <n v="3101"/>
    <n v="320"/>
    <m/>
    <m/>
    <n v="4061"/>
    <n v="65"/>
    <n v="0"/>
    <m/>
    <m/>
    <m/>
    <m/>
    <m/>
    <n v="14"/>
    <n v="3"/>
    <n v="5"/>
    <n v="6"/>
    <n v="6"/>
    <n v="177"/>
    <n v="17"/>
    <n v="30"/>
    <n v="53"/>
    <n v="106"/>
    <m/>
    <m/>
    <m/>
    <m/>
    <m/>
    <m/>
    <m/>
    <m/>
    <m/>
    <m/>
    <m/>
    <m/>
    <m/>
    <m/>
    <m/>
    <m/>
    <m/>
    <m/>
    <m/>
    <m/>
    <m/>
    <m/>
    <n v="108"/>
    <n v="17"/>
    <n v="20.5"/>
    <m/>
    <m/>
    <x v="0"/>
    <m/>
  </r>
  <r>
    <x v="6"/>
    <x v="6"/>
    <x v="2"/>
    <m/>
    <n v="332"/>
    <n v="13217"/>
    <n v="935"/>
    <m/>
    <n v="2"/>
    <n v="25017"/>
    <n v="30"/>
    <n v="5"/>
    <m/>
    <m/>
    <m/>
    <m/>
    <m/>
    <n v="24"/>
    <n v="5"/>
    <n v="7"/>
    <n v="8"/>
    <n v="15"/>
    <n v="737"/>
    <n v="95"/>
    <n v="86"/>
    <n v="75"/>
    <n v="741"/>
    <m/>
    <n v="1"/>
    <m/>
    <m/>
    <m/>
    <m/>
    <n v="12"/>
    <m/>
    <m/>
    <m/>
    <m/>
    <m/>
    <m/>
    <m/>
    <m/>
    <m/>
    <m/>
    <m/>
    <m/>
    <m/>
    <m/>
    <m/>
    <n v="491"/>
    <n v="1"/>
    <n v="1"/>
    <m/>
    <m/>
    <x v="0"/>
    <m/>
  </r>
  <r>
    <x v="6"/>
    <x v="6"/>
    <x v="3"/>
    <m/>
    <n v="75"/>
    <n v="4727"/>
    <m/>
    <m/>
    <m/>
    <n v="6425"/>
    <n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6"/>
    <x v="6"/>
    <x v="4"/>
    <m/>
    <n v="72"/>
    <n v="4740"/>
    <n v="538"/>
    <m/>
    <n v="2"/>
    <n v="4886"/>
    <n v="118"/>
    <n v="0"/>
    <m/>
    <m/>
    <m/>
    <m/>
    <m/>
    <n v="9"/>
    <n v="10"/>
    <n v="3"/>
    <n v="7"/>
    <n v="0"/>
    <n v="143"/>
    <n v="292"/>
    <n v="32"/>
    <n v="114"/>
    <n v="0"/>
    <m/>
    <n v="0"/>
    <m/>
    <m/>
    <m/>
    <m/>
    <n v="0"/>
    <m/>
    <m/>
    <m/>
    <m/>
    <m/>
    <m/>
    <m/>
    <m/>
    <m/>
    <m/>
    <m/>
    <m/>
    <m/>
    <m/>
    <m/>
    <n v="35"/>
    <n v="6"/>
    <n v="108"/>
    <n v="0"/>
    <m/>
    <x v="0"/>
    <m/>
  </r>
  <r>
    <x v="6"/>
    <x v="6"/>
    <x v="7"/>
    <m/>
    <n v="24"/>
    <n v="815"/>
    <m/>
    <m/>
    <m/>
    <n v="168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6"/>
    <x v="6"/>
    <x v="6"/>
    <m/>
    <m/>
    <m/>
    <m/>
    <n v="0"/>
    <m/>
    <m/>
    <m/>
    <m/>
    <m/>
    <m/>
    <m/>
    <m/>
    <n v="48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7"/>
    <x v="7"/>
    <x v="0"/>
    <m/>
    <n v="248"/>
    <n v="14835"/>
    <n v="1918"/>
    <m/>
    <m/>
    <n v="15733"/>
    <n v="146"/>
    <n v="20"/>
    <n v="5"/>
    <n v="116"/>
    <m/>
    <m/>
    <m/>
    <m/>
    <m/>
    <n v="5"/>
    <n v="16"/>
    <n v="1"/>
    <m/>
    <m/>
    <n v="46"/>
    <n v="135"/>
    <n v="34"/>
    <m/>
    <m/>
    <m/>
    <m/>
    <m/>
    <m/>
    <m/>
    <m/>
    <m/>
    <m/>
    <m/>
    <m/>
    <m/>
    <m/>
    <m/>
    <m/>
    <m/>
    <m/>
    <m/>
    <m/>
    <m/>
    <m/>
    <n v="244"/>
    <n v="50"/>
    <n v="375"/>
    <n v="21"/>
    <m/>
    <x v="0"/>
    <m/>
  </r>
  <r>
    <x v="7"/>
    <x v="7"/>
    <x v="1"/>
    <m/>
    <n v="51"/>
    <n v="2957"/>
    <n v="353"/>
    <m/>
    <n v="1"/>
    <n v="3440"/>
    <n v="54"/>
    <n v="0"/>
    <m/>
    <m/>
    <m/>
    <m/>
    <m/>
    <n v="1"/>
    <m/>
    <m/>
    <n v="4"/>
    <n v="1"/>
    <n v="16"/>
    <m/>
    <m/>
    <n v="20"/>
    <n v="5"/>
    <m/>
    <m/>
    <m/>
    <m/>
    <m/>
    <m/>
    <m/>
    <m/>
    <m/>
    <m/>
    <m/>
    <m/>
    <m/>
    <m/>
    <m/>
    <m/>
    <m/>
    <m/>
    <m/>
    <m/>
    <m/>
    <m/>
    <n v="100"/>
    <n v="26"/>
    <n v="76.5"/>
    <m/>
    <m/>
    <x v="0"/>
    <m/>
  </r>
  <r>
    <x v="7"/>
    <x v="7"/>
    <x v="2"/>
    <m/>
    <n v="191"/>
    <n v="9858"/>
    <n v="765"/>
    <m/>
    <n v="3"/>
    <n v="20930"/>
    <n v="30"/>
    <n v="5"/>
    <m/>
    <m/>
    <m/>
    <m/>
    <m/>
    <m/>
    <n v="1"/>
    <m/>
    <n v="6"/>
    <n v="1"/>
    <m/>
    <n v="15"/>
    <m/>
    <n v="50"/>
    <n v="52"/>
    <m/>
    <m/>
    <m/>
    <m/>
    <m/>
    <m/>
    <m/>
    <m/>
    <m/>
    <m/>
    <m/>
    <m/>
    <m/>
    <m/>
    <m/>
    <m/>
    <m/>
    <m/>
    <m/>
    <m/>
    <m/>
    <m/>
    <n v="242"/>
    <n v="17"/>
    <n v="133"/>
    <m/>
    <m/>
    <x v="0"/>
    <m/>
  </r>
  <r>
    <x v="7"/>
    <x v="7"/>
    <x v="3"/>
    <m/>
    <n v="60"/>
    <n v="3610"/>
    <n v="196"/>
    <m/>
    <n v="10"/>
    <n v="5285"/>
    <n v="16"/>
    <n v="0"/>
    <m/>
    <m/>
    <m/>
    <m/>
    <m/>
    <n v="1"/>
    <n v="0"/>
    <n v="0"/>
    <n v="10"/>
    <n v="4"/>
    <n v="7"/>
    <n v="0"/>
    <n v="0"/>
    <n v="82"/>
    <n v="27"/>
    <m/>
    <n v="0"/>
    <m/>
    <m/>
    <m/>
    <m/>
    <n v="0"/>
    <m/>
    <m/>
    <m/>
    <m/>
    <m/>
    <m/>
    <m/>
    <m/>
    <m/>
    <m/>
    <m/>
    <m/>
    <m/>
    <m/>
    <m/>
    <n v="249"/>
    <n v="11"/>
    <n v="81.5"/>
    <n v="3"/>
    <m/>
    <x v="0"/>
    <m/>
  </r>
  <r>
    <x v="7"/>
    <x v="7"/>
    <x v="4"/>
    <m/>
    <n v="130"/>
    <n v="3663"/>
    <n v="516"/>
    <m/>
    <n v="3"/>
    <n v="4017"/>
    <n v="100"/>
    <n v="0"/>
    <m/>
    <m/>
    <m/>
    <m/>
    <m/>
    <m/>
    <m/>
    <m/>
    <n v="2"/>
    <m/>
    <m/>
    <m/>
    <m/>
    <n v="15"/>
    <m/>
    <m/>
    <n v="1"/>
    <m/>
    <m/>
    <m/>
    <m/>
    <n v="40"/>
    <m/>
    <m/>
    <m/>
    <m/>
    <m/>
    <m/>
    <m/>
    <m/>
    <m/>
    <m/>
    <m/>
    <m/>
    <m/>
    <m/>
    <m/>
    <n v="0"/>
    <n v="6"/>
    <n v="30"/>
    <n v="0"/>
    <m/>
    <x v="0"/>
    <m/>
  </r>
  <r>
    <x v="7"/>
    <x v="7"/>
    <x v="5"/>
    <m/>
    <n v="34"/>
    <n v="732"/>
    <m/>
    <m/>
    <m/>
    <n v="1322"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3"/>
    <m/>
    <m/>
    <n v="6"/>
    <m/>
    <x v="0"/>
    <m/>
  </r>
  <r>
    <x v="7"/>
    <x v="7"/>
    <x v="6"/>
    <m/>
    <m/>
    <m/>
    <m/>
    <m/>
    <m/>
    <m/>
    <m/>
    <m/>
    <m/>
    <m/>
    <m/>
    <m/>
    <n v="57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8"/>
    <x v="8"/>
    <x v="0"/>
    <m/>
    <n v="202"/>
    <n v="14352"/>
    <m/>
    <m/>
    <n v="2"/>
    <n v="15869"/>
    <n v="125"/>
    <n v="26"/>
    <n v="5"/>
    <n v="136"/>
    <m/>
    <m/>
    <m/>
    <n v="27"/>
    <n v="7"/>
    <n v="11"/>
    <n v="21"/>
    <n v="7"/>
    <n v="1083"/>
    <n v="1357"/>
    <n v="123"/>
    <n v="184"/>
    <n v="813"/>
    <m/>
    <n v="8"/>
    <m/>
    <m/>
    <m/>
    <m/>
    <n v="2010"/>
    <m/>
    <m/>
    <m/>
    <m/>
    <m/>
    <m/>
    <m/>
    <m/>
    <m/>
    <m/>
    <m/>
    <m/>
    <m/>
    <m/>
    <m/>
    <n v="75"/>
    <n v="10"/>
    <n v="28"/>
    <n v="3"/>
    <m/>
    <x v="0"/>
    <m/>
  </r>
  <r>
    <x v="8"/>
    <x v="8"/>
    <x v="1"/>
    <m/>
    <n v="34"/>
    <n v="2576"/>
    <n v="265"/>
    <m/>
    <n v="1"/>
    <n v="3232"/>
    <n v="51"/>
    <m/>
    <m/>
    <m/>
    <m/>
    <m/>
    <m/>
    <n v="9"/>
    <n v="2"/>
    <n v="2"/>
    <n v="6"/>
    <n v="2"/>
    <n v="118"/>
    <n v="28"/>
    <n v="8"/>
    <n v="48"/>
    <n v="65"/>
    <m/>
    <m/>
    <m/>
    <m/>
    <m/>
    <m/>
    <m/>
    <m/>
    <m/>
    <m/>
    <m/>
    <m/>
    <m/>
    <m/>
    <m/>
    <m/>
    <m/>
    <m/>
    <m/>
    <m/>
    <m/>
    <m/>
    <n v="115"/>
    <n v="4"/>
    <n v="9.5"/>
    <m/>
    <m/>
    <x v="0"/>
    <m/>
  </r>
  <r>
    <x v="8"/>
    <x v="8"/>
    <x v="2"/>
    <m/>
    <n v="208"/>
    <n v="10362"/>
    <n v="672"/>
    <m/>
    <n v="2"/>
    <n v="18375"/>
    <n v="27"/>
    <n v="5"/>
    <m/>
    <m/>
    <m/>
    <m/>
    <m/>
    <n v="31"/>
    <n v="5"/>
    <n v="7"/>
    <n v="11"/>
    <n v="1"/>
    <n v="819"/>
    <n v="66"/>
    <n v="85"/>
    <n v="88"/>
    <n v="62"/>
    <m/>
    <m/>
    <m/>
    <m/>
    <m/>
    <m/>
    <m/>
    <m/>
    <m/>
    <m/>
    <m/>
    <m/>
    <m/>
    <m/>
    <m/>
    <m/>
    <m/>
    <m/>
    <m/>
    <m/>
    <m/>
    <m/>
    <n v="407"/>
    <n v="2"/>
    <n v="9"/>
    <m/>
    <m/>
    <x v="0"/>
    <m/>
  </r>
  <r>
    <x v="8"/>
    <x v="8"/>
    <x v="3"/>
    <m/>
    <n v="40"/>
    <n v="3476"/>
    <n v="162"/>
    <m/>
    <n v="11"/>
    <n v="4702"/>
    <n v="16"/>
    <n v="0"/>
    <m/>
    <m/>
    <m/>
    <m/>
    <m/>
    <n v="5"/>
    <n v="5"/>
    <n v="1"/>
    <n v="9"/>
    <n v="3"/>
    <n v="82"/>
    <n v="74"/>
    <n v="3"/>
    <n v="59"/>
    <n v="8"/>
    <m/>
    <n v="0"/>
    <m/>
    <m/>
    <m/>
    <m/>
    <n v="0"/>
    <m/>
    <m/>
    <m/>
    <m/>
    <m/>
    <m/>
    <m/>
    <m/>
    <m/>
    <m/>
    <m/>
    <m/>
    <m/>
    <m/>
    <m/>
    <n v="256"/>
    <n v="1"/>
    <n v="16.5"/>
    <n v="5"/>
    <m/>
    <x v="0"/>
    <m/>
  </r>
  <r>
    <x v="8"/>
    <x v="8"/>
    <x v="4"/>
    <m/>
    <n v="62"/>
    <n v="3624"/>
    <n v="432"/>
    <m/>
    <n v="3"/>
    <n v="3843"/>
    <n v="97"/>
    <n v="0"/>
    <m/>
    <m/>
    <m/>
    <m/>
    <m/>
    <n v="13"/>
    <n v="3"/>
    <n v="1"/>
    <n v="9"/>
    <m/>
    <n v="201"/>
    <n v="81"/>
    <n v="4"/>
    <n v="78"/>
    <m/>
    <m/>
    <n v="1"/>
    <m/>
    <m/>
    <m/>
    <m/>
    <n v="200"/>
    <m/>
    <m/>
    <m/>
    <m/>
    <m/>
    <m/>
    <m/>
    <m/>
    <m/>
    <m/>
    <m/>
    <m/>
    <m/>
    <m/>
    <m/>
    <n v="26"/>
    <n v="11"/>
    <n v="16"/>
    <n v="4"/>
    <m/>
    <x v="0"/>
    <m/>
  </r>
  <r>
    <x v="8"/>
    <x v="8"/>
    <x v="5"/>
    <m/>
    <n v="31"/>
    <n v="836"/>
    <m/>
    <m/>
    <m/>
    <n v="1820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8"/>
    <n v="3"/>
    <n v="18"/>
    <n v="3"/>
    <m/>
    <x v="0"/>
    <m/>
  </r>
  <r>
    <x v="8"/>
    <x v="8"/>
    <x v="6"/>
    <m/>
    <m/>
    <m/>
    <m/>
    <m/>
    <m/>
    <m/>
    <m/>
    <m/>
    <m/>
    <m/>
    <m/>
    <m/>
    <n v="42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9"/>
    <x v="9"/>
    <x v="0"/>
    <m/>
    <n v="204"/>
    <n v="15812"/>
    <n v="1930"/>
    <m/>
    <n v="3"/>
    <n v="15985"/>
    <n v="137"/>
    <n v="31"/>
    <n v="4"/>
    <n v="115"/>
    <m/>
    <m/>
    <m/>
    <n v="25"/>
    <n v="9"/>
    <n v="11"/>
    <n v="20"/>
    <n v="7"/>
    <n v="959"/>
    <n v="221"/>
    <n v="137"/>
    <n v="161"/>
    <n v="178"/>
    <m/>
    <n v="5"/>
    <m/>
    <m/>
    <m/>
    <m/>
    <n v="221"/>
    <m/>
    <m/>
    <m/>
    <m/>
    <m/>
    <m/>
    <m/>
    <m/>
    <m/>
    <m/>
    <m/>
    <m/>
    <m/>
    <m/>
    <m/>
    <n v="180"/>
    <n v="14"/>
    <n v="47.75"/>
    <n v="13"/>
    <m/>
    <x v="0"/>
    <m/>
  </r>
  <r>
    <x v="9"/>
    <x v="9"/>
    <x v="1"/>
    <m/>
    <n v="37"/>
    <n v="2983"/>
    <n v="288"/>
    <m/>
    <m/>
    <n v="3272"/>
    <n v="58"/>
    <m/>
    <m/>
    <m/>
    <m/>
    <m/>
    <m/>
    <n v="12"/>
    <n v="2"/>
    <n v="2"/>
    <n v="7"/>
    <n v="3"/>
    <n v="140"/>
    <n v="16"/>
    <n v="11"/>
    <n v="60"/>
    <n v="251"/>
    <m/>
    <m/>
    <m/>
    <m/>
    <m/>
    <m/>
    <m/>
    <m/>
    <m/>
    <m/>
    <m/>
    <m/>
    <m/>
    <m/>
    <m/>
    <m/>
    <m/>
    <m/>
    <m/>
    <m/>
    <m/>
    <m/>
    <n v="86"/>
    <n v="30"/>
    <n v="76"/>
    <m/>
    <m/>
    <x v="0"/>
    <m/>
  </r>
  <r>
    <x v="9"/>
    <x v="9"/>
    <x v="2"/>
    <m/>
    <n v="180"/>
    <n v="11091"/>
    <n v="729"/>
    <m/>
    <m/>
    <n v="19017"/>
    <n v="34"/>
    <n v="5"/>
    <m/>
    <m/>
    <m/>
    <m/>
    <m/>
    <n v="40"/>
    <n v="6"/>
    <n v="8"/>
    <n v="10"/>
    <n v="4"/>
    <n v="806"/>
    <n v="82"/>
    <n v="71"/>
    <n v="100"/>
    <n v="108"/>
    <m/>
    <m/>
    <m/>
    <m/>
    <m/>
    <m/>
    <m/>
    <m/>
    <m/>
    <m/>
    <m/>
    <m/>
    <m/>
    <m/>
    <m/>
    <m/>
    <m/>
    <m/>
    <m/>
    <m/>
    <m/>
    <m/>
    <n v="328"/>
    <m/>
    <m/>
    <m/>
    <m/>
    <x v="0"/>
    <m/>
  </r>
  <r>
    <x v="9"/>
    <x v="9"/>
    <x v="3"/>
    <m/>
    <n v="48"/>
    <n v="3989"/>
    <n v="167"/>
    <m/>
    <n v="9"/>
    <n v="4827"/>
    <n v="15"/>
    <n v="2"/>
    <m/>
    <m/>
    <m/>
    <m/>
    <m/>
    <n v="8"/>
    <n v="6"/>
    <n v="3"/>
    <n v="10"/>
    <n v="3"/>
    <n v="178"/>
    <n v="78"/>
    <n v="13"/>
    <n v="83"/>
    <n v="13"/>
    <m/>
    <n v="1"/>
    <m/>
    <m/>
    <m/>
    <m/>
    <n v="24"/>
    <m/>
    <m/>
    <m/>
    <m/>
    <m/>
    <m/>
    <m/>
    <m/>
    <m/>
    <m/>
    <m/>
    <m/>
    <m/>
    <m/>
    <m/>
    <n v="290"/>
    <n v="1"/>
    <n v="6"/>
    <n v="3"/>
    <m/>
    <x v="0"/>
    <m/>
  </r>
  <r>
    <x v="9"/>
    <x v="9"/>
    <x v="4"/>
    <m/>
    <n v="85"/>
    <n v="4509"/>
    <n v="616"/>
    <m/>
    <n v="1"/>
    <n v="7422"/>
    <n v="116"/>
    <n v="0"/>
    <m/>
    <m/>
    <m/>
    <m/>
    <m/>
    <n v="11"/>
    <n v="4"/>
    <n v="2"/>
    <n v="9"/>
    <m/>
    <n v="152"/>
    <n v="116"/>
    <n v="11"/>
    <n v="77"/>
    <m/>
    <m/>
    <m/>
    <m/>
    <m/>
    <m/>
    <m/>
    <m/>
    <m/>
    <m/>
    <m/>
    <m/>
    <m/>
    <m/>
    <m/>
    <m/>
    <m/>
    <m/>
    <m/>
    <m/>
    <m/>
    <m/>
    <m/>
    <n v="46"/>
    <n v="6"/>
    <n v="12"/>
    <n v="2"/>
    <m/>
    <x v="0"/>
    <m/>
  </r>
  <r>
    <x v="9"/>
    <x v="9"/>
    <x v="5"/>
    <m/>
    <n v="24"/>
    <n v="944"/>
    <m/>
    <m/>
    <m/>
    <n v="2263"/>
    <n v="4"/>
    <m/>
    <m/>
    <m/>
    <m/>
    <m/>
    <m/>
    <n v="4"/>
    <m/>
    <m/>
    <m/>
    <n v="2"/>
    <n v="58"/>
    <m/>
    <m/>
    <m/>
    <n v="45"/>
    <m/>
    <m/>
    <m/>
    <m/>
    <m/>
    <m/>
    <m/>
    <m/>
    <m/>
    <m/>
    <m/>
    <m/>
    <m/>
    <m/>
    <m/>
    <m/>
    <m/>
    <m/>
    <m/>
    <m/>
    <m/>
    <m/>
    <n v="445"/>
    <m/>
    <m/>
    <n v="7"/>
    <m/>
    <x v="0"/>
    <m/>
  </r>
  <r>
    <x v="9"/>
    <x v="9"/>
    <x v="6"/>
    <m/>
    <m/>
    <m/>
    <m/>
    <m/>
    <m/>
    <m/>
    <m/>
    <m/>
    <m/>
    <m/>
    <m/>
    <m/>
    <n v="4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0"/>
    <x v="10"/>
    <x v="0"/>
    <m/>
    <n v="139"/>
    <n v="12852"/>
    <m/>
    <m/>
    <n v="6"/>
    <n v="13708"/>
    <n v="92"/>
    <n v="20"/>
    <n v="4"/>
    <n v="76"/>
    <m/>
    <m/>
    <m/>
    <n v="23"/>
    <n v="5"/>
    <n v="8"/>
    <n v="18"/>
    <n v="4"/>
    <n v="900"/>
    <n v="132"/>
    <n v="1719"/>
    <n v="162"/>
    <n v="70"/>
    <m/>
    <n v="3"/>
    <m/>
    <m/>
    <m/>
    <m/>
    <n v="1645"/>
    <m/>
    <m/>
    <m/>
    <m/>
    <m/>
    <m/>
    <m/>
    <m/>
    <m/>
    <m/>
    <m/>
    <m/>
    <m/>
    <m/>
    <m/>
    <n v="140"/>
    <n v="17"/>
    <n v="76.25"/>
    <n v="8"/>
    <m/>
    <x v="0"/>
    <m/>
  </r>
  <r>
    <x v="10"/>
    <x v="10"/>
    <x v="1"/>
    <m/>
    <n v="23"/>
    <n v="2039"/>
    <n v="180"/>
    <m/>
    <m/>
    <n v="2737"/>
    <n v="50"/>
    <m/>
    <m/>
    <m/>
    <m/>
    <m/>
    <m/>
    <n v="7"/>
    <n v="3"/>
    <n v="2"/>
    <n v="6"/>
    <n v="2"/>
    <n v="104"/>
    <n v="19"/>
    <n v="14"/>
    <n v="50"/>
    <n v="69"/>
    <m/>
    <m/>
    <m/>
    <m/>
    <m/>
    <m/>
    <m/>
    <m/>
    <m/>
    <m/>
    <m/>
    <m/>
    <m/>
    <m/>
    <m/>
    <m/>
    <m/>
    <m/>
    <m/>
    <m/>
    <m/>
    <m/>
    <n v="85"/>
    <n v="21"/>
    <n v="22"/>
    <m/>
    <m/>
    <x v="0"/>
    <m/>
  </r>
  <r>
    <x v="10"/>
    <x v="10"/>
    <x v="2"/>
    <m/>
    <n v="131"/>
    <n v="8773"/>
    <n v="515"/>
    <m/>
    <n v="4"/>
    <n v="16009"/>
    <n v="23"/>
    <n v="5"/>
    <m/>
    <m/>
    <m/>
    <m/>
    <m/>
    <n v="25"/>
    <n v="6"/>
    <n v="6"/>
    <n v="11"/>
    <n v="3"/>
    <n v="609"/>
    <n v="82"/>
    <n v="52"/>
    <n v="88"/>
    <n v="112"/>
    <m/>
    <m/>
    <m/>
    <m/>
    <m/>
    <m/>
    <m/>
    <m/>
    <m/>
    <m/>
    <m/>
    <m/>
    <m/>
    <m/>
    <m/>
    <m/>
    <m/>
    <m/>
    <m/>
    <m/>
    <m/>
    <m/>
    <n v="388"/>
    <m/>
    <m/>
    <m/>
    <m/>
    <x v="0"/>
    <m/>
  </r>
  <r>
    <x v="10"/>
    <x v="10"/>
    <x v="3"/>
    <m/>
    <n v="41"/>
    <n v="2877"/>
    <n v="149"/>
    <m/>
    <n v="7"/>
    <n v="4444"/>
    <n v="11"/>
    <n v="2"/>
    <m/>
    <m/>
    <m/>
    <m/>
    <m/>
    <n v="7"/>
    <n v="5"/>
    <n v="2"/>
    <n v="8"/>
    <n v="1"/>
    <n v="122"/>
    <n v="44"/>
    <n v="5"/>
    <n v="60"/>
    <n v="8"/>
    <m/>
    <n v="0"/>
    <m/>
    <m/>
    <m/>
    <m/>
    <n v="0"/>
    <m/>
    <m/>
    <m/>
    <m/>
    <m/>
    <m/>
    <m/>
    <m/>
    <m/>
    <m/>
    <m/>
    <m/>
    <m/>
    <m/>
    <m/>
    <n v="349"/>
    <n v="14"/>
    <n v="85"/>
    <n v="4"/>
    <m/>
    <x v="0"/>
    <m/>
  </r>
  <r>
    <x v="10"/>
    <x v="10"/>
    <x v="4"/>
    <m/>
    <n v="44"/>
    <n v="3025"/>
    <n v="327"/>
    <m/>
    <n v="3"/>
    <n v="3013"/>
    <n v="90"/>
    <n v="0"/>
    <m/>
    <m/>
    <m/>
    <m/>
    <m/>
    <n v="10"/>
    <n v="2"/>
    <n v="1"/>
    <n v="8"/>
    <m/>
    <n v="104"/>
    <n v="27"/>
    <n v="5"/>
    <n v="162"/>
    <m/>
    <m/>
    <n v="1"/>
    <m/>
    <m/>
    <m/>
    <m/>
    <n v="150"/>
    <m/>
    <m/>
    <m/>
    <m/>
    <m/>
    <m/>
    <m/>
    <m/>
    <m/>
    <m/>
    <m/>
    <m/>
    <m/>
    <m/>
    <m/>
    <n v="0"/>
    <n v="5"/>
    <n v="75"/>
    <n v="1"/>
    <m/>
    <x v="0"/>
    <m/>
  </r>
  <r>
    <x v="10"/>
    <x v="10"/>
    <x v="5"/>
    <m/>
    <n v="8"/>
    <n v="830"/>
    <m/>
    <m/>
    <m/>
    <n v="1494"/>
    <n v="4"/>
    <m/>
    <m/>
    <m/>
    <m/>
    <m/>
    <m/>
    <n v="4"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x v="0"/>
    <m/>
  </r>
  <r>
    <x v="10"/>
    <x v="10"/>
    <x v="6"/>
    <m/>
    <m/>
    <m/>
    <m/>
    <m/>
    <m/>
    <m/>
    <m/>
    <m/>
    <m/>
    <m/>
    <m/>
    <m/>
    <n v="38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1"/>
    <x v="11"/>
    <x v="0"/>
    <m/>
    <n v="124"/>
    <n v="12444"/>
    <n v="1383"/>
    <m/>
    <n v="5"/>
    <n v="12565"/>
    <n v="120"/>
    <n v="13"/>
    <n v="2"/>
    <n v="78"/>
    <m/>
    <m/>
    <m/>
    <n v="23"/>
    <n v="73"/>
    <n v="20"/>
    <n v="21"/>
    <n v="9"/>
    <n v="899"/>
    <n v="73"/>
    <n v="1402"/>
    <n v="175"/>
    <n v="216"/>
    <m/>
    <n v="7"/>
    <m/>
    <m/>
    <m/>
    <m/>
    <n v="1308"/>
    <m/>
    <m/>
    <m/>
    <m/>
    <m/>
    <m/>
    <m/>
    <m/>
    <m/>
    <m/>
    <m/>
    <m/>
    <m/>
    <m/>
    <m/>
    <n v="259"/>
    <n v="10"/>
    <n v="23"/>
    <n v="9"/>
    <m/>
    <x v="0"/>
    <m/>
  </r>
  <r>
    <x v="11"/>
    <x v="11"/>
    <x v="1"/>
    <m/>
    <n v="18"/>
    <n v="2011"/>
    <m/>
    <m/>
    <m/>
    <n v="2324"/>
    <n v="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1"/>
    <x v="11"/>
    <x v="2"/>
    <m/>
    <n v="141"/>
    <n v="9136"/>
    <n v="541"/>
    <m/>
    <n v="2"/>
    <n v="15494"/>
    <n v="25"/>
    <n v="5"/>
    <m/>
    <m/>
    <m/>
    <m/>
    <m/>
    <n v="14"/>
    <n v="4"/>
    <n v="6"/>
    <n v="11"/>
    <n v="3"/>
    <n v="418"/>
    <n v="49"/>
    <n v="68"/>
    <n v="71"/>
    <n v="114"/>
    <m/>
    <m/>
    <m/>
    <m/>
    <m/>
    <m/>
    <m/>
    <m/>
    <m/>
    <m/>
    <m/>
    <m/>
    <m/>
    <m/>
    <m/>
    <m/>
    <m/>
    <m/>
    <m/>
    <m/>
    <m/>
    <m/>
    <n v="368"/>
    <m/>
    <m/>
    <m/>
    <m/>
    <x v="0"/>
    <m/>
  </r>
  <r>
    <x v="11"/>
    <x v="11"/>
    <x v="3"/>
    <m/>
    <n v="52"/>
    <n v="3025"/>
    <n v="148"/>
    <m/>
    <n v="9"/>
    <n v="3800"/>
    <n v="16"/>
    <n v="2"/>
    <m/>
    <m/>
    <m/>
    <m/>
    <m/>
    <n v="7"/>
    <n v="4"/>
    <n v="2"/>
    <n v="5"/>
    <n v="0"/>
    <n v="127"/>
    <n v="43"/>
    <n v="5"/>
    <n v="41"/>
    <n v="0"/>
    <m/>
    <n v="0"/>
    <m/>
    <m/>
    <m/>
    <m/>
    <n v="0"/>
    <m/>
    <m/>
    <m/>
    <m/>
    <m/>
    <m/>
    <m/>
    <m/>
    <m/>
    <m/>
    <m/>
    <m/>
    <m/>
    <m/>
    <m/>
    <n v="301"/>
    <n v="1"/>
    <n v="8"/>
    <n v="8"/>
    <m/>
    <x v="0"/>
    <m/>
  </r>
  <r>
    <x v="11"/>
    <x v="11"/>
    <x v="4"/>
    <m/>
    <n v="30"/>
    <n v="2841"/>
    <n v="347"/>
    <m/>
    <n v="2"/>
    <n v="2704"/>
    <n v="97"/>
    <n v="0"/>
    <m/>
    <m/>
    <m/>
    <m/>
    <m/>
    <n v="9"/>
    <n v="3"/>
    <n v="1"/>
    <n v="7"/>
    <m/>
    <n v="166"/>
    <n v="81"/>
    <n v="7"/>
    <n v="60"/>
    <m/>
    <m/>
    <m/>
    <m/>
    <m/>
    <m/>
    <m/>
    <m/>
    <m/>
    <m/>
    <m/>
    <m/>
    <m/>
    <m/>
    <m/>
    <m/>
    <m/>
    <m/>
    <m/>
    <m/>
    <m/>
    <m/>
    <m/>
    <n v="70"/>
    <n v="5"/>
    <n v="10"/>
    <n v="0"/>
    <m/>
    <x v="0"/>
    <m/>
  </r>
  <r>
    <x v="11"/>
    <x v="11"/>
    <x v="5"/>
    <m/>
    <n v="5"/>
    <n v="600"/>
    <m/>
    <m/>
    <m/>
    <n v="1030"/>
    <n v="4"/>
    <m/>
    <m/>
    <m/>
    <m/>
    <m/>
    <m/>
    <n v="3"/>
    <m/>
    <m/>
    <m/>
    <m/>
    <n v="98"/>
    <m/>
    <m/>
    <m/>
    <m/>
    <m/>
    <m/>
    <m/>
    <m/>
    <m/>
    <m/>
    <m/>
    <m/>
    <m/>
    <m/>
    <m/>
    <m/>
    <m/>
    <m/>
    <m/>
    <m/>
    <m/>
    <m/>
    <m/>
    <m/>
    <m/>
    <m/>
    <n v="586"/>
    <m/>
    <m/>
    <m/>
    <m/>
    <x v="0"/>
    <m/>
  </r>
  <r>
    <x v="11"/>
    <x v="11"/>
    <x v="6"/>
    <m/>
    <m/>
    <m/>
    <m/>
    <m/>
    <m/>
    <m/>
    <m/>
    <m/>
    <m/>
    <m/>
    <m/>
    <m/>
    <n v="44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x v="3"/>
    <x v="1"/>
    <m/>
    <n v="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03"/>
  </r>
  <r>
    <x v="3"/>
    <x v="3"/>
    <x v="2"/>
    <m/>
    <n v="4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21"/>
  </r>
  <r>
    <x v="3"/>
    <x v="3"/>
    <x v="3"/>
    <m/>
    <n v="1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82"/>
  </r>
  <r>
    <x v="3"/>
    <x v="3"/>
    <x v="0"/>
    <m/>
    <n v="3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68"/>
  </r>
  <r>
    <x v="3"/>
    <x v="3"/>
    <x v="4"/>
    <m/>
    <n v="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4"/>
  </r>
  <r>
    <x v="3"/>
    <x v="3"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3"/>
    <x v="3"/>
    <x v="0"/>
    <n v="218"/>
    <m/>
    <n v="15340"/>
    <n v="2034"/>
    <n v="3639"/>
    <n v="4"/>
    <n v="15145"/>
    <n v="139"/>
    <m/>
    <n v="6"/>
    <n v="116"/>
    <n v="2870"/>
    <n v="6318"/>
    <n v="563"/>
    <n v="22"/>
    <n v="6"/>
    <n v="15"/>
    <n v="29"/>
    <n v="6"/>
    <n v="890"/>
    <n v="277"/>
    <n v="162"/>
    <n v="292"/>
    <n v="156"/>
    <m/>
    <m/>
    <m/>
    <m/>
    <m/>
    <m/>
    <m/>
    <m/>
    <m/>
    <m/>
    <m/>
    <m/>
    <m/>
    <m/>
    <m/>
    <m/>
    <m/>
    <m/>
    <m/>
    <m/>
    <m/>
    <m/>
    <n v="12"/>
    <n v="14"/>
    <n v="22"/>
    <n v="8"/>
    <m/>
    <x v="1"/>
    <m/>
  </r>
  <r>
    <x v="3"/>
    <x v="3"/>
    <x v="1"/>
    <n v="62"/>
    <m/>
    <n v="2761"/>
    <n v="214"/>
    <n v="557"/>
    <n v="1"/>
    <n v="3132"/>
    <n v="59"/>
    <m/>
    <m/>
    <m/>
    <n v="985"/>
    <n v="2044"/>
    <n v="163"/>
    <n v="8"/>
    <n v="2"/>
    <n v="2"/>
    <n v="1"/>
    <n v="3"/>
    <n v="85"/>
    <n v="21"/>
    <n v="6"/>
    <n v="4"/>
    <n v="30"/>
    <m/>
    <m/>
    <m/>
    <m/>
    <m/>
    <m/>
    <m/>
    <m/>
    <m/>
    <m/>
    <m/>
    <m/>
    <m/>
    <m/>
    <m/>
    <m/>
    <m/>
    <m/>
    <m/>
    <m/>
    <m/>
    <m/>
    <n v="1"/>
    <n v="4"/>
    <n v="25"/>
    <n v="0"/>
    <m/>
    <x v="1"/>
    <m/>
  </r>
  <r>
    <x v="3"/>
    <x v="3"/>
    <x v="2"/>
    <n v="203"/>
    <m/>
    <n v="11742"/>
    <n v="781"/>
    <n v="1868"/>
    <n v="6"/>
    <n v="19642"/>
    <n v="28"/>
    <m/>
    <m/>
    <m/>
    <n v="1762"/>
    <n v="6719"/>
    <n v="380"/>
    <n v="21"/>
    <n v="9"/>
    <n v="7"/>
    <n v="11"/>
    <n v="6"/>
    <n v="754"/>
    <n v="778"/>
    <n v="65"/>
    <n v="94"/>
    <n v="265"/>
    <m/>
    <m/>
    <m/>
    <m/>
    <m/>
    <m/>
    <m/>
    <m/>
    <m/>
    <m/>
    <m/>
    <m/>
    <m/>
    <m/>
    <m/>
    <m/>
    <m/>
    <m/>
    <m/>
    <m/>
    <m/>
    <m/>
    <n v="5"/>
    <n v="4"/>
    <n v="20"/>
    <n v="0"/>
    <m/>
    <x v="1"/>
    <m/>
  </r>
  <r>
    <x v="3"/>
    <x v="3"/>
    <x v="3"/>
    <n v="64"/>
    <m/>
    <n v="3868"/>
    <n v="188"/>
    <n v="857"/>
    <n v="10"/>
    <n v="4663"/>
    <n v="15"/>
    <m/>
    <m/>
    <m/>
    <n v="1418"/>
    <n v="2758"/>
    <n v="107"/>
    <n v="4"/>
    <n v="4"/>
    <n v="2"/>
    <n v="12"/>
    <n v="2"/>
    <n v="40"/>
    <n v="20"/>
    <n v="9"/>
    <n v="100"/>
    <n v="11"/>
    <m/>
    <m/>
    <m/>
    <m/>
    <m/>
    <m/>
    <m/>
    <m/>
    <m/>
    <m/>
    <m/>
    <m/>
    <m/>
    <m/>
    <m/>
    <m/>
    <m/>
    <m/>
    <m/>
    <m/>
    <m/>
    <m/>
    <n v="9"/>
    <n v="1"/>
    <n v="25"/>
    <n v="5"/>
    <m/>
    <x v="1"/>
    <m/>
  </r>
  <r>
    <x v="3"/>
    <x v="3"/>
    <x v="4"/>
    <n v="82"/>
    <m/>
    <n v="3598"/>
    <n v="377"/>
    <n v="932"/>
    <n v="2"/>
    <n v="3804"/>
    <n v="112"/>
    <m/>
    <m/>
    <m/>
    <n v="1341"/>
    <n v="2373"/>
    <n v="184"/>
    <n v="12"/>
    <n v="3"/>
    <n v="1"/>
    <n v="7"/>
    <n v="0"/>
    <n v="206"/>
    <n v="66"/>
    <n v="4"/>
    <n v="61"/>
    <n v="0"/>
    <m/>
    <m/>
    <m/>
    <m/>
    <m/>
    <m/>
    <m/>
    <m/>
    <m/>
    <m/>
    <m/>
    <m/>
    <m/>
    <m/>
    <m/>
    <m/>
    <m/>
    <m/>
    <m/>
    <m/>
    <m/>
    <m/>
    <n v="2"/>
    <n v="4"/>
    <n v="28"/>
    <n v="0"/>
    <m/>
    <x v="1"/>
    <m/>
  </r>
  <r>
    <x v="3"/>
    <x v="3"/>
    <x v="7"/>
    <n v="43"/>
    <m/>
    <n v="905"/>
    <m/>
    <m/>
    <m/>
    <n v="1647"/>
    <n v="4"/>
    <m/>
    <m/>
    <m/>
    <n v="15"/>
    <n v="404"/>
    <m/>
    <n v="1"/>
    <n v="0"/>
    <n v="0"/>
    <n v="2"/>
    <n v="0"/>
    <n v="25"/>
    <n v="0"/>
    <n v="0"/>
    <n v="16"/>
    <n v="0"/>
    <m/>
    <m/>
    <m/>
    <m/>
    <m/>
    <m/>
    <m/>
    <m/>
    <m/>
    <m/>
    <m/>
    <m/>
    <m/>
    <m/>
    <m/>
    <m/>
    <m/>
    <m/>
    <m/>
    <m/>
    <m/>
    <m/>
    <n v="21"/>
    <n v="2"/>
    <n v="8"/>
    <n v="0"/>
    <m/>
    <x v="1"/>
    <m/>
  </r>
  <r>
    <x v="7"/>
    <x v="7"/>
    <x v="7"/>
    <n v="19"/>
    <n v="20"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n v="20"/>
    <m/>
    <m/>
    <m/>
    <m/>
    <m/>
    <m/>
    <m/>
    <m/>
    <m/>
    <m/>
    <m/>
    <n v="3"/>
    <n v="184"/>
    <n v="170"/>
    <n v="7"/>
    <n v="62"/>
    <n v="1"/>
    <m/>
    <x v="1"/>
    <m/>
  </r>
  <r>
    <x v="7"/>
    <x v="7"/>
    <x v="4"/>
    <n v="60"/>
    <n v="118"/>
    <n v="3914"/>
    <n v="505"/>
    <n v="781"/>
    <n v="2"/>
    <n v="5939"/>
    <n v="92"/>
    <n v="0"/>
    <m/>
    <m/>
    <m/>
    <m/>
    <n v="1090"/>
    <m/>
    <m/>
    <m/>
    <n v="3"/>
    <m/>
    <m/>
    <m/>
    <m/>
    <n v="25"/>
    <m/>
    <m/>
    <m/>
    <m/>
    <m/>
    <m/>
    <m/>
    <m/>
    <m/>
    <m/>
    <m/>
    <m/>
    <m/>
    <m/>
    <m/>
    <m/>
    <m/>
    <m/>
    <m/>
    <m/>
    <m/>
    <n v="1"/>
    <n v="150"/>
    <n v="175"/>
    <n v="10"/>
    <n v="80"/>
    <n v="0"/>
    <m/>
    <x v="1"/>
    <n v="120"/>
  </r>
  <r>
    <x v="7"/>
    <x v="7"/>
    <x v="3"/>
    <n v="72"/>
    <n v="15"/>
    <n v="3764"/>
    <n v="167"/>
    <n v="524"/>
    <n v="12"/>
    <n v="5908"/>
    <n v="14"/>
    <n v="3"/>
    <m/>
    <m/>
    <m/>
    <m/>
    <n v="491"/>
    <n v="0"/>
    <n v="0"/>
    <n v="0"/>
    <n v="7"/>
    <n v="2"/>
    <n v="0"/>
    <n v="0"/>
    <n v="0"/>
    <n v="5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7"/>
    <n v="10"/>
    <n v="88.5"/>
    <n v="6"/>
    <m/>
    <x v="1"/>
    <n v="327"/>
  </r>
  <r>
    <x v="7"/>
    <x v="7"/>
    <x v="1"/>
    <n v="38"/>
    <n v="4"/>
    <n v="2694"/>
    <n v="223"/>
    <n v="419"/>
    <n v="2"/>
    <n v="5121"/>
    <n v="66"/>
    <n v="0"/>
    <m/>
    <m/>
    <m/>
    <m/>
    <n v="1146"/>
    <n v="0"/>
    <n v="1"/>
    <n v="3"/>
    <n v="3"/>
    <n v="0"/>
    <n v="0"/>
    <n v="11"/>
    <n v="17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"/>
    <n v="6"/>
    <n v="36.5"/>
    <n v="0"/>
    <m/>
    <x v="1"/>
    <n v="94"/>
  </r>
  <r>
    <x v="7"/>
    <x v="7"/>
    <x v="2"/>
    <n v="213"/>
    <n v="43"/>
    <n v="10805"/>
    <n v="709"/>
    <n v="1621"/>
    <n v="3"/>
    <n v="19906"/>
    <n v="33"/>
    <n v="6"/>
    <m/>
    <m/>
    <m/>
    <m/>
    <n v="1958"/>
    <m/>
    <m/>
    <n v="1"/>
    <n v="17"/>
    <n v="1"/>
    <m/>
    <m/>
    <n v="30"/>
    <n v="114"/>
    <n v="80"/>
    <m/>
    <m/>
    <m/>
    <m/>
    <m/>
    <m/>
    <m/>
    <m/>
    <m/>
    <m/>
    <m/>
    <m/>
    <m/>
    <m/>
    <m/>
    <m/>
    <m/>
    <m/>
    <m/>
    <m/>
    <m/>
    <m/>
    <n v="988"/>
    <n v="17"/>
    <n v="104"/>
    <m/>
    <m/>
    <x v="1"/>
    <n v="828"/>
  </r>
  <r>
    <x v="7"/>
    <x v="7"/>
    <x v="0"/>
    <n v="199"/>
    <n v="57"/>
    <n v="15257"/>
    <n v="199"/>
    <n v="3482"/>
    <n v="13"/>
    <n v="171619"/>
    <n v="123"/>
    <n v="42"/>
    <n v="5"/>
    <n v="139"/>
    <n v="9611"/>
    <n v="23150"/>
    <n v="1714"/>
    <n v="0"/>
    <n v="0"/>
    <n v="5"/>
    <n v="20"/>
    <n v="0"/>
    <n v="0"/>
    <n v="0"/>
    <n v="43"/>
    <n v="175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5"/>
    <n v="35"/>
    <n v="0"/>
    <n v="0"/>
    <n v="0"/>
    <n v="385"/>
    <n v="39"/>
    <n v="221"/>
    <n v="4"/>
    <m/>
    <x v="1"/>
    <n v="409"/>
  </r>
  <r>
    <x v="11"/>
    <x v="11"/>
    <x v="3"/>
    <n v="41"/>
    <n v="15"/>
    <n v="3342"/>
    <n v="169"/>
    <n v="561"/>
    <n v="17"/>
    <n v="4560"/>
    <n v="30"/>
    <n v="1"/>
    <m/>
    <m/>
    <m/>
    <m/>
    <m/>
    <n v="4"/>
    <n v="2"/>
    <n v="2"/>
    <n v="9"/>
    <n v="0"/>
    <n v="38"/>
    <n v="42"/>
    <n v="21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9"/>
    <n v="2"/>
    <n v="5"/>
    <n v="3"/>
    <s v="rae.lovvorn@yclibrary.org"/>
    <x v="1"/>
    <n v="214"/>
  </r>
  <r>
    <x v="11"/>
    <x v="11"/>
    <x v="4"/>
    <n v="43"/>
    <n v="9"/>
    <n v="4352"/>
    <n v="429"/>
    <n v="867"/>
    <n v="21"/>
    <n v="7039"/>
    <n v="120"/>
    <n v="0"/>
    <m/>
    <m/>
    <m/>
    <m/>
    <n v="1236"/>
    <n v="10"/>
    <n v="2"/>
    <n v="1"/>
    <n v="8"/>
    <n v="1"/>
    <n v="201"/>
    <n v="39"/>
    <n v="6"/>
    <n v="63"/>
    <n v="16"/>
    <m/>
    <m/>
    <m/>
    <m/>
    <m/>
    <m/>
    <m/>
    <m/>
    <m/>
    <m/>
    <m/>
    <m/>
    <m/>
    <m/>
    <m/>
    <m/>
    <m/>
    <m/>
    <m/>
    <m/>
    <m/>
    <m/>
    <n v="313"/>
    <m/>
    <m/>
    <m/>
    <s v="jennifer.stanley@yclibrary.org"/>
    <x v="1"/>
    <n v="116"/>
  </r>
  <r>
    <x v="11"/>
    <x v="11"/>
    <x v="2"/>
    <n v="181"/>
    <n v="50"/>
    <n v="11975"/>
    <n v="778"/>
    <n v="1679"/>
    <n v="7"/>
    <n v="36502"/>
    <n v="74"/>
    <n v="5"/>
    <m/>
    <m/>
    <m/>
    <m/>
    <n v="2312"/>
    <n v="24"/>
    <n v="4"/>
    <n v="6"/>
    <n v="13"/>
    <n v="5"/>
    <n v="739"/>
    <n v="67"/>
    <n v="65"/>
    <n v="109"/>
    <n v="202"/>
    <m/>
    <m/>
    <m/>
    <m/>
    <m/>
    <m/>
    <m/>
    <m/>
    <m/>
    <m/>
    <m/>
    <m/>
    <m/>
    <m/>
    <m/>
    <m/>
    <m/>
    <m/>
    <m/>
    <m/>
    <m/>
    <m/>
    <n v="2016"/>
    <n v="1"/>
    <n v="1"/>
    <m/>
    <s v="tom.holloway@yclibrary.org"/>
    <x v="1"/>
    <n v="639"/>
  </r>
  <r>
    <x v="11"/>
    <x v="11"/>
    <x v="7"/>
    <n v="7"/>
    <n v="2"/>
    <n v="792"/>
    <m/>
    <n v="2"/>
    <m/>
    <n v="1256"/>
    <n v="2"/>
    <m/>
    <m/>
    <m/>
    <m/>
    <m/>
    <m/>
    <m/>
    <m/>
    <m/>
    <m/>
    <m/>
    <m/>
    <m/>
    <m/>
    <m/>
    <m/>
    <n v="3"/>
    <m/>
    <m/>
    <n v="3"/>
    <m/>
    <n v="105"/>
    <m/>
    <m/>
    <n v="70"/>
    <m/>
    <m/>
    <m/>
    <m/>
    <m/>
    <m/>
    <m/>
    <m/>
    <m/>
    <m/>
    <m/>
    <m/>
    <m/>
    <n v="295"/>
    <n v="7"/>
    <n v="135.5"/>
    <n v="3"/>
    <s v="jennifer.strokis@yclibrary.org"/>
    <x v="1"/>
    <m/>
  </r>
  <r>
    <x v="11"/>
    <x v="11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11"/>
    <m/>
    <s v="martin.house@yclibrary.org"/>
    <x v="1"/>
    <m/>
  </r>
  <r>
    <x v="11"/>
    <x v="11"/>
    <x v="0"/>
    <n v="2"/>
    <n v="19"/>
    <n v="0"/>
    <n v="0"/>
    <n v="0"/>
    <n v="0"/>
    <n v="38"/>
    <n v="0"/>
    <n v="0"/>
    <n v="0"/>
    <n v="75"/>
    <n v="1825"/>
    <n v="5333"/>
    <n v="0"/>
    <n v="0"/>
    <n v="0"/>
    <n v="0"/>
    <n v="0"/>
    <n v="0"/>
    <n v="0"/>
    <n v="0"/>
    <n v="0"/>
    <n v="0"/>
    <n v="0"/>
    <n v="20"/>
    <n v="3"/>
    <n v="13"/>
    <n v="8"/>
    <n v="4"/>
    <n v="500"/>
    <n v="74"/>
    <n v="367"/>
    <n v="71"/>
    <n v="121"/>
    <n v="0"/>
    <n v="0"/>
    <n v="0"/>
    <n v="2"/>
    <n v="0"/>
    <n v="0"/>
    <n v="0"/>
    <n v="0"/>
    <n v="43"/>
    <n v="0"/>
    <m/>
    <m/>
    <n v="133"/>
    <n v="27"/>
    <n v="134.25"/>
    <n v="0"/>
    <s v="amanda.antonacci@yclibrary.org"/>
    <x v="1"/>
    <n v="0"/>
  </r>
  <r>
    <x v="1"/>
    <x v="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2"/>
  </r>
  <r>
    <x v="1"/>
    <x v="1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503"/>
  </r>
  <r>
    <x v="1"/>
    <x v="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58"/>
  </r>
  <r>
    <x v="1"/>
    <x v="1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38"/>
  </r>
  <r>
    <x v="1"/>
    <x v="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0"/>
  </r>
  <r>
    <x v="1"/>
    <x v="1"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1"/>
    <x v="1"/>
    <x v="0"/>
    <n v="218"/>
    <m/>
    <n v="13867"/>
    <n v="1859"/>
    <n v="2360"/>
    <n v="6"/>
    <n v="14107"/>
    <n v="136"/>
    <m/>
    <n v="2"/>
    <n v="92"/>
    <n v="2747"/>
    <n v="5962"/>
    <n v="596"/>
    <n v="28"/>
    <n v="5"/>
    <n v="12"/>
    <n v="29"/>
    <n v="1"/>
    <n v="940"/>
    <n v="123"/>
    <n v="131"/>
    <n v="143"/>
    <n v="51"/>
    <m/>
    <m/>
    <m/>
    <m/>
    <m/>
    <m/>
    <m/>
    <m/>
    <m/>
    <m/>
    <m/>
    <m/>
    <m/>
    <m/>
    <m/>
    <m/>
    <m/>
    <m/>
    <m/>
    <m/>
    <m/>
    <m/>
    <n v="13"/>
    <n v="50"/>
    <n v="266"/>
    <n v="7"/>
    <m/>
    <x v="1"/>
    <n v="148"/>
  </r>
  <r>
    <x v="1"/>
    <x v="1"/>
    <x v="1"/>
    <n v="29"/>
    <m/>
    <n v="2241"/>
    <n v="207"/>
    <n v="589"/>
    <n v="0"/>
    <n v="2693"/>
    <n v="58"/>
    <m/>
    <m/>
    <m/>
    <n v="985"/>
    <n v="1846"/>
    <n v="100"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8"/>
    <n v="35"/>
    <n v="60"/>
    <n v="0"/>
    <m/>
    <x v="1"/>
    <n v="46"/>
  </r>
  <r>
    <x v="1"/>
    <x v="1"/>
    <x v="2"/>
    <n v="208"/>
    <m/>
    <n v="11414"/>
    <n v="686"/>
    <n v="1730"/>
    <n v="14"/>
    <n v="17829"/>
    <n v="27"/>
    <m/>
    <m/>
    <m/>
    <n v="1641"/>
    <n v="5960"/>
    <n v="282"/>
    <n v="23"/>
    <n v="6"/>
    <n v="7"/>
    <n v="14"/>
    <n v="4"/>
    <n v="683"/>
    <n v="66"/>
    <n v="93"/>
    <n v="116"/>
    <n v="154"/>
    <m/>
    <m/>
    <m/>
    <m/>
    <m/>
    <m/>
    <m/>
    <m/>
    <m/>
    <m/>
    <m/>
    <m/>
    <m/>
    <m/>
    <m/>
    <m/>
    <m/>
    <m/>
    <m/>
    <m/>
    <m/>
    <m/>
    <n v="5"/>
    <n v="16"/>
    <n v="221"/>
    <n v="0"/>
    <m/>
    <x v="1"/>
    <n v="314"/>
  </r>
  <r>
    <x v="1"/>
    <x v="1"/>
    <x v="3"/>
    <n v="54"/>
    <m/>
    <n v="3403"/>
    <n v="193"/>
    <n v="992"/>
    <n v="11"/>
    <n v="4250"/>
    <n v="12"/>
    <m/>
    <m/>
    <m/>
    <n v="1347"/>
    <n v="2470"/>
    <n v="62"/>
    <n v="5"/>
    <n v="4"/>
    <n v="2"/>
    <n v="13"/>
    <n v="0"/>
    <n v="52"/>
    <n v="47"/>
    <n v="8"/>
    <n v="118"/>
    <n v="0"/>
    <m/>
    <m/>
    <m/>
    <m/>
    <m/>
    <m/>
    <m/>
    <m/>
    <m/>
    <m/>
    <m/>
    <m/>
    <m/>
    <m/>
    <m/>
    <m/>
    <m/>
    <m/>
    <m/>
    <m/>
    <m/>
    <m/>
    <n v="11"/>
    <n v="4"/>
    <n v="86"/>
    <n v="5"/>
    <m/>
    <x v="1"/>
    <n v="115"/>
  </r>
  <r>
    <x v="1"/>
    <x v="1"/>
    <x v="4"/>
    <n v="36"/>
    <m/>
    <n v="3286"/>
    <n v="409"/>
    <n v="975"/>
    <n v="5"/>
    <n v="3430"/>
    <n v="96"/>
    <m/>
    <m/>
    <m/>
    <n v="1192"/>
    <n v="2195"/>
    <n v="218"/>
    <n v="7"/>
    <n v="3"/>
    <n v="1"/>
    <n v="8"/>
    <n v="1"/>
    <n v="73"/>
    <n v="68"/>
    <n v="5"/>
    <n v="67"/>
    <n v="20"/>
    <m/>
    <m/>
    <m/>
    <m/>
    <m/>
    <m/>
    <m/>
    <m/>
    <m/>
    <m/>
    <m/>
    <m/>
    <m/>
    <m/>
    <m/>
    <m/>
    <m/>
    <m/>
    <m/>
    <m/>
    <m/>
    <m/>
    <n v="2"/>
    <n v="18"/>
    <n v="87"/>
    <n v="2"/>
    <m/>
    <x v="1"/>
    <n v="40"/>
  </r>
  <r>
    <x v="1"/>
    <x v="1"/>
    <x v="7"/>
    <n v="24"/>
    <m/>
    <n v="13867"/>
    <m/>
    <m/>
    <m/>
    <n v="1764"/>
    <n v="4"/>
    <m/>
    <m/>
    <m/>
    <n v="15"/>
    <n v="421"/>
    <m/>
    <n v="4"/>
    <n v="0"/>
    <n v="0"/>
    <n v="0"/>
    <n v="0"/>
    <n v="104"/>
    <n v="0"/>
    <n v="0"/>
    <n v="0"/>
    <n v="0"/>
    <m/>
    <m/>
    <m/>
    <m/>
    <m/>
    <m/>
    <m/>
    <m/>
    <m/>
    <m/>
    <m/>
    <m/>
    <m/>
    <m/>
    <m/>
    <m/>
    <m/>
    <m/>
    <m/>
    <m/>
    <m/>
    <m/>
    <n v="0"/>
    <n v="8"/>
    <n v="58"/>
    <n v="0"/>
    <m/>
    <x v="1"/>
    <m/>
  </r>
  <r>
    <x v="0"/>
    <x v="0"/>
    <x v="0"/>
    <m/>
    <n v="181"/>
    <n v="13105"/>
    <n v="1617"/>
    <n v="3059"/>
    <n v="2"/>
    <n v="14481"/>
    <n v="136"/>
    <m/>
    <n v="7"/>
    <n v="105"/>
    <m/>
    <m/>
    <n v="749"/>
    <n v="22"/>
    <n v="5"/>
    <n v="5"/>
    <n v="18"/>
    <n v="8"/>
    <n v="913"/>
    <n v="99"/>
    <n v="47"/>
    <n v="137"/>
    <n v="364"/>
    <m/>
    <m/>
    <m/>
    <m/>
    <m/>
    <m/>
    <m/>
    <m/>
    <m/>
    <m/>
    <m/>
    <m/>
    <m/>
    <m/>
    <m/>
    <m/>
    <m/>
    <m/>
    <m/>
    <m/>
    <m/>
    <m/>
    <n v="47"/>
    <n v="9"/>
    <n v="48"/>
    <n v="9"/>
    <m/>
    <x v="1"/>
    <n v="199"/>
  </r>
  <r>
    <x v="0"/>
    <x v="0"/>
    <x v="1"/>
    <m/>
    <n v="27"/>
    <n v="2152"/>
    <n v="216"/>
    <n v="457"/>
    <n v="1"/>
    <n v="2594"/>
    <n v="62"/>
    <m/>
    <m/>
    <m/>
    <m/>
    <m/>
    <n v="190"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7"/>
    <n v="38"/>
    <n v="27"/>
    <n v="0"/>
    <m/>
    <x v="1"/>
    <n v="36"/>
  </r>
  <r>
    <x v="0"/>
    <x v="0"/>
    <x v="2"/>
    <m/>
    <n v="202"/>
    <n v="10010"/>
    <n v="679"/>
    <n v="1570"/>
    <n v="6"/>
    <n v="18615"/>
    <n v="28"/>
    <m/>
    <m/>
    <m/>
    <m/>
    <m/>
    <n v="160"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5"/>
    <n v="0"/>
    <n v="0"/>
    <n v="0"/>
    <m/>
    <x v="1"/>
    <n v="324"/>
  </r>
  <r>
    <x v="0"/>
    <x v="0"/>
    <x v="3"/>
    <m/>
    <n v="46"/>
    <n v="3150"/>
    <n v="138"/>
    <n v="742"/>
    <n v="9"/>
    <n v="4442"/>
    <n v="16"/>
    <m/>
    <m/>
    <m/>
    <m/>
    <m/>
    <n v="87"/>
    <n v="1"/>
    <n v="2"/>
    <n v="2"/>
    <n v="10"/>
    <n v="0"/>
    <n v="8"/>
    <n v="6"/>
    <n v="4"/>
    <n v="105"/>
    <n v="0"/>
    <m/>
    <m/>
    <m/>
    <m/>
    <m/>
    <m/>
    <m/>
    <m/>
    <m/>
    <m/>
    <m/>
    <m/>
    <m/>
    <m/>
    <m/>
    <m/>
    <m/>
    <m/>
    <m/>
    <m/>
    <m/>
    <m/>
    <n v="7"/>
    <n v="1"/>
    <n v="9"/>
    <n v="2"/>
    <m/>
    <x v="1"/>
    <n v="74"/>
  </r>
  <r>
    <x v="0"/>
    <x v="0"/>
    <x v="4"/>
    <m/>
    <n v="56"/>
    <n v="3430"/>
    <n v="395"/>
    <n v="457"/>
    <n v="3"/>
    <n v="3551"/>
    <n v="104"/>
    <m/>
    <m/>
    <m/>
    <m/>
    <m/>
    <n v="575"/>
    <n v="10"/>
    <n v="2"/>
    <n v="2"/>
    <n v="9"/>
    <n v="0"/>
    <n v="146"/>
    <n v="56"/>
    <n v="15"/>
    <n v="91"/>
    <n v="0"/>
    <m/>
    <m/>
    <m/>
    <m/>
    <m/>
    <m/>
    <m/>
    <m/>
    <m/>
    <m/>
    <m/>
    <m/>
    <m/>
    <m/>
    <m/>
    <m/>
    <m/>
    <m/>
    <m/>
    <m/>
    <m/>
    <m/>
    <n v="2"/>
    <n v="4"/>
    <n v="16"/>
    <n v="3"/>
    <m/>
    <x v="1"/>
    <n v="58"/>
  </r>
  <r>
    <x v="0"/>
    <x v="0"/>
    <x v="7"/>
    <m/>
    <n v="7"/>
    <n v="625"/>
    <m/>
    <m/>
    <m/>
    <n v="1342"/>
    <n v="4"/>
    <m/>
    <m/>
    <m/>
    <m/>
    <m/>
    <m/>
    <n v="3"/>
    <n v="0"/>
    <n v="0"/>
    <n v="0"/>
    <n v="0"/>
    <n v="96"/>
    <n v="0"/>
    <n v="0"/>
    <n v="0"/>
    <n v="0"/>
    <m/>
    <m/>
    <m/>
    <m/>
    <m/>
    <m/>
    <m/>
    <m/>
    <m/>
    <m/>
    <m/>
    <m/>
    <m/>
    <m/>
    <m/>
    <m/>
    <m/>
    <m/>
    <m/>
    <m/>
    <m/>
    <m/>
    <n v="1"/>
    <n v="1"/>
    <n v="1"/>
    <n v="0"/>
    <m/>
    <x v="1"/>
    <m/>
  </r>
  <r>
    <x v="6"/>
    <x v="6"/>
    <x v="7"/>
    <n v="13"/>
    <n v="6"/>
    <n v="12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n v="246"/>
    <m/>
    <m/>
    <n v="1"/>
    <m/>
    <x v="1"/>
    <m/>
  </r>
  <r>
    <x v="6"/>
    <x v="6"/>
    <x v="1"/>
    <n v="34"/>
    <n v="12"/>
    <n v="3515"/>
    <n v="245"/>
    <n v="477"/>
    <n v="1"/>
    <m/>
    <m/>
    <m/>
    <m/>
    <m/>
    <m/>
    <m/>
    <m/>
    <n v="10"/>
    <n v="3"/>
    <n v="7"/>
    <n v="5"/>
    <n v="6"/>
    <n v="114"/>
    <n v="39"/>
    <n v="39"/>
    <n v="36"/>
    <n v="126"/>
    <m/>
    <m/>
    <m/>
    <m/>
    <m/>
    <m/>
    <m/>
    <m/>
    <m/>
    <m/>
    <m/>
    <m/>
    <m/>
    <m/>
    <m/>
    <m/>
    <m/>
    <m/>
    <m/>
    <m/>
    <n v="1"/>
    <m/>
    <n v="4"/>
    <n v="14"/>
    <n v="15.8"/>
    <m/>
    <m/>
    <x v="1"/>
    <n v="87"/>
  </r>
  <r>
    <x v="6"/>
    <x v="6"/>
    <x v="2"/>
    <n v="252"/>
    <n v="76"/>
    <n v="15128"/>
    <n v="772"/>
    <n v="2086"/>
    <m/>
    <m/>
    <m/>
    <m/>
    <m/>
    <m/>
    <m/>
    <m/>
    <m/>
    <n v="24"/>
    <n v="6"/>
    <n v="8"/>
    <n v="12"/>
    <n v="14"/>
    <n v="731"/>
    <n v="148"/>
    <n v="269"/>
    <n v="117"/>
    <n v="803"/>
    <m/>
    <n v="1"/>
    <m/>
    <m/>
    <m/>
    <m/>
    <m/>
    <m/>
    <m/>
    <m/>
    <m/>
    <m/>
    <m/>
    <m/>
    <m/>
    <m/>
    <m/>
    <m/>
    <m/>
    <m/>
    <m/>
    <m/>
    <n v="4"/>
    <n v="9"/>
    <n v="10"/>
    <m/>
    <m/>
    <x v="1"/>
    <n v="674"/>
  </r>
  <r>
    <x v="6"/>
    <x v="6"/>
    <x v="3"/>
    <n v="67"/>
    <n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57"/>
  </r>
  <r>
    <x v="6"/>
    <x v="6"/>
    <x v="0"/>
    <n v="223"/>
    <n v="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13"/>
  </r>
  <r>
    <x v="6"/>
    <x v="6"/>
    <x v="0"/>
    <m/>
    <m/>
    <n v="20248"/>
    <n v="2158"/>
    <n v="3826"/>
    <n v="20"/>
    <n v="33792"/>
    <n v="141"/>
    <n v="27"/>
    <m/>
    <n v="123"/>
    <n v="7"/>
    <m/>
    <n v="2011"/>
    <n v="12"/>
    <n v="6"/>
    <n v="21"/>
    <n v="21"/>
    <n v="13"/>
    <n v="547"/>
    <n v="226"/>
    <n v="398"/>
    <n v="192"/>
    <n v="1385"/>
    <m/>
    <n v="4"/>
    <m/>
    <m/>
    <m/>
    <m/>
    <n v="1602"/>
    <m/>
    <m/>
    <m/>
    <m/>
    <n v="2"/>
    <m/>
    <m/>
    <m/>
    <m/>
    <n v="10"/>
    <m/>
    <m/>
    <m/>
    <m/>
    <m/>
    <n v="374"/>
    <n v="20"/>
    <n v="27.5"/>
    <n v="8"/>
    <m/>
    <x v="1"/>
    <m/>
  </r>
  <r>
    <x v="6"/>
    <x v="6"/>
    <x v="4"/>
    <n v="65"/>
    <n v="21"/>
    <n v="4771"/>
    <n v="471"/>
    <n v="724"/>
    <n v="0"/>
    <n v="6285"/>
    <n v="105"/>
    <m/>
    <m/>
    <m/>
    <m/>
    <m/>
    <n v="1125"/>
    <n v="11"/>
    <n v="3"/>
    <n v="6"/>
    <n v="7"/>
    <n v="4"/>
    <n v="202"/>
    <n v="93"/>
    <n v="57"/>
    <n v="53"/>
    <n v="249"/>
    <m/>
    <m/>
    <m/>
    <m/>
    <m/>
    <m/>
    <m/>
    <m/>
    <m/>
    <m/>
    <m/>
    <m/>
    <m/>
    <m/>
    <m/>
    <m/>
    <m/>
    <m/>
    <m/>
    <m/>
    <m/>
    <m/>
    <n v="95"/>
    <n v="7"/>
    <n v="6"/>
    <n v="0"/>
    <m/>
    <x v="1"/>
    <n v="81"/>
  </r>
  <r>
    <x v="5"/>
    <x v="5"/>
    <x v="0"/>
    <n v="349"/>
    <m/>
    <n v="19413"/>
    <n v="2046"/>
    <n v="10094"/>
    <n v="9"/>
    <n v="21648"/>
    <n v="151"/>
    <m/>
    <n v="2"/>
    <n v="137"/>
    <n v="3102"/>
    <n v="1021"/>
    <n v="697"/>
    <n v="13"/>
    <n v="4"/>
    <n v="23"/>
    <n v="22"/>
    <n v="19"/>
    <n v="629"/>
    <n v="92"/>
    <n v="289"/>
    <n v="202"/>
    <n v="1912"/>
    <m/>
    <m/>
    <m/>
    <m/>
    <m/>
    <m/>
    <m/>
    <m/>
    <m/>
    <m/>
    <m/>
    <m/>
    <m/>
    <m/>
    <m/>
    <m/>
    <m/>
    <m/>
    <m/>
    <m/>
    <m/>
    <m/>
    <n v="8"/>
    <n v="15"/>
    <n v="14"/>
    <n v="5"/>
    <m/>
    <x v="1"/>
    <m/>
  </r>
  <r>
    <x v="5"/>
    <x v="5"/>
    <x v="1"/>
    <n v="62"/>
    <m/>
    <n v="3404"/>
    <n v="222"/>
    <n v="490"/>
    <n v="0"/>
    <n v="4678"/>
    <n v="70"/>
    <m/>
    <m/>
    <m/>
    <n v="1359"/>
    <n v="1968"/>
    <n v="208"/>
    <n v="10"/>
    <n v="3"/>
    <n v="4"/>
    <n v="4"/>
    <n v="4"/>
    <n v="130"/>
    <n v="45"/>
    <n v="25"/>
    <n v="21"/>
    <n v="125"/>
    <m/>
    <m/>
    <m/>
    <m/>
    <m/>
    <m/>
    <m/>
    <m/>
    <m/>
    <m/>
    <m/>
    <m/>
    <m/>
    <m/>
    <m/>
    <m/>
    <m/>
    <m/>
    <m/>
    <m/>
    <m/>
    <m/>
    <n v="8"/>
    <n v="1"/>
    <n v="21"/>
    <n v="1"/>
    <m/>
    <x v="1"/>
    <m/>
  </r>
  <r>
    <x v="5"/>
    <x v="5"/>
    <x v="2"/>
    <n v="265"/>
    <m/>
    <n v="14653"/>
    <n v="766"/>
    <n v="1871"/>
    <n v="1"/>
    <n v="23998"/>
    <n v="38"/>
    <m/>
    <m/>
    <m/>
    <n v="1847"/>
    <n v="7156"/>
    <n v="274"/>
    <n v="22"/>
    <n v="5"/>
    <n v="9"/>
    <n v="12"/>
    <n v="16"/>
    <n v="679"/>
    <n v="129"/>
    <n v="113"/>
    <n v="83"/>
    <n v="1121"/>
    <m/>
    <m/>
    <m/>
    <m/>
    <m/>
    <m/>
    <m/>
    <m/>
    <m/>
    <m/>
    <m/>
    <m/>
    <m/>
    <m/>
    <m/>
    <m/>
    <m/>
    <m/>
    <m/>
    <m/>
    <m/>
    <m/>
    <n v="4"/>
    <n v="1"/>
    <n v="12"/>
    <n v="0"/>
    <m/>
    <x v="1"/>
    <m/>
  </r>
  <r>
    <x v="5"/>
    <x v="5"/>
    <x v="3"/>
    <n v="137"/>
    <m/>
    <n v="5355"/>
    <n v="214"/>
    <n v="891"/>
    <n v="5"/>
    <n v="6109"/>
    <n v="22"/>
    <m/>
    <m/>
    <m/>
    <n v="1568"/>
    <n v="3167"/>
    <n v="141"/>
    <n v="4"/>
    <n v="12"/>
    <n v="2"/>
    <n v="11"/>
    <n v="5"/>
    <n v="45"/>
    <n v="623"/>
    <n v="20"/>
    <n v="92"/>
    <n v="23"/>
    <m/>
    <m/>
    <m/>
    <m/>
    <m/>
    <m/>
    <m/>
    <m/>
    <m/>
    <m/>
    <m/>
    <m/>
    <m/>
    <m/>
    <m/>
    <m/>
    <m/>
    <m/>
    <m/>
    <m/>
    <m/>
    <m/>
    <n v="9"/>
    <n v="1"/>
    <n v="16"/>
    <n v="8"/>
    <m/>
    <x v="1"/>
    <m/>
  </r>
  <r>
    <x v="5"/>
    <x v="5"/>
    <x v="4"/>
    <n v="82"/>
    <m/>
    <n v="4774"/>
    <n v="447"/>
    <n v="1015"/>
    <n v="1"/>
    <n v="5010"/>
    <n v="120"/>
    <m/>
    <m/>
    <m/>
    <n v="1501"/>
    <n v="2669"/>
    <n v="242"/>
    <n v="10"/>
    <n v="2"/>
    <n v="3"/>
    <n v="7"/>
    <n v="4"/>
    <n v="246"/>
    <n v="60"/>
    <n v="20"/>
    <n v="99"/>
    <n v="332"/>
    <m/>
    <m/>
    <m/>
    <m/>
    <m/>
    <m/>
    <m/>
    <m/>
    <m/>
    <m/>
    <m/>
    <m/>
    <m/>
    <m/>
    <m/>
    <m/>
    <m/>
    <m/>
    <m/>
    <m/>
    <m/>
    <m/>
    <n v="2"/>
    <n v="10"/>
    <n v="7"/>
    <n v="0"/>
    <m/>
    <x v="1"/>
    <m/>
  </r>
  <r>
    <x v="5"/>
    <x v="5"/>
    <x v="7"/>
    <n v="235"/>
    <m/>
    <n v="1346"/>
    <m/>
    <m/>
    <m/>
    <n v="1498"/>
    <n v="4"/>
    <m/>
    <m/>
    <m/>
    <n v="21"/>
    <n v="309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n v="3"/>
    <n v="1"/>
    <n v="4"/>
    <n v="2"/>
    <m/>
    <x v="1"/>
    <m/>
  </r>
  <r>
    <x v="2"/>
    <x v="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2"/>
    <x v="2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2"/>
    <x v="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2"/>
    <x v="2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2"/>
    <x v="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2"/>
    <x v="2"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2"/>
    <x v="2"/>
    <x v="0"/>
    <n v="209"/>
    <m/>
    <n v="15555"/>
    <n v="2125"/>
    <n v="3342"/>
    <n v="6"/>
    <n v="17206"/>
    <n v="141"/>
    <m/>
    <n v="6"/>
    <n v="131"/>
    <n v="2981"/>
    <n v="6480"/>
    <n v="852"/>
    <n v="31"/>
    <n v="5"/>
    <n v="13"/>
    <n v="27"/>
    <n v="6"/>
    <n v="1188"/>
    <n v="116"/>
    <n v="155"/>
    <n v="277"/>
    <n v="106"/>
    <m/>
    <m/>
    <m/>
    <m/>
    <m/>
    <m/>
    <m/>
    <m/>
    <m/>
    <m/>
    <m/>
    <m/>
    <m/>
    <m/>
    <m/>
    <m/>
    <m/>
    <m/>
    <m/>
    <m/>
    <m/>
    <m/>
    <n v="13"/>
    <n v="42"/>
    <n v="41"/>
    <n v="10"/>
    <m/>
    <x v="1"/>
    <m/>
  </r>
  <r>
    <x v="2"/>
    <x v="2"/>
    <x v="1"/>
    <n v="37"/>
    <m/>
    <n v="2402"/>
    <n v="208"/>
    <n v="457"/>
    <n v="0"/>
    <n v="2858"/>
    <n v="66"/>
    <m/>
    <m/>
    <m/>
    <n v="1046"/>
    <n v="1961"/>
    <n v="253"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1"/>
    <n v="16"/>
    <n v="20"/>
    <n v="0"/>
    <m/>
    <x v="1"/>
    <m/>
  </r>
  <r>
    <x v="2"/>
    <x v="2"/>
    <x v="2"/>
    <n v="208"/>
    <m/>
    <n v="12513"/>
    <n v="810"/>
    <n v="1795"/>
    <n v="14"/>
    <n v="19038"/>
    <n v="30"/>
    <m/>
    <m/>
    <m/>
    <n v="1805"/>
    <n v="6730"/>
    <n v="273"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6"/>
    <n v="6"/>
    <n v="13"/>
    <n v="0"/>
    <m/>
    <x v="1"/>
    <m/>
  </r>
  <r>
    <x v="2"/>
    <x v="2"/>
    <x v="3"/>
    <n v="55"/>
    <m/>
    <n v="3810"/>
    <n v="218"/>
    <n v="958"/>
    <n v="12"/>
    <n v="4857"/>
    <n v="18"/>
    <m/>
    <m/>
    <m/>
    <n v="1414"/>
    <n v="2581"/>
    <n v="87"/>
    <n v="4"/>
    <n v="1"/>
    <n v="2"/>
    <n v="13"/>
    <n v="2"/>
    <n v="39"/>
    <n v="7"/>
    <n v="19"/>
    <n v="122"/>
    <n v="16"/>
    <m/>
    <m/>
    <m/>
    <m/>
    <m/>
    <m/>
    <m/>
    <m/>
    <m/>
    <m/>
    <m/>
    <m/>
    <m/>
    <m/>
    <m/>
    <m/>
    <m/>
    <m/>
    <m/>
    <m/>
    <m/>
    <m/>
    <n v="8"/>
    <n v="1"/>
    <n v="53"/>
    <n v="9"/>
    <m/>
    <x v="1"/>
    <m/>
  </r>
  <r>
    <x v="2"/>
    <x v="2"/>
    <x v="4"/>
    <n v="62"/>
    <m/>
    <n v="3798"/>
    <n v="458"/>
    <n v="1054"/>
    <n v="4"/>
    <n v="3862"/>
    <n v="121"/>
    <m/>
    <m/>
    <m/>
    <n v="1352"/>
    <n v="2362"/>
    <n v="234"/>
    <n v="14"/>
    <n v="1"/>
    <n v="1"/>
    <n v="8"/>
    <n v="0"/>
    <n v="162"/>
    <n v="4"/>
    <n v="4"/>
    <n v="61"/>
    <n v="0"/>
    <m/>
    <m/>
    <m/>
    <m/>
    <m/>
    <m/>
    <m/>
    <m/>
    <m/>
    <m/>
    <m/>
    <m/>
    <m/>
    <m/>
    <m/>
    <m/>
    <m/>
    <m/>
    <m/>
    <m/>
    <m/>
    <m/>
    <n v="2"/>
    <n v="11"/>
    <n v="66"/>
    <n v="0"/>
    <m/>
    <x v="1"/>
    <m/>
  </r>
  <r>
    <x v="2"/>
    <x v="2"/>
    <x v="7"/>
    <n v="18"/>
    <m/>
    <n v="507"/>
    <m/>
    <m/>
    <m/>
    <n v="1184"/>
    <n v="4"/>
    <m/>
    <m/>
    <m/>
    <n v="12"/>
    <n v="409"/>
    <m/>
    <n v="4"/>
    <n v="0"/>
    <n v="0"/>
    <n v="0"/>
    <n v="0"/>
    <n v="123"/>
    <n v="0"/>
    <n v="0"/>
    <n v="0"/>
    <n v="0"/>
    <m/>
    <m/>
    <m/>
    <m/>
    <m/>
    <m/>
    <m/>
    <m/>
    <m/>
    <m/>
    <m/>
    <m/>
    <m/>
    <m/>
    <m/>
    <m/>
    <m/>
    <m/>
    <m/>
    <m/>
    <m/>
    <m/>
    <n v="1"/>
    <n v="2"/>
    <n v="2"/>
    <n v="3"/>
    <m/>
    <x v="1"/>
    <m/>
  </r>
  <r>
    <x v="4"/>
    <x v="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12"/>
  </r>
  <r>
    <x v="4"/>
    <x v="4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84"/>
  </r>
  <r>
    <x v="4"/>
    <x v="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78"/>
  </r>
  <r>
    <x v="4"/>
    <x v="4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315"/>
  </r>
  <r>
    <x v="4"/>
    <x v="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88"/>
  </r>
  <r>
    <x v="4"/>
    <x v="4"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4"/>
    <x v="4"/>
    <x v="0"/>
    <n v="376"/>
    <m/>
    <n v="17078"/>
    <n v="1972"/>
    <n v="3674"/>
    <n v="12"/>
    <n v="19243"/>
    <n v="122"/>
    <m/>
    <n v="1"/>
    <n v="122"/>
    <n v="2986"/>
    <n v="6594"/>
    <n v="767"/>
    <n v="15"/>
    <n v="10"/>
    <n v="6"/>
    <n v="22"/>
    <n v="8"/>
    <n v="636"/>
    <n v="140"/>
    <n v="59"/>
    <n v="245"/>
    <n v="1644"/>
    <m/>
    <m/>
    <m/>
    <m/>
    <m/>
    <m/>
    <m/>
    <m/>
    <m/>
    <m/>
    <m/>
    <m/>
    <m/>
    <m/>
    <m/>
    <m/>
    <m/>
    <m/>
    <m/>
    <m/>
    <m/>
    <m/>
    <n v="4"/>
    <n v="15"/>
    <n v="15"/>
    <n v="7"/>
    <m/>
    <x v="1"/>
    <m/>
  </r>
  <r>
    <x v="4"/>
    <x v="4"/>
    <x v="1"/>
    <n v="59"/>
    <m/>
    <n v="2618"/>
    <n v="229"/>
    <n v="373"/>
    <n v="1"/>
    <n v="3426"/>
    <n v="69"/>
    <m/>
    <m/>
    <m/>
    <n v="1169"/>
    <n v="1920"/>
    <n v="229"/>
    <n v="10"/>
    <n v="2"/>
    <n v="3"/>
    <n v="3"/>
    <n v="0"/>
    <n v="155"/>
    <n v="12"/>
    <n v="17"/>
    <n v="28"/>
    <n v="0"/>
    <m/>
    <m/>
    <m/>
    <m/>
    <m/>
    <m/>
    <m/>
    <m/>
    <m/>
    <m/>
    <m/>
    <m/>
    <m/>
    <m/>
    <m/>
    <m/>
    <m/>
    <m/>
    <m/>
    <m/>
    <m/>
    <m/>
    <n v="23"/>
    <n v="1"/>
    <n v="25"/>
    <n v="0"/>
    <m/>
    <x v="1"/>
    <m/>
  </r>
  <r>
    <x v="4"/>
    <x v="4"/>
    <x v="2"/>
    <n v="210"/>
    <m/>
    <n v="12345"/>
    <n v="747"/>
    <n v="1578"/>
    <n v="4"/>
    <n v="20990"/>
    <n v="34"/>
    <m/>
    <m/>
    <m/>
    <n v="1724"/>
    <n v="6894"/>
    <n v="301"/>
    <n v="21"/>
    <n v="5"/>
    <n v="5"/>
    <n v="10"/>
    <n v="5"/>
    <n v="714"/>
    <n v="70"/>
    <n v="84"/>
    <n v="96"/>
    <n v="894"/>
    <m/>
    <m/>
    <m/>
    <m/>
    <m/>
    <m/>
    <m/>
    <m/>
    <m/>
    <m/>
    <m/>
    <m/>
    <m/>
    <m/>
    <m/>
    <m/>
    <m/>
    <m/>
    <m/>
    <m/>
    <m/>
    <m/>
    <n v="6"/>
    <n v="6"/>
    <n v="4"/>
    <n v="0"/>
    <m/>
    <x v="1"/>
    <m/>
  </r>
  <r>
    <x v="4"/>
    <x v="4"/>
    <x v="3"/>
    <n v="68"/>
    <m/>
    <n v="3941"/>
    <n v="163"/>
    <n v="414"/>
    <n v="4"/>
    <n v="5447"/>
    <n v="17"/>
    <m/>
    <m/>
    <m/>
    <n v="1498"/>
    <n v="2684"/>
    <n v="122"/>
    <n v="4"/>
    <n v="5"/>
    <n v="2"/>
    <n v="9"/>
    <n v="3"/>
    <n v="50"/>
    <n v="51"/>
    <n v="11"/>
    <n v="91"/>
    <n v="3"/>
    <m/>
    <m/>
    <m/>
    <m/>
    <m/>
    <m/>
    <m/>
    <m/>
    <m/>
    <m/>
    <m/>
    <m/>
    <m/>
    <m/>
    <m/>
    <m/>
    <m/>
    <m/>
    <m/>
    <m/>
    <m/>
    <m/>
    <n v="9"/>
    <n v="1"/>
    <n v="9"/>
    <n v="1"/>
    <m/>
    <x v="1"/>
    <m/>
  </r>
  <r>
    <x v="4"/>
    <x v="4"/>
    <x v="4"/>
    <n v="64"/>
    <m/>
    <n v="3958"/>
    <n v="451"/>
    <n v="694"/>
    <n v="2"/>
    <n v="4424"/>
    <n v="103"/>
    <m/>
    <m/>
    <m/>
    <n v="1342"/>
    <n v="2364"/>
    <n v="266"/>
    <n v="10"/>
    <n v="3"/>
    <n v="7"/>
    <n v="9"/>
    <n v="1"/>
    <n v="135"/>
    <n v="72"/>
    <n v="7"/>
    <n v="69"/>
    <n v="112"/>
    <m/>
    <m/>
    <m/>
    <m/>
    <m/>
    <m/>
    <m/>
    <m/>
    <m/>
    <m/>
    <m/>
    <m/>
    <m/>
    <m/>
    <m/>
    <m/>
    <m/>
    <m/>
    <m/>
    <m/>
    <m/>
    <m/>
    <n v="2"/>
    <n v="1"/>
    <n v="9"/>
    <n v="0"/>
    <m/>
    <x v="1"/>
    <m/>
  </r>
  <r>
    <x v="4"/>
    <x v="4"/>
    <x v="7"/>
    <n v="69"/>
    <m/>
    <n v="571"/>
    <m/>
    <m/>
    <m/>
    <n v="1324"/>
    <n v="1"/>
    <m/>
    <m/>
    <m/>
    <n v="11"/>
    <n v="272"/>
    <m/>
    <n v="1"/>
    <n v="0"/>
    <n v="0"/>
    <n v="0"/>
    <n v="0"/>
    <n v="8"/>
    <n v="0"/>
    <n v="0"/>
    <n v="0"/>
    <n v="0"/>
    <m/>
    <m/>
    <m/>
    <m/>
    <m/>
    <m/>
    <m/>
    <m/>
    <m/>
    <m/>
    <m/>
    <m/>
    <m/>
    <m/>
    <m/>
    <m/>
    <m/>
    <m/>
    <m/>
    <m/>
    <m/>
    <m/>
    <n v="15"/>
    <n v="0"/>
    <n v="0"/>
    <n v="0"/>
    <m/>
    <x v="1"/>
    <m/>
  </r>
  <r>
    <x v="10"/>
    <x v="10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s v="martin.house@yclibrary.org"/>
    <x v="1"/>
    <m/>
  </r>
  <r>
    <x v="10"/>
    <x v="10"/>
    <x v="1"/>
    <n v="21"/>
    <n v="7"/>
    <n v="2435"/>
    <n v="213"/>
    <n v="426"/>
    <n v="1"/>
    <n v="4166"/>
    <n v="76"/>
    <n v="0"/>
    <m/>
    <n v="0"/>
    <m/>
    <m/>
    <n v="840"/>
    <n v="4"/>
    <n v="4"/>
    <n v="4"/>
    <n v="8"/>
    <n v="1"/>
    <n v="40"/>
    <n v="41"/>
    <n v="39"/>
    <n v="53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4"/>
    <n v="7"/>
    <n v="30.5"/>
    <n v="5"/>
    <s v="madison.brennan@yclibrary.org"/>
    <x v="1"/>
    <n v="59"/>
  </r>
  <r>
    <x v="10"/>
    <x v="10"/>
    <x v="3"/>
    <n v="38"/>
    <n v="2"/>
    <n v="3068"/>
    <n v="178"/>
    <n v="523"/>
    <n v="11"/>
    <n v="4116"/>
    <n v="17"/>
    <n v="1"/>
    <m/>
    <m/>
    <m/>
    <m/>
    <n v="153"/>
    <n v="4"/>
    <n v="4"/>
    <n v="2"/>
    <n v="8"/>
    <n v="0"/>
    <n v="35"/>
    <n v="31"/>
    <n v="10"/>
    <n v="7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4"/>
    <n v="0"/>
    <n v="0"/>
    <n v="0"/>
    <n v="767"/>
    <n v="10"/>
    <n v="90"/>
    <n v="3"/>
    <s v="rae.lovvorn@yclibrary.org"/>
    <x v="1"/>
    <n v="143"/>
  </r>
  <r>
    <x v="10"/>
    <x v="10"/>
    <x v="2"/>
    <n v="181"/>
    <n v="42"/>
    <n v="10748"/>
    <n v="788"/>
    <n v="1507"/>
    <n v="4"/>
    <n v="34845"/>
    <n v="56"/>
    <n v="5"/>
    <m/>
    <m/>
    <m/>
    <m/>
    <n v="1424"/>
    <n v="21"/>
    <n v="6"/>
    <n v="8"/>
    <n v="12"/>
    <n v="4"/>
    <n v="701"/>
    <n v="76"/>
    <n v="60"/>
    <n v="93"/>
    <n v="142"/>
    <m/>
    <m/>
    <m/>
    <m/>
    <m/>
    <m/>
    <m/>
    <m/>
    <m/>
    <m/>
    <m/>
    <m/>
    <m/>
    <m/>
    <m/>
    <m/>
    <m/>
    <m/>
    <m/>
    <m/>
    <m/>
    <m/>
    <n v="1433"/>
    <n v="18"/>
    <n v="140"/>
    <m/>
    <s v="tom.holloway@yclibrary.org"/>
    <x v="1"/>
    <n v="711"/>
  </r>
  <r>
    <x v="10"/>
    <x v="10"/>
    <x v="7"/>
    <n v="9"/>
    <n v="4"/>
    <n v="1554"/>
    <m/>
    <m/>
    <m/>
    <n v="3056"/>
    <n v="3"/>
    <m/>
    <m/>
    <m/>
    <m/>
    <m/>
    <m/>
    <m/>
    <m/>
    <m/>
    <m/>
    <m/>
    <m/>
    <m/>
    <m/>
    <m/>
    <m/>
    <n v="3"/>
    <m/>
    <m/>
    <m/>
    <m/>
    <n v="102"/>
    <m/>
    <m/>
    <m/>
    <m/>
    <m/>
    <m/>
    <m/>
    <m/>
    <m/>
    <m/>
    <m/>
    <m/>
    <m/>
    <m/>
    <n v="2"/>
    <n v="101"/>
    <n v="311"/>
    <n v="8"/>
    <n v="151.5"/>
    <n v="2"/>
    <s v="jennifer.strokis@yclibrary.org"/>
    <x v="1"/>
    <m/>
  </r>
  <r>
    <x v="10"/>
    <x v="10"/>
    <x v="4"/>
    <n v="49"/>
    <n v="29"/>
    <n v="4205"/>
    <n v="439"/>
    <n v="946"/>
    <n v="13"/>
    <n v="7503"/>
    <n v="91"/>
    <n v="0"/>
    <m/>
    <m/>
    <m/>
    <m/>
    <n v="965"/>
    <n v="11"/>
    <n v="3"/>
    <n v="1"/>
    <n v="7"/>
    <m/>
    <n v="231"/>
    <n v="46"/>
    <n v="9"/>
    <n v="52"/>
    <m/>
    <m/>
    <m/>
    <m/>
    <m/>
    <m/>
    <m/>
    <m/>
    <m/>
    <m/>
    <m/>
    <m/>
    <m/>
    <m/>
    <m/>
    <m/>
    <m/>
    <m/>
    <m/>
    <m/>
    <m/>
    <n v="1"/>
    <n v="52"/>
    <n v="40"/>
    <n v="16"/>
    <n v="100"/>
    <n v="0"/>
    <s v="jennifer.stanley@yclibrary.org"/>
    <x v="1"/>
    <n v="96"/>
  </r>
  <r>
    <x v="10"/>
    <x v="10"/>
    <x v="0"/>
    <n v="17"/>
    <n v="2"/>
    <n v="0"/>
    <n v="0"/>
    <n v="0"/>
    <n v="0"/>
    <n v="31"/>
    <n v="0"/>
    <n v="0"/>
    <n v="3"/>
    <n v="71"/>
    <n v="1534"/>
    <n v="4781"/>
    <n v="0"/>
    <n v="0"/>
    <n v="0"/>
    <n v="0"/>
    <n v="0"/>
    <n v="0"/>
    <n v="0"/>
    <n v="0"/>
    <n v="0"/>
    <n v="0"/>
    <n v="0"/>
    <n v="13"/>
    <n v="3"/>
    <n v="15"/>
    <n v="11"/>
    <n v="7"/>
    <n v="255"/>
    <n v="56"/>
    <n v="1406"/>
    <n v="107"/>
    <n v="299"/>
    <n v="0"/>
    <n v="0"/>
    <n v="1"/>
    <n v="5"/>
    <n v="1"/>
    <n v="0"/>
    <n v="0"/>
    <n v="156"/>
    <n v="49"/>
    <n v="18"/>
    <m/>
    <m/>
    <n v="15"/>
    <n v="65"/>
    <n v="259"/>
    <n v="1"/>
    <s v="amanda.antonacci@yclibrary.org"/>
    <x v="1"/>
    <n v="0"/>
  </r>
  <r>
    <x v="9"/>
    <x v="9"/>
    <x v="4"/>
    <n v="64"/>
    <n v="87"/>
    <n v="5553"/>
    <n v="657"/>
    <n v="1145"/>
    <n v="22"/>
    <n v="8931"/>
    <n v="125"/>
    <n v="0"/>
    <m/>
    <m/>
    <m/>
    <m/>
    <n v="2239"/>
    <n v="12"/>
    <n v="2"/>
    <n v="3"/>
    <n v="9"/>
    <n v="2"/>
    <n v="231"/>
    <n v="32"/>
    <n v="14"/>
    <n v="84"/>
    <n v="22"/>
    <m/>
    <m/>
    <m/>
    <m/>
    <m/>
    <m/>
    <m/>
    <m/>
    <m/>
    <m/>
    <m/>
    <m/>
    <m/>
    <m/>
    <m/>
    <m/>
    <m/>
    <m/>
    <m/>
    <m/>
    <n v="1"/>
    <n v="140"/>
    <n v="278"/>
    <n v="8"/>
    <n v="12"/>
    <n v="0"/>
    <s v="jennifer.stanley@yclibrary.org"/>
    <x v="1"/>
    <n v="148"/>
  </r>
  <r>
    <x v="9"/>
    <x v="9"/>
    <x v="7"/>
    <n v="12"/>
    <n v="16"/>
    <n v="12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n v="2428"/>
    <n v="264"/>
    <n v="6"/>
    <n v="113"/>
    <n v="4"/>
    <s v="jennifer.strokis@yclibrary.org"/>
    <x v="1"/>
    <m/>
  </r>
  <r>
    <x v="9"/>
    <x v="9"/>
    <x v="3"/>
    <n v="49"/>
    <n v="13"/>
    <n v="3918"/>
    <n v="193"/>
    <n v="668"/>
    <n v="11"/>
    <n v="5737"/>
    <n v="26"/>
    <n v="2"/>
    <m/>
    <m/>
    <m/>
    <m/>
    <n v="1056"/>
    <n v="4"/>
    <n v="5"/>
    <n v="2"/>
    <n v="10"/>
    <n v="1"/>
    <n v="48"/>
    <n v="30"/>
    <n v="13"/>
    <n v="8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5"/>
    <n v="2"/>
    <n v="10"/>
    <n v="6"/>
    <s v="rae.lovvorn@yclibrary.org"/>
    <x v="1"/>
    <n v="254"/>
  </r>
  <r>
    <x v="9"/>
    <x v="9"/>
    <x v="1"/>
    <n v="26"/>
    <n v="6"/>
    <n v="3167"/>
    <n v="271"/>
    <n v="531"/>
    <n v="1"/>
    <n v="5548"/>
    <n v="88"/>
    <n v="0"/>
    <m/>
    <m/>
    <m/>
    <m/>
    <n v="1053"/>
    <n v="6"/>
    <n v="3"/>
    <n v="5"/>
    <n v="8"/>
    <n v="1"/>
    <n v="67"/>
    <n v="38"/>
    <n v="28"/>
    <n v="35"/>
    <n v="3"/>
    <m/>
    <m/>
    <m/>
    <m/>
    <m/>
    <m/>
    <m/>
    <m/>
    <m/>
    <m/>
    <m/>
    <m/>
    <m/>
    <m/>
    <m/>
    <m/>
    <m/>
    <m/>
    <m/>
    <m/>
    <m/>
    <m/>
    <n v="638"/>
    <n v="6"/>
    <n v="28"/>
    <n v="2"/>
    <s v="madison.brennan@yclibrary.org"/>
    <x v="1"/>
    <n v="126"/>
  </r>
  <r>
    <x v="9"/>
    <x v="9"/>
    <x v="2"/>
    <n v="211"/>
    <n v="53"/>
    <n v="13504"/>
    <n v="921"/>
    <n v="1956"/>
    <m/>
    <n v="23486"/>
    <n v="65"/>
    <n v="5"/>
    <m/>
    <m/>
    <m/>
    <m/>
    <n v="1494"/>
    <n v="31"/>
    <n v="5"/>
    <n v="8"/>
    <n v="12"/>
    <n v="5"/>
    <n v="1194"/>
    <n v="72"/>
    <n v="73"/>
    <n v="109"/>
    <n v="162"/>
    <m/>
    <m/>
    <m/>
    <m/>
    <m/>
    <m/>
    <m/>
    <m/>
    <m/>
    <m/>
    <m/>
    <m/>
    <m/>
    <m/>
    <m/>
    <m/>
    <m/>
    <m/>
    <m/>
    <m/>
    <n v="1"/>
    <n v="250"/>
    <n v="1688"/>
    <n v="2"/>
    <n v="2"/>
    <m/>
    <s v="tom.holloway@yclibrary.org"/>
    <x v="1"/>
    <n v="707"/>
  </r>
  <r>
    <x v="9"/>
    <x v="9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5.5"/>
    <m/>
    <s v="martin.house@yclibrary.org"/>
    <x v="1"/>
    <m/>
  </r>
  <r>
    <x v="9"/>
    <x v="9"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artin.house@yclibrary.org"/>
    <x v="1"/>
    <n v="38"/>
  </r>
  <r>
    <x v="8"/>
    <x v="8"/>
    <x v="7"/>
    <n v="16"/>
    <n v="113"/>
    <n v="7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"/>
    <n v="260"/>
    <n v="136"/>
    <m/>
    <m/>
    <n v="5"/>
    <s v="jennifer.strokis@yclibrary.org"/>
    <x v="1"/>
    <m/>
  </r>
  <r>
    <x v="8"/>
    <x v="8"/>
    <x v="3"/>
    <n v="48"/>
    <n v="11"/>
    <n v="3974"/>
    <n v="216"/>
    <n v="594"/>
    <n v="9"/>
    <n v="5549"/>
    <n v="18"/>
    <n v="2"/>
    <m/>
    <m/>
    <m/>
    <m/>
    <n v="351"/>
    <n v="5"/>
    <n v="4"/>
    <n v="2"/>
    <n v="13"/>
    <n v="2"/>
    <n v="65"/>
    <n v="31"/>
    <n v="11"/>
    <n v="10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4"/>
    <n v="3"/>
    <n v="15"/>
    <n v="3"/>
    <s v="rae.lovvorn@yclibrary.org"/>
    <x v="1"/>
    <n v="294"/>
  </r>
  <r>
    <x v="8"/>
    <x v="8"/>
    <x v="4"/>
    <n v="64"/>
    <n v="67"/>
    <n v="4490"/>
    <n v="497"/>
    <n v="809"/>
    <n v="8"/>
    <n v="6762"/>
    <n v="93"/>
    <n v="0"/>
    <m/>
    <m/>
    <m/>
    <m/>
    <n v="1602"/>
    <n v="9"/>
    <n v="2"/>
    <n v="0"/>
    <n v="9"/>
    <n v="1"/>
    <n v="184"/>
    <n v="64"/>
    <n v="0"/>
    <n v="65"/>
    <n v="13"/>
    <m/>
    <m/>
    <m/>
    <m/>
    <m/>
    <m/>
    <m/>
    <m/>
    <m/>
    <m/>
    <m/>
    <m/>
    <m/>
    <m/>
    <m/>
    <m/>
    <m/>
    <m/>
    <m/>
    <m/>
    <n v="2"/>
    <n v="330"/>
    <n v="275"/>
    <n v="0"/>
    <n v="0"/>
    <n v="0"/>
    <s v="jennifer.stanley@yclibrary.org"/>
    <x v="1"/>
    <n v="125"/>
  </r>
  <r>
    <x v="8"/>
    <x v="8"/>
    <x v="1"/>
    <n v="41"/>
    <n v="14"/>
    <n v="2893"/>
    <n v="294"/>
    <n v="472"/>
    <n v="2"/>
    <n v="5324"/>
    <n v="69"/>
    <n v="0"/>
    <n v="0"/>
    <n v="0"/>
    <n v="0"/>
    <n v="0"/>
    <n v="676"/>
    <n v="4"/>
    <n v="4"/>
    <n v="4"/>
    <n v="8"/>
    <n v="1"/>
    <n v="38"/>
    <n v="48"/>
    <n v="29"/>
    <n v="59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9"/>
    <n v="6"/>
    <n v="19"/>
    <n v="4"/>
    <s v="madison.brennan@yclibrary.org"/>
    <x v="1"/>
    <n v="103"/>
  </r>
  <r>
    <x v="8"/>
    <x v="8"/>
    <x v="0"/>
    <n v="210"/>
    <n v="172"/>
    <n v="14788"/>
    <n v="1909"/>
    <n v="3690"/>
    <n v="18"/>
    <n v="16046"/>
    <n v="117"/>
    <n v="36"/>
    <n v="4"/>
    <n v="137"/>
    <m/>
    <m/>
    <n v="3193"/>
    <n v="21"/>
    <n v="4"/>
    <n v="13"/>
    <n v="23"/>
    <n v="4"/>
    <n v="847"/>
    <n v="106"/>
    <n v="116"/>
    <m/>
    <n v="284"/>
    <n v="0"/>
    <n v="4"/>
    <n v="2"/>
    <n v="6"/>
    <n v="5"/>
    <n v="0"/>
    <n v="1278"/>
    <n v="51"/>
    <n v="126"/>
    <n v="656"/>
    <n v="0"/>
    <n v="0"/>
    <n v="0"/>
    <n v="2"/>
    <n v="1"/>
    <n v="0"/>
    <n v="0"/>
    <n v="0"/>
    <n v="29"/>
    <n v="98"/>
    <m/>
    <m/>
    <n v="135"/>
    <n v="7"/>
    <n v="37.299999999999997"/>
    <n v="9"/>
    <s v="amanda.antonacci@yclibrary.org"/>
    <x v="1"/>
    <n v="301"/>
  </r>
  <r>
    <x v="8"/>
    <x v="8"/>
    <x v="2"/>
    <n v="200"/>
    <n v="61"/>
    <n v="11114"/>
    <n v="733"/>
    <n v="1860"/>
    <m/>
    <n v="21893"/>
    <n v="33"/>
    <n v="5"/>
    <m/>
    <m/>
    <m/>
    <m/>
    <n v="2008"/>
    <n v="35"/>
    <n v="6"/>
    <n v="9"/>
    <n v="14"/>
    <n v="4"/>
    <n v="1301"/>
    <n v="87"/>
    <n v="79"/>
    <n v="116"/>
    <n v="203"/>
    <m/>
    <m/>
    <m/>
    <m/>
    <m/>
    <m/>
    <m/>
    <m/>
    <m/>
    <m/>
    <m/>
    <m/>
    <m/>
    <m/>
    <m/>
    <m/>
    <m/>
    <m/>
    <m/>
    <m/>
    <m/>
    <m/>
    <n v="1475"/>
    <m/>
    <m/>
    <m/>
    <s v="tom.holloway@yclibrary.org"/>
    <x v="1"/>
    <n v="909"/>
  </r>
  <r>
    <x v="0"/>
    <x v="0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10.5"/>
    <m/>
    <s v="martin.house@yclibrary.org"/>
    <x v="2"/>
    <m/>
  </r>
  <r>
    <x v="0"/>
    <x v="0"/>
    <x v="3"/>
    <n v="64"/>
    <n v="12"/>
    <n v="3615"/>
    <n v="166"/>
    <n v="514"/>
    <n v="7"/>
    <n v="5708"/>
    <n v="29"/>
    <n v="1"/>
    <m/>
    <m/>
    <m/>
    <m/>
    <n v="568"/>
    <n v="4"/>
    <n v="5"/>
    <n v="1"/>
    <n v="9"/>
    <n v="0"/>
    <n v="46"/>
    <n v="22"/>
    <n v="12"/>
    <n v="89"/>
    <n v="0"/>
    <n v="2"/>
    <n v="0"/>
    <n v="0"/>
    <n v="0"/>
    <n v="0"/>
    <n v="31"/>
    <n v="0"/>
    <n v="0"/>
    <n v="0"/>
    <n v="0"/>
    <n v="0"/>
    <n v="0"/>
    <n v="0"/>
    <n v="0"/>
    <n v="0"/>
    <n v="0"/>
    <n v="0"/>
    <n v="0"/>
    <n v="0"/>
    <n v="0"/>
    <n v="0"/>
    <n v="0"/>
    <n v="649"/>
    <n v="4"/>
    <n v="12"/>
    <n v="5"/>
    <s v="rae.lovvorn@yclibrary.org"/>
    <x v="2"/>
    <n v="193"/>
  </r>
  <r>
    <x v="0"/>
    <x v="0"/>
    <x v="1"/>
    <n v="36"/>
    <n v="10"/>
    <n v="2648"/>
    <n v="202"/>
    <n v="491"/>
    <n v="0"/>
    <n v="4823"/>
    <n v="64"/>
    <n v="0"/>
    <m/>
    <m/>
    <m/>
    <m/>
    <n v="700"/>
    <n v="5"/>
    <n v="3"/>
    <n v="4"/>
    <n v="5"/>
    <n v="1"/>
    <n v="32"/>
    <n v="28"/>
    <n v="25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7"/>
    <n v="7"/>
    <n v="22"/>
    <n v="2"/>
    <s v="madison.brennan@yclibrary.org"/>
    <x v="2"/>
    <n v="121"/>
  </r>
  <r>
    <x v="0"/>
    <x v="0"/>
    <x v="7"/>
    <n v="10"/>
    <n v="37"/>
    <n v="1556"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"/>
    <n v="47.5"/>
    <n v="3"/>
    <s v="jennifer.strokis@yclibrary.org"/>
    <x v="2"/>
    <m/>
  </r>
  <r>
    <x v="0"/>
    <x v="0"/>
    <x v="4"/>
    <n v="62"/>
    <n v="37"/>
    <n v="4582"/>
    <n v="415"/>
    <m/>
    <n v="24"/>
    <n v="7362"/>
    <n v="102"/>
    <n v="0"/>
    <m/>
    <m/>
    <m/>
    <m/>
    <n v="1766"/>
    <n v="11"/>
    <n v="3"/>
    <n v="1"/>
    <n v="6"/>
    <n v="0"/>
    <n v="231"/>
    <n v="55"/>
    <n v="7"/>
    <n v="45"/>
    <n v="0"/>
    <m/>
    <m/>
    <m/>
    <m/>
    <m/>
    <m/>
    <m/>
    <m/>
    <m/>
    <m/>
    <m/>
    <m/>
    <m/>
    <m/>
    <m/>
    <m/>
    <m/>
    <m/>
    <m/>
    <m/>
    <m/>
    <m/>
    <n v="154"/>
    <n v="2"/>
    <n v="6"/>
    <n v="0"/>
    <s v="jennifer.stanley@yclibrary.org"/>
    <x v="2"/>
    <n v="154"/>
  </r>
  <r>
    <x v="0"/>
    <x v="0"/>
    <x v="4"/>
    <m/>
    <m/>
    <m/>
    <m/>
    <n v="8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jennifer.stanley@yclibrary.org"/>
    <x v="2"/>
    <m/>
  </r>
  <r>
    <x v="0"/>
    <x v="0"/>
    <x v="2"/>
    <n v="234"/>
    <n v="62"/>
    <n v="12721"/>
    <n v="779"/>
    <n v="1715"/>
    <n v="8"/>
    <n v="40953"/>
    <n v="71"/>
    <n v="5"/>
    <m/>
    <m/>
    <m/>
    <m/>
    <n v="1504"/>
    <n v="31"/>
    <n v="5"/>
    <n v="6"/>
    <n v="11"/>
    <n v="4"/>
    <n v="1270"/>
    <n v="68"/>
    <n v="46"/>
    <n v="93"/>
    <n v="183"/>
    <m/>
    <m/>
    <m/>
    <m/>
    <m/>
    <m/>
    <m/>
    <m/>
    <m/>
    <m/>
    <m/>
    <m/>
    <m/>
    <m/>
    <m/>
    <m/>
    <m/>
    <m/>
    <m/>
    <m/>
    <m/>
    <m/>
    <n v="1392"/>
    <n v="1"/>
    <n v="1"/>
    <m/>
    <s v="tom.holloway@yclibrary.org"/>
    <x v="2"/>
    <n v="646"/>
  </r>
  <r>
    <x v="0"/>
    <x v="0"/>
    <x v="0"/>
    <n v="1"/>
    <n v="83"/>
    <n v="0"/>
    <n v="0"/>
    <n v="0"/>
    <n v="0"/>
    <n v="992"/>
    <n v="0"/>
    <n v="0"/>
    <n v="1"/>
    <n v="67"/>
    <n v="1110"/>
    <n v="6578"/>
    <n v="0"/>
    <n v="0"/>
    <n v="0"/>
    <n v="0"/>
    <n v="0"/>
    <n v="0"/>
    <n v="0"/>
    <n v="0"/>
    <n v="0"/>
    <n v="0"/>
    <n v="0"/>
    <n v="16"/>
    <n v="3"/>
    <n v="11"/>
    <n v="12"/>
    <n v="5"/>
    <n v="337"/>
    <n v="57"/>
    <n v="270"/>
    <n v="96"/>
    <n v="196"/>
    <n v="0"/>
    <n v="0"/>
    <n v="0"/>
    <n v="2"/>
    <n v="0"/>
    <n v="0"/>
    <n v="0"/>
    <n v="0"/>
    <n v="22"/>
    <n v="0"/>
    <n v="0"/>
    <n v="0"/>
    <n v="64"/>
    <n v="66"/>
    <n v="132"/>
    <n v="0"/>
    <s v="amanda.antonacci@yclibrary.org"/>
    <x v="2"/>
    <n v="0"/>
  </r>
  <r>
    <x v="1"/>
    <x v="1"/>
    <x v="3"/>
    <n v="47"/>
    <n v="19"/>
    <n v="3382"/>
    <n v="192"/>
    <n v="290"/>
    <n v="10"/>
    <n v="4042"/>
    <n v="23"/>
    <n v="0"/>
    <m/>
    <m/>
    <m/>
    <m/>
    <n v="593"/>
    <n v="7"/>
    <n v="5"/>
    <n v="2"/>
    <n v="10"/>
    <n v="0"/>
    <n v="77"/>
    <n v="51"/>
    <n v="18"/>
    <n v="83"/>
    <n v="0"/>
    <n v="2"/>
    <n v="0"/>
    <n v="0"/>
    <n v="0"/>
    <n v="0"/>
    <n v="37"/>
    <n v="0"/>
    <n v="0"/>
    <n v="0"/>
    <n v="0"/>
    <n v="0"/>
    <n v="0"/>
    <n v="0"/>
    <n v="0"/>
    <n v="0"/>
    <n v="0"/>
    <n v="0"/>
    <n v="0"/>
    <n v="0"/>
    <n v="0"/>
    <n v="0"/>
    <n v="0"/>
    <n v="638"/>
    <n v="13"/>
    <n v="121"/>
    <n v="7"/>
    <s v="rae.lovvorn@yclibrary.org"/>
    <x v="2"/>
    <n v="151"/>
  </r>
  <r>
    <x v="1"/>
    <x v="1"/>
    <x v="4"/>
    <n v="65"/>
    <n v="12"/>
    <n v="4167"/>
    <n v="423"/>
    <n v="877"/>
    <n v="17"/>
    <n v="7854"/>
    <n v="110"/>
    <n v="0"/>
    <m/>
    <m/>
    <m/>
    <m/>
    <n v="849"/>
    <n v="7"/>
    <n v="3"/>
    <n v="2"/>
    <n v="6"/>
    <n v="1"/>
    <n v="131"/>
    <n v="45"/>
    <n v="9"/>
    <n v="47"/>
    <n v="5"/>
    <m/>
    <m/>
    <m/>
    <m/>
    <m/>
    <m/>
    <m/>
    <m/>
    <m/>
    <m/>
    <m/>
    <m/>
    <m/>
    <m/>
    <m/>
    <m/>
    <m/>
    <m/>
    <m/>
    <m/>
    <m/>
    <m/>
    <n v="251"/>
    <n v="18"/>
    <n v="147"/>
    <n v="0"/>
    <s v="jennifer.stanley@yclibrary.org"/>
    <x v="2"/>
    <n v="110"/>
  </r>
  <r>
    <x v="1"/>
    <x v="1"/>
    <x v="2"/>
    <n v="211"/>
    <n v="38"/>
    <n v="12673"/>
    <n v="907"/>
    <n v="1579"/>
    <n v="11"/>
    <n v="39230"/>
    <n v="64"/>
    <n v="5"/>
    <m/>
    <m/>
    <m/>
    <m/>
    <n v="1875"/>
    <n v="15"/>
    <n v="5"/>
    <n v="10"/>
    <n v="13"/>
    <n v="4"/>
    <n v="624"/>
    <n v="73"/>
    <n v="100"/>
    <n v="1"/>
    <n v="236"/>
    <m/>
    <m/>
    <m/>
    <m/>
    <m/>
    <m/>
    <m/>
    <m/>
    <m/>
    <m/>
    <m/>
    <m/>
    <m/>
    <m/>
    <m/>
    <m/>
    <m/>
    <m/>
    <m/>
    <m/>
    <m/>
    <m/>
    <n v="2292"/>
    <n v="23"/>
    <n v="177"/>
    <m/>
    <s v="tom.holloway@yclibrary.org"/>
    <x v="2"/>
    <n v="126"/>
  </r>
  <r>
    <x v="1"/>
    <x v="1"/>
    <x v="7"/>
    <n v="19"/>
    <n v="84"/>
    <n v="841"/>
    <m/>
    <m/>
    <m/>
    <n v="2226"/>
    <m/>
    <m/>
    <m/>
    <m/>
    <m/>
    <m/>
    <m/>
    <m/>
    <m/>
    <m/>
    <m/>
    <m/>
    <m/>
    <m/>
    <m/>
    <m/>
    <m/>
    <n v="3"/>
    <m/>
    <m/>
    <n v="2"/>
    <m/>
    <n v="91"/>
    <m/>
    <m/>
    <n v="25"/>
    <m/>
    <m/>
    <m/>
    <m/>
    <m/>
    <m/>
    <m/>
    <m/>
    <m/>
    <m/>
    <m/>
    <n v="2"/>
    <n v="45"/>
    <n v="1"/>
    <n v="5"/>
    <n v="42"/>
    <n v="5"/>
    <s v="jennifer.strokis@yclibrary.org"/>
    <x v="2"/>
    <m/>
  </r>
  <r>
    <x v="1"/>
    <x v="1"/>
    <x v="1"/>
    <n v="27"/>
    <n v="5"/>
    <n v="2568"/>
    <n v="232"/>
    <n v="450"/>
    <n v="3"/>
    <n v="4894"/>
    <n v="58"/>
    <n v="0"/>
    <m/>
    <m/>
    <m/>
    <m/>
    <n v="773"/>
    <n v="8"/>
    <n v="2"/>
    <n v="2"/>
    <n v="7"/>
    <n v="1"/>
    <n v="91"/>
    <n v="14"/>
    <n v="12"/>
    <n v="4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4"/>
    <n v="11"/>
    <n v="101.5"/>
    <n v="3"/>
    <s v="madison.brennan@yclibrary.org"/>
    <x v="2"/>
    <n v="138"/>
  </r>
  <r>
    <x v="2"/>
    <x v="2"/>
    <x v="1"/>
    <n v="24"/>
    <n v="13"/>
    <n v="3113"/>
    <n v="230"/>
    <n v="513"/>
    <n v="2"/>
    <n v="4877"/>
    <n v="83"/>
    <n v="0"/>
    <m/>
    <m/>
    <m/>
    <m/>
    <n v="1346"/>
    <n v="7"/>
    <n v="4"/>
    <n v="2"/>
    <n v="7"/>
    <n v="0"/>
    <n v="87"/>
    <n v="21"/>
    <n v="17"/>
    <n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8"/>
    <n v="7"/>
    <n v="30.5"/>
    <n v="1"/>
    <s v="madison.brennan@yclibrary.org"/>
    <x v="2"/>
    <n v="199"/>
  </r>
  <r>
    <x v="2"/>
    <x v="2"/>
    <x v="3"/>
    <n v="59"/>
    <n v="22"/>
    <n v="3783"/>
    <n v="175"/>
    <n v="626"/>
    <n v="12"/>
    <n v="4975"/>
    <n v="18"/>
    <n v="2"/>
    <m/>
    <m/>
    <m/>
    <m/>
    <n v="811"/>
    <n v="5"/>
    <n v="4"/>
    <n v="2"/>
    <n v="13"/>
    <n v="0"/>
    <n v="70"/>
    <n v="29"/>
    <n v="16"/>
    <n v="1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4"/>
    <n v="3"/>
    <n v="26"/>
    <n v="9"/>
    <s v="rae.lovvorn@yclibrary.org"/>
    <x v="2"/>
    <n v="198"/>
  </r>
  <r>
    <x v="2"/>
    <x v="2"/>
    <x v="2"/>
    <n v="223"/>
    <n v="42"/>
    <n v="14045"/>
    <n v="1042"/>
    <n v="1807"/>
    <n v="10"/>
    <n v="42370"/>
    <n v="79"/>
    <n v="5"/>
    <m/>
    <m/>
    <m/>
    <m/>
    <n v="3408"/>
    <n v="33"/>
    <n v="6"/>
    <n v="8"/>
    <n v="10"/>
    <n v="4"/>
    <n v="1370"/>
    <n v="81"/>
    <n v="76"/>
    <n v="87"/>
    <n v="230"/>
    <m/>
    <m/>
    <m/>
    <m/>
    <m/>
    <m/>
    <m/>
    <m/>
    <m/>
    <m/>
    <m/>
    <m/>
    <m/>
    <m/>
    <m/>
    <m/>
    <m/>
    <m/>
    <m/>
    <m/>
    <n v="2"/>
    <n v="550"/>
    <n v="1352"/>
    <n v="1"/>
    <n v="1"/>
    <m/>
    <s v="tom.holloway@yclibrary.org"/>
    <x v="2"/>
    <n v="126"/>
  </r>
  <r>
    <x v="2"/>
    <x v="2"/>
    <x v="7"/>
    <n v="7"/>
    <n v="31"/>
    <n v="892"/>
    <m/>
    <m/>
    <m/>
    <n v="3218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n v="5"/>
    <n v="36.5"/>
    <n v="3"/>
    <s v="jennifer.strokis@yclibrary.org"/>
    <x v="2"/>
    <m/>
  </r>
  <r>
    <x v="2"/>
    <x v="2"/>
    <x v="4"/>
    <n v="63"/>
    <n v="8"/>
    <n v="4900"/>
    <n v="506"/>
    <n v="912"/>
    <n v="16"/>
    <n v="7611"/>
    <n v="107"/>
    <n v="0"/>
    <m/>
    <m/>
    <m/>
    <m/>
    <n v="1943"/>
    <n v="13"/>
    <n v="3"/>
    <n v="2"/>
    <n v="7"/>
    <m/>
    <n v="295"/>
    <n v="75"/>
    <n v="11"/>
    <n v="60"/>
    <m/>
    <m/>
    <m/>
    <m/>
    <m/>
    <m/>
    <m/>
    <m/>
    <m/>
    <m/>
    <m/>
    <m/>
    <m/>
    <m/>
    <m/>
    <m/>
    <m/>
    <m/>
    <m/>
    <m/>
    <m/>
    <n v="1"/>
    <n v="120"/>
    <n v="135"/>
    <n v="2"/>
    <n v="6"/>
    <n v="0"/>
    <s v="jennifer.stanley@yclibrary.org"/>
    <x v="2"/>
    <n v="117"/>
  </r>
  <r>
    <x v="2"/>
    <x v="2"/>
    <x v="0"/>
    <n v="5"/>
    <n v="293"/>
    <n v="0"/>
    <n v="0"/>
    <n v="0"/>
    <n v="0"/>
    <n v="3708"/>
    <n v="0"/>
    <n v="0"/>
    <n v="2"/>
    <n v="77"/>
    <n v="955"/>
    <n v="6295"/>
    <n v="0"/>
    <n v="0"/>
    <n v="0"/>
    <n v="0"/>
    <n v="0"/>
    <n v="0"/>
    <n v="0"/>
    <n v="0"/>
    <n v="0"/>
    <n v="0"/>
    <n v="0"/>
    <n v="14"/>
    <n v="2"/>
    <n v="7"/>
    <n v="11"/>
    <n v="5"/>
    <n v="431"/>
    <n v="28"/>
    <n v="248"/>
    <n v="91"/>
    <n v="247"/>
    <n v="0"/>
    <n v="0"/>
    <n v="0"/>
    <n v="2"/>
    <n v="0"/>
    <n v="0"/>
    <n v="0"/>
    <n v="0"/>
    <n v="20"/>
    <n v="0"/>
    <n v="0"/>
    <n v="0"/>
    <n v="50"/>
    <n v="30"/>
    <n v="56.75"/>
    <n v="0"/>
    <s v="amanda.antonacci@yclibrary.org"/>
    <x v="2"/>
    <n v="0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7"/>
    <x v="0"/>
    <n v="31544"/>
    <n v="161"/>
    <n v="178"/>
    <n v="84"/>
    <n v="101"/>
    <n v="104"/>
    <n v="4452"/>
    <n v="12501"/>
    <n v="24"/>
    <n v="13"/>
    <n v="0"/>
    <n v="21"/>
    <n v="0"/>
    <n v="6"/>
    <n v="1230"/>
    <n v="1439"/>
    <n v="57.5"/>
    <n v="787"/>
    <n v="56"/>
    <n v="1731"/>
    <n v="9918"/>
    <n v="9089"/>
    <n v="2078"/>
    <m/>
    <m/>
    <x v="0"/>
  </r>
  <r>
    <n v="8"/>
    <x v="1"/>
    <m/>
    <m/>
    <m/>
    <m/>
    <m/>
    <m/>
    <m/>
    <m/>
    <m/>
    <m/>
    <m/>
    <m/>
    <m/>
    <m/>
    <m/>
    <m/>
    <m/>
    <m/>
    <m/>
    <m/>
    <m/>
    <n v="9134"/>
    <n v="2121"/>
    <m/>
    <m/>
    <x v="0"/>
  </r>
  <r>
    <n v="8"/>
    <x v="1"/>
    <n v="29744"/>
    <n v="112"/>
    <n v="954"/>
    <n v="45"/>
    <n v="191"/>
    <n v="96"/>
    <n v="641"/>
    <n v="7589"/>
    <n v="5"/>
    <m/>
    <m/>
    <m/>
    <m/>
    <m/>
    <n v="1230"/>
    <n v="2880"/>
    <n v="92.8"/>
    <n v="795"/>
    <n v="54"/>
    <n v="2119"/>
    <n v="10556"/>
    <m/>
    <m/>
    <n v="0"/>
    <n v="68"/>
    <x v="0"/>
  </r>
  <r>
    <n v="8"/>
    <x v="1"/>
    <n v="30051"/>
    <n v="102"/>
    <n v="1017"/>
    <n v="227"/>
    <m/>
    <n v="16"/>
    <m/>
    <m/>
    <m/>
    <n v="20"/>
    <n v="0"/>
    <n v="11"/>
    <n v="9"/>
    <m/>
    <n v="1160"/>
    <n v="5067"/>
    <n v="151.30000000000001"/>
    <m/>
    <n v="32"/>
    <m/>
    <m/>
    <n v="8090"/>
    <n v="1845"/>
    <m/>
    <m/>
    <x v="1"/>
  </r>
  <r>
    <n v="7"/>
    <x v="0"/>
    <n v="44243"/>
    <n v="120"/>
    <n v="666"/>
    <n v="114"/>
    <m/>
    <n v="74"/>
    <m/>
    <m/>
    <m/>
    <n v="24"/>
    <n v="1"/>
    <n v="114"/>
    <m/>
    <m/>
    <n v="1160"/>
    <n v="5143"/>
    <n v="141.9"/>
    <m/>
    <n v="38"/>
    <m/>
    <m/>
    <n v="8027"/>
    <n v="1830"/>
    <m/>
    <m/>
    <x v="1"/>
  </r>
  <r>
    <n v="10"/>
    <x v="2"/>
    <n v="31022"/>
    <n v="87"/>
    <n v="279"/>
    <n v="158"/>
    <m/>
    <n v="64"/>
    <m/>
    <m/>
    <m/>
    <n v="13"/>
    <n v="1"/>
    <n v="85"/>
    <n v="5"/>
    <m/>
    <n v="1170"/>
    <n v="2533"/>
    <n v="89.4"/>
    <m/>
    <n v="133"/>
    <m/>
    <m/>
    <n v="8241"/>
    <n v="1900"/>
    <m/>
    <m/>
    <x v="1"/>
  </r>
  <r>
    <n v="9"/>
    <x v="3"/>
    <n v="28904"/>
    <n v="90"/>
    <n v="2733"/>
    <n v="107"/>
    <m/>
    <n v="30"/>
    <m/>
    <m/>
    <m/>
    <n v="21"/>
    <n v="5"/>
    <n v="115"/>
    <n v="2"/>
    <m/>
    <n v="1170"/>
    <n v="4156"/>
    <n v="121.7"/>
    <m/>
    <n v="38"/>
    <m/>
    <m/>
    <n v="8147"/>
    <n v="1877"/>
    <m/>
    <m/>
    <x v="1"/>
  </r>
  <r>
    <n v="11"/>
    <x v="4"/>
    <n v="23974"/>
    <n v="74"/>
    <n v="93"/>
    <n v="106"/>
    <m/>
    <n v="41"/>
    <m/>
    <m/>
    <m/>
    <n v="9"/>
    <n v="0"/>
    <n v="26"/>
    <n v="59"/>
    <m/>
    <n v="1170"/>
    <n v="2360"/>
    <n v="201.6"/>
    <m/>
    <n v="50"/>
    <m/>
    <m/>
    <n v="8279"/>
    <n v="1903"/>
    <m/>
    <m/>
    <x v="1"/>
  </r>
  <r>
    <n v="12"/>
    <x v="5"/>
    <n v="23158"/>
    <n v="110"/>
    <n v="96"/>
    <n v="147"/>
    <m/>
    <n v="69"/>
    <m/>
    <m/>
    <m/>
    <n v="13"/>
    <n v="0"/>
    <n v="23"/>
    <n v="6"/>
    <m/>
    <n v="1180"/>
    <n v="1620"/>
    <n v="85.3"/>
    <m/>
    <n v="36"/>
    <m/>
    <m/>
    <n v="8354"/>
    <n v="1913"/>
    <m/>
    <m/>
    <x v="1"/>
  </r>
  <r>
    <n v="1"/>
    <x v="6"/>
    <n v="30550"/>
    <n v="151"/>
    <n v="97"/>
    <n v="231"/>
    <m/>
    <n v="85"/>
    <m/>
    <m/>
    <m/>
    <n v="6"/>
    <n v="1"/>
    <n v="15"/>
    <n v="4"/>
    <m/>
    <n v="1190"/>
    <n v="2148"/>
    <n v="90.4"/>
    <m/>
    <m/>
    <m/>
    <m/>
    <n v="8448"/>
    <n v="1921"/>
    <m/>
    <m/>
    <x v="1"/>
  </r>
  <r>
    <n v="2"/>
    <x v="7"/>
    <n v="25532"/>
    <n v="112"/>
    <n v="108"/>
    <n v="119"/>
    <m/>
    <n v="51"/>
    <m/>
    <m/>
    <m/>
    <n v="10"/>
    <n v="1"/>
    <m/>
    <m/>
    <m/>
    <n v="1190"/>
    <n v="2939"/>
    <n v="114.8"/>
    <m/>
    <n v="37"/>
    <m/>
    <m/>
    <n v="8533"/>
    <n v="1944"/>
    <m/>
    <m/>
    <x v="1"/>
  </r>
  <r>
    <n v="3"/>
    <x v="8"/>
    <n v="26431"/>
    <n v="193"/>
    <n v="119"/>
    <n v="151"/>
    <m/>
    <n v="131"/>
    <m/>
    <m/>
    <m/>
    <n v="9"/>
    <n v="0"/>
    <n v="3"/>
    <n v="0"/>
    <m/>
    <n v="1200"/>
    <n v="3525"/>
    <n v="140.1"/>
    <m/>
    <n v="53"/>
    <m/>
    <m/>
    <n v="8619"/>
    <n v="1972"/>
    <m/>
    <m/>
    <x v="1"/>
  </r>
  <r>
    <n v="4"/>
    <x v="9"/>
    <n v="25974"/>
    <n v="120"/>
    <n v="85"/>
    <n v="131"/>
    <m/>
    <n v="82"/>
    <m/>
    <m/>
    <m/>
    <n v="21"/>
    <n v="0"/>
    <n v="59"/>
    <n v="4"/>
    <m/>
    <n v="1210"/>
    <n v="2435"/>
    <n v="87.8"/>
    <m/>
    <m/>
    <m/>
    <m/>
    <n v="8703"/>
    <n v="1990"/>
    <m/>
    <m/>
    <x v="1"/>
  </r>
  <r>
    <n v="4"/>
    <x v="9"/>
    <m/>
    <m/>
    <m/>
    <m/>
    <m/>
    <m/>
    <m/>
    <m/>
    <m/>
    <n v="21"/>
    <n v="0"/>
    <n v="59"/>
    <n v="4"/>
    <m/>
    <m/>
    <m/>
    <m/>
    <m/>
    <m/>
    <m/>
    <m/>
    <m/>
    <m/>
    <m/>
    <m/>
    <x v="1"/>
  </r>
  <r>
    <n v="5"/>
    <x v="10"/>
    <m/>
    <m/>
    <m/>
    <m/>
    <m/>
    <m/>
    <m/>
    <m/>
    <m/>
    <m/>
    <m/>
    <m/>
    <m/>
    <m/>
    <m/>
    <m/>
    <m/>
    <m/>
    <m/>
    <m/>
    <m/>
    <n v="8875"/>
    <n v="2031"/>
    <m/>
    <m/>
    <x v="1"/>
  </r>
  <r>
    <n v="5"/>
    <x v="10"/>
    <m/>
    <m/>
    <m/>
    <m/>
    <m/>
    <m/>
    <m/>
    <m/>
    <m/>
    <m/>
    <m/>
    <m/>
    <m/>
    <m/>
    <m/>
    <m/>
    <m/>
    <m/>
    <m/>
    <m/>
    <m/>
    <m/>
    <m/>
    <m/>
    <m/>
    <x v="1"/>
  </r>
  <r>
    <n v="5"/>
    <x v="10"/>
    <n v="30295"/>
    <n v="88"/>
    <n v="117"/>
    <n v="197"/>
    <m/>
    <n v="64"/>
    <m/>
    <m/>
    <m/>
    <n v="11"/>
    <n v="0"/>
    <n v="43"/>
    <n v="8"/>
    <m/>
    <n v="1220"/>
    <n v="2540"/>
    <n v="93.9"/>
    <m/>
    <n v="34"/>
    <m/>
    <m/>
    <m/>
    <m/>
    <m/>
    <m/>
    <x v="1"/>
  </r>
  <r>
    <n v="5"/>
    <x v="10"/>
    <m/>
    <m/>
    <m/>
    <m/>
    <m/>
    <m/>
    <m/>
    <m/>
    <m/>
    <n v="11"/>
    <n v="0"/>
    <n v="43"/>
    <n v="8"/>
    <m/>
    <m/>
    <m/>
    <m/>
    <m/>
    <m/>
    <m/>
    <m/>
    <m/>
    <m/>
    <m/>
    <m/>
    <x v="1"/>
  </r>
  <r>
    <n v="6"/>
    <x v="11"/>
    <n v="43697"/>
    <m/>
    <m/>
    <m/>
    <m/>
    <m/>
    <m/>
    <m/>
    <m/>
    <m/>
    <m/>
    <m/>
    <m/>
    <m/>
    <n v="1160"/>
    <n v="7639"/>
    <n v="182"/>
    <m/>
    <n v="32"/>
    <m/>
    <m/>
    <n v="7985"/>
    <n v="1805"/>
    <m/>
    <m/>
    <x v="1"/>
  </r>
  <r>
    <n v="9"/>
    <x v="3"/>
    <m/>
    <m/>
    <m/>
    <m/>
    <m/>
    <m/>
    <m/>
    <m/>
    <m/>
    <m/>
    <m/>
    <m/>
    <m/>
    <m/>
    <m/>
    <m/>
    <m/>
    <m/>
    <m/>
    <m/>
    <m/>
    <n v="9225"/>
    <n v="2160"/>
    <m/>
    <m/>
    <x v="0"/>
  </r>
  <r>
    <n v="9"/>
    <x v="3"/>
    <n v="29805"/>
    <n v="94"/>
    <n v="1637"/>
    <n v="84"/>
    <n v="98"/>
    <n v="61"/>
    <n v="213"/>
    <n v="9911"/>
    <n v="11"/>
    <m/>
    <m/>
    <m/>
    <m/>
    <m/>
    <n v="1250"/>
    <n v="1301"/>
    <n v="84.3"/>
    <n v="808"/>
    <n v="44"/>
    <n v="1933"/>
    <n v="10270"/>
    <m/>
    <m/>
    <n v="3"/>
    <n v="8"/>
    <x v="0"/>
  </r>
  <r>
    <n v="10"/>
    <x v="2"/>
    <n v="24187"/>
    <n v="105"/>
    <n v="165"/>
    <n v="99"/>
    <n v="133"/>
    <n v="89"/>
    <n v="155"/>
    <n v="8590"/>
    <n v="9"/>
    <m/>
    <m/>
    <m/>
    <m/>
    <m/>
    <n v="1250"/>
    <n v="1883"/>
    <n v="75.900000000000006"/>
    <n v="813"/>
    <n v="50"/>
    <n v="1915"/>
    <n v="9724"/>
    <m/>
    <m/>
    <n v="6"/>
    <n v="13"/>
    <x v="0"/>
  </r>
  <r>
    <n v="10"/>
    <x v="2"/>
    <m/>
    <m/>
    <m/>
    <m/>
    <m/>
    <m/>
    <m/>
    <m/>
    <m/>
    <m/>
    <m/>
    <m/>
    <m/>
    <m/>
    <m/>
    <m/>
    <m/>
    <m/>
    <m/>
    <m/>
    <m/>
    <n v="9302"/>
    <n v="2193"/>
    <m/>
    <m/>
    <x v="0"/>
  </r>
  <r>
    <n v="11"/>
    <x v="4"/>
    <m/>
    <m/>
    <m/>
    <m/>
    <m/>
    <m/>
    <m/>
    <m/>
    <m/>
    <m/>
    <m/>
    <m/>
    <m/>
    <m/>
    <m/>
    <m/>
    <m/>
    <m/>
    <m/>
    <m/>
    <m/>
    <n v="9341"/>
    <n v="2213"/>
    <m/>
    <m/>
    <x v="0"/>
  </r>
  <r>
    <n v="11"/>
    <x v="4"/>
    <n v="21988"/>
    <n v="90"/>
    <n v="91"/>
    <n v="127"/>
    <n v="103"/>
    <n v="75"/>
    <n v="179"/>
    <n v="6781"/>
    <n v="38"/>
    <m/>
    <m/>
    <m/>
    <m/>
    <m/>
    <n v="1260"/>
    <n v="1944"/>
    <n v="72.2"/>
    <n v="814"/>
    <n v="28"/>
    <n v="1868"/>
    <n v="9025"/>
    <m/>
    <m/>
    <n v="2"/>
    <n v="16"/>
    <x v="0"/>
  </r>
  <r>
    <n v="12"/>
    <x v="5"/>
    <n v="23277"/>
    <n v="85"/>
    <n v="42"/>
    <n v="100"/>
    <n v="124"/>
    <n v="76"/>
    <n v="1248"/>
    <n v="6936"/>
    <n v="138"/>
    <m/>
    <m/>
    <m/>
    <m/>
    <m/>
    <n v="1260"/>
    <n v="1678"/>
    <n v="53.9"/>
    <n v="819"/>
    <n v="40"/>
    <n v="1906"/>
    <n v="9039"/>
    <m/>
    <m/>
    <n v="5"/>
    <n v="18"/>
    <x v="0"/>
  </r>
  <r>
    <n v="12"/>
    <x v="5"/>
    <m/>
    <m/>
    <m/>
    <m/>
    <m/>
    <m/>
    <m/>
    <m/>
    <m/>
    <m/>
    <m/>
    <m/>
    <m/>
    <m/>
    <m/>
    <m/>
    <m/>
    <m/>
    <m/>
    <m/>
    <m/>
    <n v="9427"/>
    <n v="2228"/>
    <m/>
    <m/>
    <x v="0"/>
  </r>
  <r>
    <n v="12"/>
    <x v="5"/>
    <n v="23277"/>
    <n v="85"/>
    <n v="42"/>
    <n v="100"/>
    <n v="124"/>
    <n v="76"/>
    <n v="1248"/>
    <n v="6936"/>
    <n v="138"/>
    <m/>
    <m/>
    <m/>
    <m/>
    <m/>
    <n v="1260"/>
    <n v="1678"/>
    <n v="53.9"/>
    <n v="819"/>
    <n v="40"/>
    <n v="1906"/>
    <n v="9039"/>
    <m/>
    <m/>
    <n v="5"/>
    <n v="18"/>
    <x v="0"/>
  </r>
  <r>
    <n v="12"/>
    <x v="5"/>
    <m/>
    <m/>
    <m/>
    <m/>
    <m/>
    <m/>
    <m/>
    <m/>
    <m/>
    <m/>
    <m/>
    <m/>
    <m/>
    <m/>
    <m/>
    <m/>
    <m/>
    <m/>
    <m/>
    <m/>
    <m/>
    <n v="9427"/>
    <n v="2228"/>
    <m/>
    <m/>
    <x v="0"/>
  </r>
  <r>
    <n v="1"/>
    <x v="6"/>
    <m/>
    <m/>
    <m/>
    <m/>
    <m/>
    <m/>
    <m/>
    <m/>
    <m/>
    <m/>
    <m/>
    <m/>
    <m/>
    <m/>
    <m/>
    <m/>
    <m/>
    <m/>
    <m/>
    <m/>
    <m/>
    <n v="9535"/>
    <n v="2272"/>
    <m/>
    <m/>
    <x v="2"/>
  </r>
  <r>
    <n v="1"/>
    <x v="6"/>
    <n v="28900"/>
    <n v="82"/>
    <n v="95"/>
    <n v="106"/>
    <n v="138"/>
    <n v="55"/>
    <n v="1447"/>
    <n v="14540"/>
    <n v="71"/>
    <m/>
    <m/>
    <m/>
    <m/>
    <m/>
    <n v="1270"/>
    <n v="1867"/>
    <n v="66.5"/>
    <n v="818"/>
    <n v="43"/>
    <n v="2097"/>
    <n v="22663"/>
    <m/>
    <m/>
    <n v="2"/>
    <n v="17"/>
    <x v="2"/>
  </r>
  <r>
    <n v="1"/>
    <x v="6"/>
    <n v="30550"/>
    <m/>
    <m/>
    <m/>
    <m/>
    <m/>
    <m/>
    <m/>
    <m/>
    <m/>
    <m/>
    <m/>
    <m/>
    <m/>
    <n v="1090"/>
    <n v="7349"/>
    <n v="210"/>
    <m/>
    <n v="58"/>
    <m/>
    <m/>
    <n v="8448"/>
    <n v="1686"/>
    <m/>
    <n v="231"/>
    <x v="0"/>
  </r>
  <r>
    <n v="2"/>
    <x v="7"/>
    <n v="25532"/>
    <m/>
    <m/>
    <m/>
    <m/>
    <m/>
    <m/>
    <m/>
    <m/>
    <m/>
    <m/>
    <m/>
    <m/>
    <m/>
    <n v="1190"/>
    <n v="2939"/>
    <n v="115"/>
    <m/>
    <n v="37"/>
    <n v="797"/>
    <n v="2938"/>
    <n v="8533"/>
    <n v="1944"/>
    <m/>
    <m/>
    <x v="0"/>
  </r>
  <r>
    <n v="3"/>
    <x v="8"/>
    <n v="26431"/>
    <m/>
    <m/>
    <m/>
    <m/>
    <m/>
    <m/>
    <m/>
    <m/>
    <m/>
    <m/>
    <m/>
    <m/>
    <m/>
    <n v="1200"/>
    <n v="3525"/>
    <n v="140"/>
    <m/>
    <n v="53"/>
    <n v="1262"/>
    <n v="5287"/>
    <n v="8619"/>
    <n v="22642"/>
    <m/>
    <m/>
    <x v="0"/>
  </r>
  <r>
    <n v="4"/>
    <x v="9"/>
    <n v="25974"/>
    <m/>
    <m/>
    <m/>
    <m/>
    <m/>
    <m/>
    <m/>
    <m/>
    <m/>
    <m/>
    <m/>
    <m/>
    <m/>
    <n v="1210"/>
    <n v="2435"/>
    <n v="88"/>
    <m/>
    <n v="32"/>
    <n v="1356"/>
    <n v="6226"/>
    <n v="8703"/>
    <n v="21632"/>
    <m/>
    <m/>
    <x v="0"/>
  </r>
  <r>
    <n v="5"/>
    <x v="10"/>
    <n v="30295"/>
    <m/>
    <m/>
    <m/>
    <m/>
    <m/>
    <m/>
    <m/>
    <m/>
    <m/>
    <m/>
    <m/>
    <m/>
    <m/>
    <n v="1220"/>
    <n v="2540"/>
    <n v="94"/>
    <m/>
    <n v="34"/>
    <n v="1520"/>
    <n v="8076"/>
    <n v="8875"/>
    <n v="22065"/>
    <m/>
    <m/>
    <x v="0"/>
  </r>
  <r>
    <n v="6"/>
    <x v="11"/>
    <n v="32054"/>
    <m/>
    <m/>
    <m/>
    <m/>
    <m/>
    <m/>
    <m/>
    <m/>
    <m/>
    <m/>
    <m/>
    <m/>
    <m/>
    <n v="1230"/>
    <n v="1761"/>
    <n v="72"/>
    <m/>
    <n v="48"/>
    <n v="1611"/>
    <n v="8756"/>
    <n v="9002"/>
    <n v="14112"/>
    <m/>
    <m/>
    <x v="0"/>
  </r>
  <r>
    <n v="2"/>
    <x v="7"/>
    <n v="27707"/>
    <n v="68"/>
    <n v="147"/>
    <n v="160"/>
    <n v="126"/>
    <n v="62"/>
    <n v="209"/>
    <m/>
    <n v="11685"/>
    <m/>
    <m/>
    <m/>
    <m/>
    <m/>
    <n v="1280"/>
    <n v="2042"/>
    <n v="67.5"/>
    <n v="824"/>
    <n v="30"/>
    <n v="2063"/>
    <n v="37619"/>
    <m/>
    <m/>
    <n v="2"/>
    <n v="17"/>
    <x v="2"/>
  </r>
  <r>
    <n v="2"/>
    <x v="7"/>
    <m/>
    <m/>
    <m/>
    <m/>
    <m/>
    <m/>
    <m/>
    <m/>
    <m/>
    <m/>
    <m/>
    <m/>
    <m/>
    <m/>
    <m/>
    <m/>
    <m/>
    <m/>
    <m/>
    <m/>
    <m/>
    <n v="9713"/>
    <n v="2314"/>
    <m/>
    <m/>
    <x v="2"/>
  </r>
  <r>
    <n v="3"/>
    <x v="8"/>
    <n v="28476"/>
    <n v="73"/>
    <n v="115"/>
    <n v="138"/>
    <n v="108"/>
    <n v="81"/>
    <n v="166"/>
    <n v="15616"/>
    <n v="52"/>
    <m/>
    <m/>
    <m/>
    <m/>
    <m/>
    <n v="1280"/>
    <n v="1751"/>
    <n v="65"/>
    <n v="837"/>
    <n v="39"/>
    <n v="2319"/>
    <n v="46299"/>
    <m/>
    <m/>
    <n v="2"/>
    <n v="17"/>
    <x v="2"/>
  </r>
  <r>
    <n v="3"/>
    <x v="8"/>
    <m/>
    <m/>
    <m/>
    <m/>
    <m/>
    <m/>
    <m/>
    <m/>
    <m/>
    <m/>
    <m/>
    <m/>
    <m/>
    <m/>
    <m/>
    <m/>
    <m/>
    <m/>
    <m/>
    <m/>
    <m/>
    <n v="9785"/>
    <n v="2345"/>
    <m/>
    <m/>
    <x v="2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9">
  <r>
    <x v="0"/>
    <x v="0"/>
    <s v="ROCK HILL"/>
    <m/>
    <n v="237"/>
    <n v="13105"/>
    <m/>
    <m/>
    <m/>
    <n v="14481"/>
    <n v="121"/>
    <m/>
    <n v="7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0"/>
    <x v="0"/>
    <s v="CLOVER"/>
    <m/>
    <n v="43"/>
    <n v="2152"/>
    <n v="216"/>
    <m/>
    <n v="1"/>
    <n v="2594"/>
    <n v="67"/>
    <m/>
    <m/>
    <m/>
    <m/>
    <m/>
    <m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30"/>
    <n v="38"/>
    <n v="26.5"/>
    <m/>
    <m/>
    <x v="0"/>
    <m/>
  </r>
  <r>
    <x v="0"/>
    <x v="0"/>
    <s v="FORT MILL"/>
    <m/>
    <n v="281"/>
    <n v="10005"/>
    <n v="679"/>
    <m/>
    <n v="6"/>
    <n v="18615"/>
    <n v="33"/>
    <n v="5"/>
    <m/>
    <m/>
    <m/>
    <m/>
    <m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469"/>
    <m/>
    <m/>
    <m/>
    <m/>
    <x v="0"/>
    <m/>
  </r>
  <r>
    <x v="0"/>
    <x v="0"/>
    <s v="LAKE WYLIE"/>
    <m/>
    <n v="75"/>
    <n v="3147"/>
    <n v="138"/>
    <m/>
    <n v="9"/>
    <n v="4442"/>
    <n v="12"/>
    <n v="3"/>
    <m/>
    <m/>
    <m/>
    <m/>
    <m/>
    <n v="1"/>
    <n v="2"/>
    <n v="2"/>
    <n v="10"/>
    <n v="0"/>
    <n v="8"/>
    <n v="6"/>
    <n v="4"/>
    <n v="105"/>
    <n v="0"/>
    <m/>
    <n v="0"/>
    <m/>
    <m/>
    <m/>
    <m/>
    <n v="0"/>
    <m/>
    <m/>
    <m/>
    <m/>
    <m/>
    <m/>
    <m/>
    <m/>
    <m/>
    <m/>
    <m/>
    <m/>
    <m/>
    <m/>
    <m/>
    <n v="261"/>
    <n v="1"/>
    <n v="9"/>
    <n v="2"/>
    <m/>
    <x v="0"/>
    <m/>
  </r>
  <r>
    <x v="0"/>
    <x v="0"/>
    <s v="YORK"/>
    <m/>
    <n v="54"/>
    <n v="3430"/>
    <n v="395"/>
    <m/>
    <n v="3"/>
    <n v="3551"/>
    <n v="99"/>
    <n v="0"/>
    <m/>
    <m/>
    <m/>
    <m/>
    <m/>
    <n v="10"/>
    <n v="2"/>
    <n v="2"/>
    <n v="9"/>
    <m/>
    <n v="146"/>
    <n v="56"/>
    <n v="15"/>
    <n v="91"/>
    <m/>
    <m/>
    <m/>
    <m/>
    <m/>
    <m/>
    <m/>
    <m/>
    <m/>
    <m/>
    <m/>
    <m/>
    <m/>
    <m/>
    <m/>
    <m/>
    <m/>
    <m/>
    <m/>
    <m/>
    <m/>
    <m/>
    <m/>
    <n v="150"/>
    <n v="4"/>
    <n v="16"/>
    <n v="3"/>
    <m/>
    <x v="0"/>
    <m/>
  </r>
  <r>
    <x v="0"/>
    <x v="0"/>
    <s v="OUTREACH/BOOKMOBILE"/>
    <m/>
    <n v="18"/>
    <n v="625"/>
    <m/>
    <m/>
    <m/>
    <n v="1342"/>
    <n v="0"/>
    <m/>
    <m/>
    <m/>
    <m/>
    <m/>
    <m/>
    <n v="3"/>
    <m/>
    <m/>
    <m/>
    <m/>
    <n v="96"/>
    <m/>
    <m/>
    <m/>
    <m/>
    <m/>
    <m/>
    <m/>
    <m/>
    <m/>
    <m/>
    <m/>
    <m/>
    <m/>
    <m/>
    <m/>
    <m/>
    <m/>
    <m/>
    <m/>
    <m/>
    <m/>
    <m/>
    <m/>
    <m/>
    <m/>
    <m/>
    <n v="130"/>
    <n v="1"/>
    <n v="1"/>
    <m/>
    <m/>
    <x v="0"/>
    <m/>
  </r>
  <r>
    <x v="0"/>
    <x v="0"/>
    <s v="YCL (System Wide)"/>
    <m/>
    <m/>
    <m/>
    <m/>
    <n v="0"/>
    <m/>
    <m/>
    <m/>
    <m/>
    <m/>
    <m/>
    <m/>
    <m/>
    <n v="45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"/>
    <x v="1"/>
    <s v="ROCK HILL"/>
    <m/>
    <n v="205"/>
    <n v="13867"/>
    <m/>
    <m/>
    <m/>
    <n v="14107"/>
    <n v="1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"/>
    <x v="1"/>
    <s v="CLOVER"/>
    <m/>
    <n v="31"/>
    <n v="2241"/>
    <n v="207"/>
    <m/>
    <m/>
    <n v="2693"/>
    <n v="57"/>
    <m/>
    <m/>
    <m/>
    <m/>
    <m/>
    <m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0"/>
    <n v="35"/>
    <n v="59.5"/>
    <m/>
    <m/>
    <x v="0"/>
    <m/>
  </r>
  <r>
    <x v="1"/>
    <x v="1"/>
    <s v="FORT MILL"/>
    <m/>
    <n v="223"/>
    <n v="11408"/>
    <n v="686"/>
    <m/>
    <n v="14"/>
    <n v="17829"/>
    <n v="32"/>
    <n v="6"/>
    <m/>
    <m/>
    <m/>
    <m/>
    <m/>
    <n v="23"/>
    <n v="6"/>
    <n v="7"/>
    <n v="14"/>
    <n v="4"/>
    <n v="683"/>
    <n v="66"/>
    <n v="93"/>
    <n v="116"/>
    <n v="154"/>
    <m/>
    <n v="1"/>
    <m/>
    <m/>
    <m/>
    <m/>
    <n v="400"/>
    <m/>
    <m/>
    <m/>
    <m/>
    <m/>
    <m/>
    <m/>
    <m/>
    <m/>
    <m/>
    <m/>
    <m/>
    <m/>
    <m/>
    <m/>
    <n v="365"/>
    <n v="16"/>
    <n v="120"/>
    <m/>
    <m/>
    <x v="0"/>
    <m/>
  </r>
  <r>
    <x v="1"/>
    <x v="1"/>
    <s v="LAKE WYLIE"/>
    <m/>
    <n v="61"/>
    <n v="3400"/>
    <n v="193"/>
    <m/>
    <n v="11"/>
    <n v="4250"/>
    <n v="12"/>
    <n v="3"/>
    <m/>
    <m/>
    <m/>
    <m/>
    <m/>
    <n v="5"/>
    <n v="4"/>
    <n v="2"/>
    <n v="13"/>
    <n v="0"/>
    <n v="52"/>
    <n v="47"/>
    <n v="8"/>
    <n v="118"/>
    <n v="0"/>
    <m/>
    <n v="0"/>
    <m/>
    <m/>
    <m/>
    <m/>
    <n v="0"/>
    <m/>
    <m/>
    <m/>
    <m/>
    <m/>
    <m/>
    <m/>
    <m/>
    <m/>
    <m/>
    <m/>
    <m/>
    <m/>
    <m/>
    <m/>
    <n v="432"/>
    <n v="1"/>
    <n v="86"/>
    <n v="5"/>
    <m/>
    <x v="0"/>
    <m/>
  </r>
  <r>
    <x v="1"/>
    <x v="1"/>
    <s v="YORK"/>
    <m/>
    <n v="59"/>
    <n v="3286"/>
    <n v="409"/>
    <m/>
    <n v="5"/>
    <n v="3430"/>
    <n v="81"/>
    <n v="0"/>
    <m/>
    <m/>
    <m/>
    <m/>
    <m/>
    <n v="7"/>
    <n v="3"/>
    <n v="1"/>
    <n v="8"/>
    <n v="1"/>
    <n v="73"/>
    <n v="68"/>
    <n v="5"/>
    <n v="67"/>
    <n v="20"/>
    <m/>
    <n v="1"/>
    <m/>
    <m/>
    <m/>
    <m/>
    <n v="57"/>
    <m/>
    <m/>
    <m/>
    <m/>
    <m/>
    <m/>
    <m/>
    <m/>
    <m/>
    <m/>
    <m/>
    <m/>
    <m/>
    <m/>
    <m/>
    <n v="48"/>
    <n v="18"/>
    <n v="86.5"/>
    <n v="2"/>
    <m/>
    <x v="0"/>
    <m/>
  </r>
  <r>
    <x v="1"/>
    <x v="1"/>
    <s v="OUTREACH/BOOKMOBILE"/>
    <m/>
    <n v="36"/>
    <n v="1153"/>
    <m/>
    <m/>
    <m/>
    <n v="1764"/>
    <n v="3"/>
    <m/>
    <m/>
    <m/>
    <m/>
    <m/>
    <m/>
    <n v="4"/>
    <m/>
    <m/>
    <m/>
    <m/>
    <n v="104"/>
    <m/>
    <m/>
    <m/>
    <m/>
    <m/>
    <m/>
    <m/>
    <m/>
    <m/>
    <m/>
    <m/>
    <m/>
    <m/>
    <m/>
    <m/>
    <m/>
    <m/>
    <m/>
    <m/>
    <m/>
    <m/>
    <m/>
    <m/>
    <m/>
    <m/>
    <m/>
    <m/>
    <n v="1"/>
    <n v="1.5"/>
    <m/>
    <m/>
    <x v="0"/>
    <m/>
  </r>
  <r>
    <x v="1"/>
    <x v="1"/>
    <s v="YCL (System Wide)"/>
    <m/>
    <m/>
    <m/>
    <m/>
    <n v="0"/>
    <m/>
    <m/>
    <m/>
    <n v="21"/>
    <m/>
    <m/>
    <m/>
    <m/>
    <n v="54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2"/>
    <x v="2"/>
    <s v="ROCK HILL"/>
    <m/>
    <n v="217"/>
    <n v="15534"/>
    <n v="2125"/>
    <m/>
    <n v="6"/>
    <n v="17206"/>
    <n v="141"/>
    <m/>
    <n v="6"/>
    <n v="131"/>
    <m/>
    <m/>
    <m/>
    <n v="31"/>
    <n v="5"/>
    <n v="13"/>
    <n v="27"/>
    <n v="6"/>
    <n v="1188"/>
    <n v="116"/>
    <n v="155"/>
    <n v="277"/>
    <n v="106"/>
    <m/>
    <n v="7"/>
    <m/>
    <m/>
    <m/>
    <m/>
    <n v="111"/>
    <m/>
    <m/>
    <m/>
    <m/>
    <m/>
    <m/>
    <m/>
    <m/>
    <m/>
    <m/>
    <m/>
    <m/>
    <m/>
    <m/>
    <m/>
    <n v="30"/>
    <n v="42"/>
    <n v="40.5"/>
    <n v="10"/>
    <m/>
    <x v="0"/>
    <m/>
  </r>
  <r>
    <x v="2"/>
    <x v="2"/>
    <s v="CLOVER"/>
    <m/>
    <n v="39"/>
    <n v="2402"/>
    <n v="208"/>
    <m/>
    <n v="0"/>
    <n v="2858"/>
    <n v="62"/>
    <m/>
    <m/>
    <m/>
    <m/>
    <m/>
    <m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0"/>
    <n v="19"/>
    <n v="20"/>
    <n v="0"/>
    <m/>
    <x v="0"/>
    <m/>
  </r>
  <r>
    <x v="2"/>
    <x v="2"/>
    <s v="FORT MILL"/>
    <m/>
    <n v="201"/>
    <n v="12508"/>
    <n v="810"/>
    <m/>
    <n v="14"/>
    <n v="19038"/>
    <n v="23"/>
    <n v="5"/>
    <m/>
    <m/>
    <m/>
    <m/>
    <m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320"/>
    <n v="5"/>
    <n v="5"/>
    <m/>
    <m/>
    <x v="0"/>
    <m/>
  </r>
  <r>
    <x v="2"/>
    <x v="2"/>
    <s v="LAKE WYLIE"/>
    <m/>
    <n v="67"/>
    <n v="3808"/>
    <n v="218"/>
    <m/>
    <n v="12"/>
    <n v="4857"/>
    <n v="8"/>
    <n v="2"/>
    <m/>
    <m/>
    <m/>
    <m/>
    <m/>
    <n v="4"/>
    <n v="2"/>
    <n v="2"/>
    <n v="13"/>
    <n v="2"/>
    <n v="39"/>
    <n v="7"/>
    <n v="19"/>
    <n v="122"/>
    <n v="16"/>
    <m/>
    <n v="0"/>
    <m/>
    <m/>
    <m/>
    <m/>
    <n v="0"/>
    <m/>
    <m/>
    <m/>
    <m/>
    <m/>
    <m/>
    <m/>
    <m/>
    <m/>
    <m/>
    <m/>
    <m/>
    <m/>
    <m/>
    <m/>
    <n v="365"/>
    <n v="1"/>
    <n v="53"/>
    <n v="9"/>
    <m/>
    <x v="0"/>
    <m/>
  </r>
  <r>
    <x v="2"/>
    <x v="2"/>
    <s v="YORK"/>
    <m/>
    <n v="49"/>
    <n v="3798"/>
    <n v="458"/>
    <m/>
    <n v="4"/>
    <n v="3862"/>
    <n v="91"/>
    <n v="0"/>
    <m/>
    <m/>
    <m/>
    <m/>
    <m/>
    <n v="14"/>
    <n v="1"/>
    <n v="1"/>
    <n v="8"/>
    <m/>
    <n v="162"/>
    <n v="4"/>
    <n v="4"/>
    <n v="61"/>
    <m/>
    <m/>
    <n v="1"/>
    <m/>
    <m/>
    <m/>
    <m/>
    <n v="20"/>
    <m/>
    <m/>
    <m/>
    <m/>
    <m/>
    <m/>
    <m/>
    <m/>
    <m/>
    <m/>
    <m/>
    <m/>
    <m/>
    <m/>
    <m/>
    <n v="45"/>
    <n v="11"/>
    <n v="66"/>
    <n v="0"/>
    <m/>
    <x v="0"/>
    <m/>
  </r>
  <r>
    <x v="2"/>
    <x v="2"/>
    <s v="OUTREACH/BOOKMOBILE"/>
    <m/>
    <n v="33"/>
    <n v="507"/>
    <m/>
    <m/>
    <m/>
    <n v="1184"/>
    <n v="1"/>
    <m/>
    <m/>
    <m/>
    <m/>
    <m/>
    <m/>
    <n v="4"/>
    <m/>
    <m/>
    <m/>
    <m/>
    <n v="123"/>
    <m/>
    <m/>
    <m/>
    <m/>
    <m/>
    <m/>
    <m/>
    <m/>
    <m/>
    <m/>
    <m/>
    <m/>
    <m/>
    <m/>
    <m/>
    <m/>
    <m/>
    <m/>
    <m/>
    <m/>
    <m/>
    <m/>
    <m/>
    <m/>
    <m/>
    <m/>
    <n v="489"/>
    <n v="2"/>
    <n v="2"/>
    <n v="3"/>
    <m/>
    <x v="0"/>
    <m/>
  </r>
  <r>
    <x v="2"/>
    <x v="2"/>
    <s v="YCL (System Wide)"/>
    <m/>
    <m/>
    <m/>
    <m/>
    <n v="0"/>
    <m/>
    <m/>
    <m/>
    <m/>
    <m/>
    <m/>
    <m/>
    <m/>
    <n v="64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x v="3"/>
    <s v="ROCK HILL"/>
    <m/>
    <n v="204"/>
    <n v="15313"/>
    <n v="2034"/>
    <m/>
    <n v="4"/>
    <n v="15145"/>
    <n v="132"/>
    <n v="27"/>
    <n v="6"/>
    <n v="116"/>
    <m/>
    <m/>
    <m/>
    <n v="22"/>
    <n v="6"/>
    <n v="15"/>
    <n v="29"/>
    <n v="6"/>
    <n v="890"/>
    <n v="277"/>
    <n v="162"/>
    <n v="292"/>
    <n v="156"/>
    <m/>
    <n v="6"/>
    <m/>
    <m/>
    <m/>
    <m/>
    <n v="60"/>
    <m/>
    <m/>
    <m/>
    <m/>
    <m/>
    <m/>
    <m/>
    <m/>
    <m/>
    <m/>
    <m/>
    <m/>
    <m/>
    <m/>
    <m/>
    <n v="50"/>
    <n v="14"/>
    <n v="21.5"/>
    <n v="8"/>
    <m/>
    <x v="0"/>
    <m/>
  </r>
  <r>
    <x v="3"/>
    <x v="3"/>
    <s v="CLOVER"/>
    <m/>
    <n v="85"/>
    <n v="2761"/>
    <n v="214"/>
    <m/>
    <n v="1"/>
    <n v="3132"/>
    <n v="63"/>
    <n v="0"/>
    <m/>
    <m/>
    <m/>
    <m/>
    <m/>
    <n v="8"/>
    <n v="2"/>
    <n v="2"/>
    <n v="1"/>
    <n v="3"/>
    <n v="85"/>
    <n v="21"/>
    <n v="6"/>
    <n v="4"/>
    <n v="30"/>
    <m/>
    <n v="0"/>
    <m/>
    <m/>
    <m/>
    <m/>
    <n v="0"/>
    <m/>
    <m/>
    <m/>
    <m/>
    <m/>
    <m/>
    <m/>
    <m/>
    <m/>
    <m/>
    <m/>
    <m/>
    <m/>
    <m/>
    <m/>
    <n v="20"/>
    <n v="4"/>
    <n v="25"/>
    <n v="0"/>
    <m/>
    <x v="0"/>
    <m/>
  </r>
  <r>
    <x v="3"/>
    <x v="3"/>
    <s v="FORT MILL"/>
    <m/>
    <n v="215"/>
    <n v="11737"/>
    <n v="781"/>
    <m/>
    <n v="6"/>
    <n v="19642"/>
    <n v="26"/>
    <n v="5"/>
    <m/>
    <m/>
    <m/>
    <m/>
    <m/>
    <n v="21"/>
    <n v="9"/>
    <n v="7"/>
    <n v="11"/>
    <n v="6"/>
    <n v="754"/>
    <n v="778"/>
    <n v="65"/>
    <n v="94"/>
    <n v="265"/>
    <m/>
    <n v="3"/>
    <m/>
    <m/>
    <m/>
    <m/>
    <n v="800"/>
    <m/>
    <m/>
    <m/>
    <m/>
    <m/>
    <m/>
    <m/>
    <m/>
    <m/>
    <m/>
    <m/>
    <m/>
    <m/>
    <m/>
    <m/>
    <n v="402"/>
    <n v="2"/>
    <n v="2"/>
    <m/>
    <m/>
    <x v="0"/>
    <m/>
  </r>
  <r>
    <x v="3"/>
    <x v="3"/>
    <s v="LAKE WYLIE"/>
    <m/>
    <n v="63"/>
    <n v="3866"/>
    <n v="188"/>
    <m/>
    <n v="10"/>
    <n v="4663"/>
    <n v="11"/>
    <n v="2"/>
    <m/>
    <m/>
    <m/>
    <m/>
    <m/>
    <n v="4"/>
    <n v="4"/>
    <n v="2"/>
    <n v="12"/>
    <n v="2"/>
    <n v="40"/>
    <n v="20"/>
    <n v="9"/>
    <n v="100"/>
    <n v="11"/>
    <m/>
    <n v="0"/>
    <m/>
    <m/>
    <m/>
    <m/>
    <n v="0"/>
    <m/>
    <m/>
    <m/>
    <m/>
    <m/>
    <m/>
    <m/>
    <m/>
    <m/>
    <m/>
    <m/>
    <m/>
    <m/>
    <m/>
    <m/>
    <n v="372"/>
    <n v="1"/>
    <n v="24.5"/>
    <n v="5"/>
    <m/>
    <x v="0"/>
    <m/>
  </r>
  <r>
    <x v="3"/>
    <x v="3"/>
    <s v="YORK"/>
    <m/>
    <n v="50"/>
    <n v="3598"/>
    <n v="377"/>
    <m/>
    <n v="2"/>
    <n v="3804"/>
    <n v="103"/>
    <n v="0"/>
    <m/>
    <m/>
    <m/>
    <m/>
    <m/>
    <n v="12"/>
    <n v="3"/>
    <n v="1"/>
    <n v="7"/>
    <m/>
    <n v="206"/>
    <n v="66"/>
    <n v="4"/>
    <n v="61"/>
    <m/>
    <m/>
    <n v="1"/>
    <m/>
    <m/>
    <m/>
    <m/>
    <n v="150"/>
    <m/>
    <m/>
    <m/>
    <m/>
    <m/>
    <m/>
    <m/>
    <m/>
    <m/>
    <m/>
    <m/>
    <m/>
    <m/>
    <m/>
    <m/>
    <n v="5"/>
    <n v="4"/>
    <n v="28"/>
    <n v="0"/>
    <m/>
    <x v="0"/>
    <m/>
  </r>
  <r>
    <x v="3"/>
    <x v="3"/>
    <s v="OUTREACH/BOOKMOBILE"/>
    <m/>
    <n v="8"/>
    <n v="905"/>
    <m/>
    <m/>
    <m/>
    <n v="1647"/>
    <n v="3"/>
    <m/>
    <m/>
    <m/>
    <m/>
    <m/>
    <m/>
    <n v="1"/>
    <m/>
    <m/>
    <n v="2"/>
    <m/>
    <n v="25"/>
    <m/>
    <m/>
    <n v="16"/>
    <m/>
    <m/>
    <m/>
    <m/>
    <m/>
    <m/>
    <m/>
    <m/>
    <m/>
    <m/>
    <m/>
    <m/>
    <m/>
    <m/>
    <m/>
    <m/>
    <m/>
    <m/>
    <m/>
    <m/>
    <m/>
    <m/>
    <m/>
    <n v="385"/>
    <n v="2"/>
    <n v="8"/>
    <m/>
    <m/>
    <x v="0"/>
    <m/>
  </r>
  <r>
    <x v="3"/>
    <x v="3"/>
    <s v="YCL (System Wide)"/>
    <m/>
    <m/>
    <m/>
    <m/>
    <n v="0"/>
    <m/>
    <m/>
    <m/>
    <m/>
    <m/>
    <m/>
    <m/>
    <m/>
    <n v="53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x v="4"/>
    <s v="ROCK HILL"/>
    <m/>
    <n v="209"/>
    <n v="17040"/>
    <n v="1972"/>
    <m/>
    <n v="12"/>
    <n v="19243"/>
    <n v="139"/>
    <n v="38"/>
    <n v="4"/>
    <n v="122"/>
    <m/>
    <m/>
    <m/>
    <n v="15"/>
    <n v="6"/>
    <n v="10"/>
    <n v="22"/>
    <n v="8"/>
    <n v="636"/>
    <n v="140"/>
    <n v="59"/>
    <n v="245"/>
    <n v="1644"/>
    <m/>
    <n v="5"/>
    <m/>
    <m/>
    <m/>
    <m/>
    <n v="21"/>
    <m/>
    <m/>
    <m/>
    <m/>
    <m/>
    <m/>
    <m/>
    <m/>
    <m/>
    <m/>
    <m/>
    <m/>
    <m/>
    <m/>
    <m/>
    <n v="0"/>
    <n v="15"/>
    <n v="14.5"/>
    <n v="7"/>
    <m/>
    <x v="0"/>
    <m/>
  </r>
  <r>
    <x v="4"/>
    <x v="4"/>
    <s v="CLOVER"/>
    <m/>
    <n v="32"/>
    <n v="2618"/>
    <n v="229"/>
    <m/>
    <n v="1"/>
    <n v="3426"/>
    <n v="60"/>
    <n v="0"/>
    <m/>
    <m/>
    <m/>
    <m/>
    <m/>
    <n v="10"/>
    <n v="2"/>
    <n v="3"/>
    <n v="3"/>
    <n v="0"/>
    <n v="155"/>
    <n v="12"/>
    <n v="17"/>
    <n v="28"/>
    <n v="0"/>
    <m/>
    <n v="0"/>
    <m/>
    <m/>
    <m/>
    <m/>
    <n v="0"/>
    <m/>
    <m/>
    <m/>
    <m/>
    <m/>
    <m/>
    <m/>
    <m/>
    <m/>
    <m/>
    <m/>
    <m/>
    <m/>
    <m/>
    <m/>
    <n v="0"/>
    <n v="1"/>
    <n v="25"/>
    <n v="0"/>
    <m/>
    <x v="0"/>
    <m/>
  </r>
  <r>
    <x v="4"/>
    <x v="4"/>
    <s v="FORT MILL"/>
    <m/>
    <n v="228"/>
    <n v="12340"/>
    <n v="747"/>
    <m/>
    <n v="4"/>
    <n v="20990"/>
    <n v="28"/>
    <n v="5"/>
    <m/>
    <m/>
    <m/>
    <m/>
    <m/>
    <n v="21"/>
    <n v="5"/>
    <n v="5"/>
    <n v="10"/>
    <n v="5"/>
    <n v="714"/>
    <n v="70"/>
    <n v="84"/>
    <n v="96"/>
    <n v="894"/>
    <m/>
    <n v="1"/>
    <m/>
    <m/>
    <m/>
    <m/>
    <n v="770"/>
    <m/>
    <m/>
    <m/>
    <m/>
    <m/>
    <m/>
    <m/>
    <m/>
    <m/>
    <m/>
    <m/>
    <m/>
    <m/>
    <m/>
    <m/>
    <n v="504"/>
    <n v="2"/>
    <n v="2"/>
    <m/>
    <m/>
    <x v="0"/>
    <m/>
  </r>
  <r>
    <x v="4"/>
    <x v="4"/>
    <s v="LAKE WYLIE"/>
    <m/>
    <n v="55"/>
    <n v="3939"/>
    <n v="163"/>
    <m/>
    <n v="4"/>
    <n v="5447"/>
    <n v="9"/>
    <n v="2"/>
    <m/>
    <m/>
    <m/>
    <m/>
    <m/>
    <n v="4"/>
    <n v="5"/>
    <n v="2"/>
    <n v="9"/>
    <n v="3"/>
    <n v="50"/>
    <n v="51"/>
    <n v="11"/>
    <n v="91"/>
    <n v="3"/>
    <m/>
    <n v="0"/>
    <m/>
    <m/>
    <m/>
    <m/>
    <n v="0"/>
    <m/>
    <m/>
    <m/>
    <m/>
    <m/>
    <m/>
    <m/>
    <m/>
    <m/>
    <m/>
    <m/>
    <m/>
    <m/>
    <m/>
    <m/>
    <n v="411"/>
    <n v="1"/>
    <n v="9"/>
    <n v="1"/>
    <m/>
    <x v="0"/>
    <m/>
  </r>
  <r>
    <x v="4"/>
    <x v="4"/>
    <s v="YORK"/>
    <m/>
    <n v="72"/>
    <n v="3958"/>
    <n v="451"/>
    <m/>
    <n v="2"/>
    <n v="4424"/>
    <n v="98"/>
    <n v="0"/>
    <m/>
    <m/>
    <m/>
    <m/>
    <m/>
    <n v="10"/>
    <n v="3"/>
    <n v="7"/>
    <n v="9"/>
    <n v="1"/>
    <n v="135"/>
    <n v="72"/>
    <n v="7"/>
    <n v="69"/>
    <n v="112"/>
    <m/>
    <m/>
    <m/>
    <m/>
    <m/>
    <m/>
    <m/>
    <m/>
    <m/>
    <m/>
    <m/>
    <m/>
    <m/>
    <m/>
    <m/>
    <m/>
    <m/>
    <m/>
    <m/>
    <m/>
    <m/>
    <m/>
    <n v="0"/>
    <n v="3"/>
    <n v="9"/>
    <n v="0"/>
    <m/>
    <x v="0"/>
    <m/>
  </r>
  <r>
    <x v="4"/>
    <x v="4"/>
    <s v="OUTREACH/BOOKMOBILE"/>
    <m/>
    <n v="12"/>
    <n v="571"/>
    <m/>
    <m/>
    <m/>
    <n v="1324"/>
    <n v="1"/>
    <m/>
    <m/>
    <m/>
    <m/>
    <m/>
    <m/>
    <n v="1"/>
    <m/>
    <m/>
    <m/>
    <m/>
    <n v="8"/>
    <m/>
    <m/>
    <m/>
    <m/>
    <m/>
    <m/>
    <m/>
    <m/>
    <m/>
    <m/>
    <m/>
    <m/>
    <m/>
    <m/>
    <m/>
    <m/>
    <m/>
    <m/>
    <m/>
    <m/>
    <m/>
    <m/>
    <m/>
    <m/>
    <m/>
    <m/>
    <n v="133"/>
    <m/>
    <m/>
    <m/>
    <m/>
    <x v="0"/>
    <m/>
  </r>
  <r>
    <x v="4"/>
    <x v="4"/>
    <s v="YCL (System Wide)"/>
    <m/>
    <m/>
    <m/>
    <m/>
    <n v="0"/>
    <m/>
    <m/>
    <m/>
    <m/>
    <m/>
    <m/>
    <m/>
    <m/>
    <n v="65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x v="5"/>
    <s v="ROCK HILL"/>
    <m/>
    <n v="325"/>
    <n v="17538"/>
    <n v="1922"/>
    <n v="3497"/>
    <n v="3"/>
    <n v="21648"/>
    <n v="122"/>
    <m/>
    <n v="122"/>
    <n v="4"/>
    <n v="2857"/>
    <n v="6142"/>
    <m/>
    <n v="11"/>
    <n v="4"/>
    <n v="18"/>
    <n v="19"/>
    <n v="16"/>
    <n v="456"/>
    <n v="88"/>
    <n v="237"/>
    <n v="164"/>
    <n v="1609"/>
    <m/>
    <m/>
    <m/>
    <m/>
    <m/>
    <m/>
    <m/>
    <m/>
    <m/>
    <m/>
    <m/>
    <m/>
    <m/>
    <m/>
    <m/>
    <m/>
    <m/>
    <m/>
    <m/>
    <m/>
    <m/>
    <m/>
    <m/>
    <n v="15"/>
    <n v="14"/>
    <n v="18"/>
    <m/>
    <x v="0"/>
    <n v="159"/>
  </r>
  <r>
    <x v="5"/>
    <x v="5"/>
    <s v="CLOVER"/>
    <m/>
    <n v="50"/>
    <n v="3142"/>
    <n v="323"/>
    <n v="505"/>
    <n v="1"/>
    <n v="4678"/>
    <n v="57"/>
    <m/>
    <m/>
    <m/>
    <n v="992"/>
    <n v="1832"/>
    <m/>
    <n v="11"/>
    <n v="3"/>
    <n v="2"/>
    <n v="6"/>
    <n v="7"/>
    <n v="175"/>
    <n v="47"/>
    <n v="17"/>
    <n v="46"/>
    <n v="260"/>
    <m/>
    <m/>
    <m/>
    <m/>
    <m/>
    <m/>
    <m/>
    <m/>
    <m/>
    <m/>
    <m/>
    <m/>
    <m/>
    <m/>
    <m/>
    <m/>
    <m/>
    <m/>
    <m/>
    <m/>
    <m/>
    <m/>
    <m/>
    <n v="28"/>
    <n v="31"/>
    <n v="0"/>
    <m/>
    <x v="0"/>
    <n v="43"/>
  </r>
  <r>
    <x v="5"/>
    <x v="5"/>
    <s v="FORT MILL"/>
    <m/>
    <n v="329"/>
    <n v="12647"/>
    <n v="913"/>
    <n v="1944"/>
    <n v="0"/>
    <n v="23998"/>
    <n v="28"/>
    <m/>
    <m/>
    <m/>
    <n v="1523"/>
    <n v="6441"/>
    <m/>
    <n v="22"/>
    <n v="4"/>
    <n v="7"/>
    <n v="8"/>
    <n v="17"/>
    <n v="684"/>
    <n v="113"/>
    <n v="71"/>
    <n v="76"/>
    <n v="998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  <n v="241"/>
  </r>
  <r>
    <x v="5"/>
    <x v="5"/>
    <s v="LAKE WYLIE"/>
    <m/>
    <n v="91"/>
    <n v="4927"/>
    <n v="202"/>
    <n v="665"/>
    <n v="6"/>
    <n v="6109"/>
    <n v="18"/>
    <m/>
    <m/>
    <m/>
    <n v="1337"/>
    <n v="2787"/>
    <m/>
    <n v="6"/>
    <n v="3"/>
    <n v="3"/>
    <n v="9"/>
    <n v="1"/>
    <n v="138"/>
    <n v="32"/>
    <n v="31"/>
    <n v="71"/>
    <n v="72"/>
    <m/>
    <m/>
    <m/>
    <m/>
    <m/>
    <m/>
    <m/>
    <m/>
    <m/>
    <m/>
    <m/>
    <m/>
    <m/>
    <m/>
    <m/>
    <m/>
    <m/>
    <m/>
    <m/>
    <m/>
    <m/>
    <m/>
    <m/>
    <n v="1"/>
    <n v="20"/>
    <n v="5"/>
    <m/>
    <x v="0"/>
    <n v="128"/>
  </r>
  <r>
    <x v="5"/>
    <x v="5"/>
    <s v="YORK"/>
    <m/>
    <n v="91"/>
    <n v="4363"/>
    <n v="482"/>
    <n v="877"/>
    <n v="2"/>
    <n v="5010"/>
    <n v="95"/>
    <m/>
    <m/>
    <m/>
    <n v="1349"/>
    <n v="2303"/>
    <m/>
    <n v="11"/>
    <n v="8"/>
    <n v="1"/>
    <n v="6"/>
    <n v="0"/>
    <n v="204"/>
    <n v="452"/>
    <n v="7"/>
    <n v="40"/>
    <n v="0"/>
    <m/>
    <m/>
    <m/>
    <m/>
    <m/>
    <m/>
    <m/>
    <m/>
    <m/>
    <m/>
    <m/>
    <m/>
    <m/>
    <m/>
    <m/>
    <m/>
    <m/>
    <m/>
    <m/>
    <m/>
    <m/>
    <m/>
    <m/>
    <n v="6"/>
    <n v="12"/>
    <n v="3"/>
    <m/>
    <x v="0"/>
    <n v="59"/>
  </r>
  <r>
    <x v="5"/>
    <x v="5"/>
    <s v="OUTREACH / BOOKMOBILE"/>
    <m/>
    <n v="36"/>
    <n v="756"/>
    <m/>
    <m/>
    <m/>
    <n v="1498"/>
    <n v="4"/>
    <m/>
    <m/>
    <m/>
    <n v="19"/>
    <n v="397"/>
    <m/>
    <n v="1"/>
    <n v="0"/>
    <n v="0"/>
    <n v="0"/>
    <n v="0"/>
    <n v="10"/>
    <n v="0"/>
    <n v="0"/>
    <n v="0"/>
    <n v="0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  <m/>
  </r>
  <r>
    <x v="6"/>
    <x v="6"/>
    <s v="ROCK HILL"/>
    <m/>
    <n v="241"/>
    <n v="19042"/>
    <n v="2069"/>
    <m/>
    <n v="2"/>
    <n v="20255"/>
    <n v="150"/>
    <n v="40"/>
    <n v="11"/>
    <n v="136"/>
    <m/>
    <m/>
    <m/>
    <n v="11"/>
    <n v="5"/>
    <n v="25"/>
    <n v="20"/>
    <n v="13"/>
    <n v="652"/>
    <n v="153"/>
    <n v="315"/>
    <n v="165"/>
    <n v="1092"/>
    <m/>
    <n v="2"/>
    <m/>
    <m/>
    <m/>
    <m/>
    <n v="71"/>
    <m/>
    <m/>
    <m/>
    <m/>
    <m/>
    <m/>
    <m/>
    <m/>
    <m/>
    <m/>
    <m/>
    <m/>
    <m/>
    <m/>
    <m/>
    <n v="674"/>
    <n v="9"/>
    <n v="53"/>
    <n v="7"/>
    <m/>
    <x v="0"/>
    <m/>
  </r>
  <r>
    <x v="6"/>
    <x v="6"/>
    <s v="CLOVER"/>
    <m/>
    <n v="33"/>
    <n v="3101"/>
    <n v="320"/>
    <m/>
    <m/>
    <n v="4061"/>
    <n v="65"/>
    <n v="0"/>
    <m/>
    <m/>
    <m/>
    <m/>
    <m/>
    <n v="14"/>
    <n v="3"/>
    <n v="5"/>
    <n v="6"/>
    <n v="6"/>
    <n v="177"/>
    <n v="17"/>
    <n v="30"/>
    <n v="53"/>
    <n v="106"/>
    <m/>
    <m/>
    <m/>
    <m/>
    <m/>
    <m/>
    <m/>
    <m/>
    <m/>
    <m/>
    <m/>
    <m/>
    <m/>
    <m/>
    <m/>
    <m/>
    <m/>
    <m/>
    <m/>
    <m/>
    <m/>
    <m/>
    <n v="108"/>
    <n v="17"/>
    <n v="20.5"/>
    <m/>
    <m/>
    <x v="0"/>
    <m/>
  </r>
  <r>
    <x v="6"/>
    <x v="6"/>
    <s v="FORT MILL"/>
    <m/>
    <n v="332"/>
    <n v="13217"/>
    <n v="935"/>
    <m/>
    <n v="2"/>
    <n v="25017"/>
    <n v="30"/>
    <n v="5"/>
    <m/>
    <m/>
    <m/>
    <m/>
    <m/>
    <n v="24"/>
    <n v="5"/>
    <n v="7"/>
    <n v="8"/>
    <n v="15"/>
    <n v="737"/>
    <n v="95"/>
    <n v="86"/>
    <n v="75"/>
    <n v="741"/>
    <m/>
    <n v="1"/>
    <m/>
    <m/>
    <m/>
    <m/>
    <n v="12"/>
    <m/>
    <m/>
    <m/>
    <m/>
    <m/>
    <m/>
    <m/>
    <m/>
    <m/>
    <m/>
    <m/>
    <m/>
    <m/>
    <m/>
    <m/>
    <n v="491"/>
    <n v="1"/>
    <n v="1"/>
    <m/>
    <m/>
    <x v="0"/>
    <m/>
  </r>
  <r>
    <x v="6"/>
    <x v="6"/>
    <s v="LAKE WYLIE"/>
    <m/>
    <n v="75"/>
    <n v="4727"/>
    <m/>
    <m/>
    <m/>
    <n v="6425"/>
    <n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6"/>
    <x v="6"/>
    <s v="YORK"/>
    <m/>
    <n v="72"/>
    <n v="4740"/>
    <n v="538"/>
    <m/>
    <n v="2"/>
    <n v="4886"/>
    <n v="118"/>
    <n v="0"/>
    <m/>
    <m/>
    <m/>
    <m/>
    <m/>
    <n v="9"/>
    <n v="10"/>
    <n v="3"/>
    <n v="7"/>
    <n v="0"/>
    <n v="143"/>
    <n v="292"/>
    <n v="32"/>
    <n v="114"/>
    <n v="0"/>
    <m/>
    <n v="0"/>
    <m/>
    <m/>
    <m/>
    <m/>
    <n v="0"/>
    <m/>
    <m/>
    <m/>
    <m/>
    <m/>
    <m/>
    <m/>
    <m/>
    <m/>
    <m/>
    <m/>
    <m/>
    <m/>
    <m/>
    <m/>
    <n v="35"/>
    <n v="6"/>
    <n v="108"/>
    <n v="0"/>
    <m/>
    <x v="0"/>
    <m/>
  </r>
  <r>
    <x v="6"/>
    <x v="6"/>
    <s v="OUTREACH / BOOKMOBILE"/>
    <m/>
    <n v="24"/>
    <n v="815"/>
    <m/>
    <m/>
    <m/>
    <n v="168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6"/>
    <x v="6"/>
    <s v="YCL (System Wide)"/>
    <m/>
    <m/>
    <m/>
    <m/>
    <n v="0"/>
    <m/>
    <m/>
    <m/>
    <m/>
    <m/>
    <m/>
    <m/>
    <m/>
    <n v="48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7"/>
    <x v="7"/>
    <s v="ROCK HILL"/>
    <m/>
    <n v="248"/>
    <n v="14835"/>
    <n v="1918"/>
    <m/>
    <m/>
    <n v="15733"/>
    <n v="146"/>
    <n v="20"/>
    <n v="5"/>
    <n v="116"/>
    <m/>
    <m/>
    <m/>
    <m/>
    <m/>
    <n v="5"/>
    <n v="16"/>
    <n v="1"/>
    <m/>
    <m/>
    <n v="46"/>
    <n v="135"/>
    <n v="34"/>
    <m/>
    <m/>
    <m/>
    <m/>
    <m/>
    <m/>
    <m/>
    <m/>
    <m/>
    <m/>
    <m/>
    <m/>
    <m/>
    <m/>
    <m/>
    <m/>
    <m/>
    <m/>
    <m/>
    <m/>
    <m/>
    <m/>
    <n v="244"/>
    <n v="50"/>
    <n v="375"/>
    <n v="21"/>
    <m/>
    <x v="0"/>
    <m/>
  </r>
  <r>
    <x v="7"/>
    <x v="7"/>
    <s v="CLOVER"/>
    <m/>
    <n v="51"/>
    <n v="2957"/>
    <n v="353"/>
    <m/>
    <n v="1"/>
    <n v="3440"/>
    <n v="54"/>
    <n v="0"/>
    <m/>
    <m/>
    <m/>
    <m/>
    <m/>
    <n v="1"/>
    <m/>
    <m/>
    <n v="4"/>
    <n v="1"/>
    <n v="16"/>
    <m/>
    <m/>
    <n v="20"/>
    <n v="5"/>
    <m/>
    <m/>
    <m/>
    <m/>
    <m/>
    <m/>
    <m/>
    <m/>
    <m/>
    <m/>
    <m/>
    <m/>
    <m/>
    <m/>
    <m/>
    <m/>
    <m/>
    <m/>
    <m/>
    <m/>
    <m/>
    <m/>
    <n v="100"/>
    <n v="26"/>
    <n v="76.5"/>
    <m/>
    <m/>
    <x v="0"/>
    <m/>
  </r>
  <r>
    <x v="7"/>
    <x v="7"/>
    <s v="FORT MILL"/>
    <m/>
    <n v="191"/>
    <n v="9858"/>
    <n v="765"/>
    <m/>
    <n v="3"/>
    <n v="20930"/>
    <n v="30"/>
    <n v="5"/>
    <m/>
    <m/>
    <m/>
    <m/>
    <m/>
    <m/>
    <n v="1"/>
    <m/>
    <n v="6"/>
    <n v="1"/>
    <m/>
    <n v="15"/>
    <m/>
    <n v="50"/>
    <n v="52"/>
    <m/>
    <m/>
    <m/>
    <m/>
    <m/>
    <m/>
    <m/>
    <m/>
    <m/>
    <m/>
    <m/>
    <m/>
    <m/>
    <m/>
    <m/>
    <m/>
    <m/>
    <m/>
    <m/>
    <m/>
    <m/>
    <m/>
    <n v="242"/>
    <n v="17"/>
    <n v="133"/>
    <m/>
    <m/>
    <x v="0"/>
    <m/>
  </r>
  <r>
    <x v="7"/>
    <x v="7"/>
    <s v="LAKE WYLIE"/>
    <m/>
    <n v="60"/>
    <n v="3610"/>
    <n v="196"/>
    <m/>
    <n v="10"/>
    <n v="5285"/>
    <n v="16"/>
    <n v="0"/>
    <m/>
    <m/>
    <m/>
    <m/>
    <m/>
    <n v="1"/>
    <n v="0"/>
    <n v="0"/>
    <n v="10"/>
    <n v="4"/>
    <n v="7"/>
    <n v="0"/>
    <n v="0"/>
    <n v="82"/>
    <n v="27"/>
    <m/>
    <n v="0"/>
    <m/>
    <m/>
    <m/>
    <m/>
    <n v="0"/>
    <m/>
    <m/>
    <m/>
    <m/>
    <m/>
    <m/>
    <m/>
    <m/>
    <m/>
    <m/>
    <m/>
    <m/>
    <m/>
    <m/>
    <m/>
    <n v="249"/>
    <n v="11"/>
    <n v="81.5"/>
    <n v="3"/>
    <m/>
    <x v="0"/>
    <m/>
  </r>
  <r>
    <x v="7"/>
    <x v="7"/>
    <s v="YORK"/>
    <m/>
    <n v="130"/>
    <n v="3663"/>
    <n v="516"/>
    <m/>
    <n v="3"/>
    <n v="4017"/>
    <n v="100"/>
    <n v="0"/>
    <m/>
    <m/>
    <m/>
    <m/>
    <m/>
    <m/>
    <m/>
    <m/>
    <n v="2"/>
    <m/>
    <m/>
    <m/>
    <m/>
    <n v="15"/>
    <m/>
    <m/>
    <n v="1"/>
    <m/>
    <m/>
    <m/>
    <m/>
    <n v="40"/>
    <m/>
    <m/>
    <m/>
    <m/>
    <m/>
    <m/>
    <m/>
    <m/>
    <m/>
    <m/>
    <m/>
    <m/>
    <m/>
    <m/>
    <m/>
    <n v="0"/>
    <n v="6"/>
    <n v="30"/>
    <n v="0"/>
    <m/>
    <x v="0"/>
    <m/>
  </r>
  <r>
    <x v="7"/>
    <x v="7"/>
    <s v="OUTREACH/BOOKMOBILE"/>
    <m/>
    <n v="34"/>
    <n v="732"/>
    <m/>
    <m/>
    <m/>
    <n v="1322"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3"/>
    <m/>
    <m/>
    <n v="6"/>
    <m/>
    <x v="0"/>
    <m/>
  </r>
  <r>
    <x v="7"/>
    <x v="7"/>
    <s v="YCL (System Wide)"/>
    <m/>
    <m/>
    <m/>
    <m/>
    <m/>
    <m/>
    <m/>
    <m/>
    <m/>
    <m/>
    <m/>
    <m/>
    <m/>
    <n v="57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8"/>
    <x v="8"/>
    <s v="ROCK HILL"/>
    <m/>
    <n v="202"/>
    <n v="14352"/>
    <m/>
    <m/>
    <n v="2"/>
    <n v="15869"/>
    <n v="125"/>
    <n v="26"/>
    <n v="5"/>
    <n v="136"/>
    <m/>
    <m/>
    <m/>
    <n v="27"/>
    <n v="7"/>
    <n v="11"/>
    <n v="21"/>
    <n v="7"/>
    <n v="1083"/>
    <n v="1357"/>
    <n v="123"/>
    <n v="184"/>
    <n v="813"/>
    <m/>
    <n v="8"/>
    <m/>
    <m/>
    <m/>
    <m/>
    <n v="2010"/>
    <m/>
    <m/>
    <m/>
    <m/>
    <m/>
    <m/>
    <m/>
    <m/>
    <m/>
    <m/>
    <m/>
    <m/>
    <m/>
    <m/>
    <m/>
    <n v="75"/>
    <n v="10"/>
    <n v="28"/>
    <n v="3"/>
    <m/>
    <x v="0"/>
    <m/>
  </r>
  <r>
    <x v="8"/>
    <x v="8"/>
    <s v="CLOVER"/>
    <m/>
    <n v="34"/>
    <n v="2576"/>
    <n v="265"/>
    <m/>
    <n v="1"/>
    <n v="3232"/>
    <n v="51"/>
    <m/>
    <m/>
    <m/>
    <m/>
    <m/>
    <m/>
    <n v="9"/>
    <n v="2"/>
    <n v="2"/>
    <n v="6"/>
    <n v="2"/>
    <n v="118"/>
    <n v="28"/>
    <n v="8"/>
    <n v="48"/>
    <n v="65"/>
    <m/>
    <m/>
    <m/>
    <m/>
    <m/>
    <m/>
    <m/>
    <m/>
    <m/>
    <m/>
    <m/>
    <m/>
    <m/>
    <m/>
    <m/>
    <m/>
    <m/>
    <m/>
    <m/>
    <m/>
    <m/>
    <m/>
    <n v="115"/>
    <n v="4"/>
    <n v="9.5"/>
    <m/>
    <m/>
    <x v="0"/>
    <m/>
  </r>
  <r>
    <x v="8"/>
    <x v="8"/>
    <s v="FORT MILL"/>
    <m/>
    <n v="208"/>
    <n v="10362"/>
    <n v="672"/>
    <m/>
    <n v="2"/>
    <n v="18375"/>
    <n v="27"/>
    <n v="5"/>
    <m/>
    <m/>
    <m/>
    <m/>
    <m/>
    <n v="31"/>
    <n v="5"/>
    <n v="7"/>
    <n v="11"/>
    <n v="1"/>
    <n v="819"/>
    <n v="66"/>
    <n v="85"/>
    <n v="88"/>
    <n v="62"/>
    <m/>
    <m/>
    <m/>
    <m/>
    <m/>
    <m/>
    <m/>
    <m/>
    <m/>
    <m/>
    <m/>
    <m/>
    <m/>
    <m/>
    <m/>
    <m/>
    <m/>
    <m/>
    <m/>
    <m/>
    <m/>
    <m/>
    <n v="407"/>
    <n v="2"/>
    <n v="9"/>
    <m/>
    <m/>
    <x v="0"/>
    <m/>
  </r>
  <r>
    <x v="8"/>
    <x v="8"/>
    <s v="LAKE WYLIE"/>
    <m/>
    <n v="40"/>
    <n v="3476"/>
    <n v="162"/>
    <m/>
    <n v="11"/>
    <n v="4702"/>
    <n v="16"/>
    <n v="0"/>
    <m/>
    <m/>
    <m/>
    <m/>
    <m/>
    <n v="5"/>
    <n v="5"/>
    <n v="1"/>
    <n v="9"/>
    <n v="3"/>
    <n v="82"/>
    <n v="74"/>
    <n v="3"/>
    <n v="59"/>
    <n v="8"/>
    <m/>
    <n v="0"/>
    <m/>
    <m/>
    <m/>
    <m/>
    <n v="0"/>
    <m/>
    <m/>
    <m/>
    <m/>
    <m/>
    <m/>
    <m/>
    <m/>
    <m/>
    <m/>
    <m/>
    <m/>
    <m/>
    <m/>
    <m/>
    <n v="256"/>
    <n v="1"/>
    <n v="16.5"/>
    <n v="5"/>
    <m/>
    <x v="0"/>
    <m/>
  </r>
  <r>
    <x v="8"/>
    <x v="8"/>
    <s v="YORK"/>
    <m/>
    <n v="62"/>
    <n v="3624"/>
    <n v="432"/>
    <m/>
    <n v="3"/>
    <n v="3843"/>
    <n v="97"/>
    <n v="0"/>
    <m/>
    <m/>
    <m/>
    <m/>
    <m/>
    <n v="13"/>
    <n v="3"/>
    <n v="1"/>
    <n v="9"/>
    <m/>
    <n v="201"/>
    <n v="81"/>
    <n v="4"/>
    <n v="78"/>
    <m/>
    <m/>
    <n v="1"/>
    <m/>
    <m/>
    <m/>
    <m/>
    <n v="200"/>
    <m/>
    <m/>
    <m/>
    <m/>
    <m/>
    <m/>
    <m/>
    <m/>
    <m/>
    <m/>
    <m/>
    <m/>
    <m/>
    <m/>
    <m/>
    <n v="26"/>
    <n v="11"/>
    <n v="16"/>
    <n v="4"/>
    <m/>
    <x v="0"/>
    <m/>
  </r>
  <r>
    <x v="8"/>
    <x v="8"/>
    <s v="OUTREACH/BOOKMOBILE"/>
    <m/>
    <n v="31"/>
    <n v="836"/>
    <m/>
    <m/>
    <m/>
    <n v="1820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8"/>
    <n v="3"/>
    <n v="18"/>
    <n v="3"/>
    <m/>
    <x v="0"/>
    <m/>
  </r>
  <r>
    <x v="8"/>
    <x v="8"/>
    <s v="YCL (System Wide)"/>
    <m/>
    <m/>
    <m/>
    <m/>
    <m/>
    <m/>
    <m/>
    <m/>
    <m/>
    <m/>
    <m/>
    <m/>
    <m/>
    <n v="42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9"/>
    <x v="9"/>
    <s v="ROCK HILL"/>
    <m/>
    <n v="204"/>
    <n v="15812"/>
    <n v="1930"/>
    <m/>
    <n v="3"/>
    <n v="15985"/>
    <n v="137"/>
    <n v="31"/>
    <n v="4"/>
    <n v="115"/>
    <m/>
    <m/>
    <m/>
    <n v="25"/>
    <n v="9"/>
    <n v="11"/>
    <n v="20"/>
    <n v="7"/>
    <n v="959"/>
    <n v="221"/>
    <n v="137"/>
    <n v="161"/>
    <n v="178"/>
    <m/>
    <n v="5"/>
    <m/>
    <m/>
    <m/>
    <m/>
    <n v="221"/>
    <m/>
    <m/>
    <m/>
    <m/>
    <m/>
    <m/>
    <m/>
    <m/>
    <m/>
    <m/>
    <m/>
    <m/>
    <m/>
    <m/>
    <m/>
    <n v="180"/>
    <n v="14"/>
    <n v="47.75"/>
    <n v="13"/>
    <m/>
    <x v="0"/>
    <m/>
  </r>
  <r>
    <x v="9"/>
    <x v="9"/>
    <s v="CLOVER"/>
    <m/>
    <n v="37"/>
    <n v="2983"/>
    <n v="288"/>
    <m/>
    <m/>
    <n v="3272"/>
    <n v="58"/>
    <m/>
    <m/>
    <m/>
    <m/>
    <m/>
    <m/>
    <n v="12"/>
    <n v="2"/>
    <n v="2"/>
    <n v="7"/>
    <n v="3"/>
    <n v="140"/>
    <n v="16"/>
    <n v="11"/>
    <n v="60"/>
    <n v="251"/>
    <m/>
    <m/>
    <m/>
    <m/>
    <m/>
    <m/>
    <m/>
    <m/>
    <m/>
    <m/>
    <m/>
    <m/>
    <m/>
    <m/>
    <m/>
    <m/>
    <m/>
    <m/>
    <m/>
    <m/>
    <m/>
    <m/>
    <n v="86"/>
    <n v="30"/>
    <n v="76"/>
    <m/>
    <m/>
    <x v="0"/>
    <m/>
  </r>
  <r>
    <x v="9"/>
    <x v="9"/>
    <s v="FORT MILL"/>
    <m/>
    <n v="180"/>
    <n v="11091"/>
    <n v="729"/>
    <m/>
    <m/>
    <n v="19017"/>
    <n v="34"/>
    <n v="5"/>
    <m/>
    <m/>
    <m/>
    <m/>
    <m/>
    <n v="40"/>
    <n v="6"/>
    <n v="8"/>
    <n v="10"/>
    <n v="4"/>
    <n v="806"/>
    <n v="82"/>
    <n v="71"/>
    <n v="100"/>
    <n v="108"/>
    <m/>
    <m/>
    <m/>
    <m/>
    <m/>
    <m/>
    <m/>
    <m/>
    <m/>
    <m/>
    <m/>
    <m/>
    <m/>
    <m/>
    <m/>
    <m/>
    <m/>
    <m/>
    <m/>
    <m/>
    <m/>
    <m/>
    <n v="328"/>
    <m/>
    <m/>
    <m/>
    <m/>
    <x v="0"/>
    <m/>
  </r>
  <r>
    <x v="9"/>
    <x v="9"/>
    <s v="LAKE WYLIE"/>
    <m/>
    <n v="48"/>
    <n v="3989"/>
    <n v="167"/>
    <m/>
    <n v="9"/>
    <n v="4827"/>
    <n v="15"/>
    <n v="2"/>
    <m/>
    <m/>
    <m/>
    <m/>
    <m/>
    <n v="8"/>
    <n v="6"/>
    <n v="3"/>
    <n v="10"/>
    <n v="3"/>
    <n v="178"/>
    <n v="78"/>
    <n v="13"/>
    <n v="83"/>
    <n v="13"/>
    <m/>
    <n v="1"/>
    <m/>
    <m/>
    <m/>
    <m/>
    <n v="24"/>
    <m/>
    <m/>
    <m/>
    <m/>
    <m/>
    <m/>
    <m/>
    <m/>
    <m/>
    <m/>
    <m/>
    <m/>
    <m/>
    <m/>
    <m/>
    <n v="290"/>
    <n v="1"/>
    <n v="6"/>
    <n v="3"/>
    <m/>
    <x v="0"/>
    <m/>
  </r>
  <r>
    <x v="9"/>
    <x v="9"/>
    <s v="YORK"/>
    <m/>
    <n v="85"/>
    <n v="4509"/>
    <n v="616"/>
    <m/>
    <n v="1"/>
    <n v="7422"/>
    <n v="116"/>
    <n v="0"/>
    <m/>
    <m/>
    <m/>
    <m/>
    <m/>
    <n v="11"/>
    <n v="4"/>
    <n v="2"/>
    <n v="9"/>
    <m/>
    <n v="152"/>
    <n v="116"/>
    <n v="11"/>
    <n v="77"/>
    <m/>
    <m/>
    <m/>
    <m/>
    <m/>
    <m/>
    <m/>
    <m/>
    <m/>
    <m/>
    <m/>
    <m/>
    <m/>
    <m/>
    <m/>
    <m/>
    <m/>
    <m/>
    <m/>
    <m/>
    <m/>
    <m/>
    <m/>
    <n v="46"/>
    <n v="6"/>
    <n v="12"/>
    <n v="2"/>
    <m/>
    <x v="0"/>
    <m/>
  </r>
  <r>
    <x v="9"/>
    <x v="9"/>
    <s v="OUTREACH/BOOKMOBILE"/>
    <m/>
    <n v="24"/>
    <n v="944"/>
    <m/>
    <m/>
    <m/>
    <n v="2263"/>
    <n v="4"/>
    <m/>
    <m/>
    <m/>
    <m/>
    <m/>
    <m/>
    <n v="4"/>
    <m/>
    <m/>
    <m/>
    <n v="2"/>
    <n v="58"/>
    <m/>
    <m/>
    <m/>
    <n v="45"/>
    <m/>
    <m/>
    <m/>
    <m/>
    <m/>
    <m/>
    <m/>
    <m/>
    <m/>
    <m/>
    <m/>
    <m/>
    <m/>
    <m/>
    <m/>
    <m/>
    <m/>
    <m/>
    <m/>
    <m/>
    <m/>
    <m/>
    <n v="445"/>
    <m/>
    <m/>
    <n v="7"/>
    <m/>
    <x v="0"/>
    <m/>
  </r>
  <r>
    <x v="9"/>
    <x v="9"/>
    <s v="YCL (System Wide)"/>
    <m/>
    <m/>
    <m/>
    <m/>
    <m/>
    <m/>
    <m/>
    <m/>
    <m/>
    <m/>
    <m/>
    <m/>
    <m/>
    <n v="4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0"/>
    <x v="10"/>
    <s v="ROCK HILL"/>
    <m/>
    <n v="139"/>
    <n v="12852"/>
    <m/>
    <m/>
    <n v="6"/>
    <n v="13708"/>
    <n v="92"/>
    <n v="20"/>
    <n v="4"/>
    <n v="76"/>
    <m/>
    <m/>
    <m/>
    <n v="23"/>
    <n v="5"/>
    <n v="8"/>
    <n v="18"/>
    <n v="4"/>
    <n v="900"/>
    <n v="132"/>
    <n v="1719"/>
    <n v="162"/>
    <n v="70"/>
    <m/>
    <n v="3"/>
    <m/>
    <m/>
    <m/>
    <m/>
    <n v="1645"/>
    <m/>
    <m/>
    <m/>
    <m/>
    <m/>
    <m/>
    <m/>
    <m/>
    <m/>
    <m/>
    <m/>
    <m/>
    <m/>
    <m/>
    <m/>
    <n v="140"/>
    <n v="17"/>
    <n v="76.25"/>
    <n v="8"/>
    <m/>
    <x v="0"/>
    <m/>
  </r>
  <r>
    <x v="10"/>
    <x v="10"/>
    <s v="CLOVER"/>
    <m/>
    <n v="23"/>
    <n v="2039"/>
    <n v="180"/>
    <m/>
    <m/>
    <n v="2737"/>
    <n v="50"/>
    <m/>
    <m/>
    <m/>
    <m/>
    <m/>
    <m/>
    <n v="7"/>
    <n v="3"/>
    <n v="2"/>
    <n v="6"/>
    <n v="2"/>
    <n v="104"/>
    <n v="19"/>
    <n v="14"/>
    <n v="50"/>
    <n v="69"/>
    <m/>
    <m/>
    <m/>
    <m/>
    <m/>
    <m/>
    <m/>
    <m/>
    <m/>
    <m/>
    <m/>
    <m/>
    <m/>
    <m/>
    <m/>
    <m/>
    <m/>
    <m/>
    <m/>
    <m/>
    <m/>
    <m/>
    <n v="85"/>
    <n v="21"/>
    <n v="22"/>
    <m/>
    <m/>
    <x v="0"/>
    <m/>
  </r>
  <r>
    <x v="10"/>
    <x v="10"/>
    <s v="FORT MILL"/>
    <m/>
    <n v="131"/>
    <n v="8773"/>
    <n v="515"/>
    <m/>
    <n v="4"/>
    <n v="16009"/>
    <n v="23"/>
    <n v="5"/>
    <m/>
    <m/>
    <m/>
    <m/>
    <m/>
    <n v="25"/>
    <n v="6"/>
    <n v="6"/>
    <n v="11"/>
    <n v="3"/>
    <n v="609"/>
    <n v="82"/>
    <n v="52"/>
    <n v="88"/>
    <n v="112"/>
    <m/>
    <m/>
    <m/>
    <m/>
    <m/>
    <m/>
    <m/>
    <m/>
    <m/>
    <m/>
    <m/>
    <m/>
    <m/>
    <m/>
    <m/>
    <m/>
    <m/>
    <m/>
    <m/>
    <m/>
    <m/>
    <m/>
    <n v="388"/>
    <m/>
    <m/>
    <m/>
    <m/>
    <x v="0"/>
    <m/>
  </r>
  <r>
    <x v="10"/>
    <x v="10"/>
    <s v="LAKE WYLIE"/>
    <m/>
    <n v="41"/>
    <n v="2877"/>
    <n v="149"/>
    <m/>
    <n v="7"/>
    <n v="4444"/>
    <n v="11"/>
    <n v="2"/>
    <m/>
    <m/>
    <m/>
    <m/>
    <m/>
    <n v="7"/>
    <n v="5"/>
    <n v="2"/>
    <n v="8"/>
    <n v="1"/>
    <n v="122"/>
    <n v="44"/>
    <n v="5"/>
    <n v="60"/>
    <n v="8"/>
    <m/>
    <n v="0"/>
    <m/>
    <m/>
    <m/>
    <m/>
    <n v="0"/>
    <m/>
    <m/>
    <m/>
    <m/>
    <m/>
    <m/>
    <m/>
    <m/>
    <m/>
    <m/>
    <m/>
    <m/>
    <m/>
    <m/>
    <m/>
    <n v="349"/>
    <n v="14"/>
    <n v="85"/>
    <n v="4"/>
    <m/>
    <x v="0"/>
    <m/>
  </r>
  <r>
    <x v="10"/>
    <x v="10"/>
    <s v="YORK"/>
    <m/>
    <n v="44"/>
    <n v="3025"/>
    <n v="327"/>
    <m/>
    <n v="3"/>
    <n v="3013"/>
    <n v="90"/>
    <n v="0"/>
    <m/>
    <m/>
    <m/>
    <m/>
    <m/>
    <n v="10"/>
    <n v="2"/>
    <n v="1"/>
    <n v="8"/>
    <m/>
    <n v="104"/>
    <n v="27"/>
    <n v="5"/>
    <n v="162"/>
    <m/>
    <m/>
    <n v="1"/>
    <m/>
    <m/>
    <m/>
    <m/>
    <n v="150"/>
    <m/>
    <m/>
    <m/>
    <m/>
    <m/>
    <m/>
    <m/>
    <m/>
    <m/>
    <m/>
    <m/>
    <m/>
    <m/>
    <m/>
    <m/>
    <n v="0"/>
    <n v="5"/>
    <n v="75"/>
    <n v="1"/>
    <m/>
    <x v="0"/>
    <m/>
  </r>
  <r>
    <x v="10"/>
    <x v="10"/>
    <s v="OUTREACH/BOOKMOBILE"/>
    <m/>
    <n v="8"/>
    <n v="830"/>
    <m/>
    <m/>
    <m/>
    <n v="1494"/>
    <n v="4"/>
    <m/>
    <m/>
    <m/>
    <m/>
    <m/>
    <m/>
    <n v="4"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x v="0"/>
    <m/>
  </r>
  <r>
    <x v="10"/>
    <x v="10"/>
    <s v="YCL (System Wide)"/>
    <m/>
    <m/>
    <m/>
    <m/>
    <m/>
    <m/>
    <m/>
    <m/>
    <m/>
    <m/>
    <m/>
    <m/>
    <m/>
    <n v="38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1"/>
    <x v="11"/>
    <s v="ROCK HILL"/>
    <m/>
    <n v="124"/>
    <n v="12444"/>
    <n v="1383"/>
    <m/>
    <n v="5"/>
    <n v="12565"/>
    <n v="120"/>
    <n v="13"/>
    <n v="2"/>
    <n v="78"/>
    <m/>
    <m/>
    <m/>
    <n v="23"/>
    <n v="73"/>
    <n v="20"/>
    <n v="21"/>
    <n v="9"/>
    <n v="899"/>
    <n v="73"/>
    <n v="1402"/>
    <n v="175"/>
    <n v="216"/>
    <m/>
    <n v="7"/>
    <m/>
    <m/>
    <m/>
    <m/>
    <n v="1308"/>
    <m/>
    <m/>
    <m/>
    <m/>
    <m/>
    <m/>
    <m/>
    <m/>
    <m/>
    <m/>
    <m/>
    <m/>
    <m/>
    <m/>
    <m/>
    <n v="259"/>
    <n v="10"/>
    <n v="23"/>
    <n v="9"/>
    <m/>
    <x v="0"/>
    <m/>
  </r>
  <r>
    <x v="11"/>
    <x v="11"/>
    <s v="CLOVER"/>
    <m/>
    <n v="18"/>
    <n v="2011"/>
    <m/>
    <m/>
    <m/>
    <n v="2324"/>
    <n v="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1"/>
    <x v="11"/>
    <s v="FORT MILL"/>
    <m/>
    <n v="141"/>
    <n v="9136"/>
    <n v="541"/>
    <m/>
    <n v="2"/>
    <n v="15494"/>
    <n v="25"/>
    <n v="5"/>
    <m/>
    <m/>
    <m/>
    <m/>
    <m/>
    <n v="14"/>
    <n v="4"/>
    <n v="6"/>
    <n v="11"/>
    <n v="3"/>
    <n v="418"/>
    <n v="49"/>
    <n v="68"/>
    <n v="71"/>
    <n v="114"/>
    <m/>
    <m/>
    <m/>
    <m/>
    <m/>
    <m/>
    <m/>
    <m/>
    <m/>
    <m/>
    <m/>
    <m/>
    <m/>
    <m/>
    <m/>
    <m/>
    <m/>
    <m/>
    <m/>
    <m/>
    <m/>
    <m/>
    <n v="368"/>
    <m/>
    <m/>
    <m/>
    <m/>
    <x v="0"/>
    <m/>
  </r>
  <r>
    <x v="11"/>
    <x v="11"/>
    <s v="LAKE WYLIE"/>
    <m/>
    <n v="52"/>
    <n v="3025"/>
    <n v="148"/>
    <m/>
    <n v="9"/>
    <n v="3800"/>
    <n v="16"/>
    <n v="2"/>
    <m/>
    <m/>
    <m/>
    <m/>
    <m/>
    <n v="7"/>
    <n v="4"/>
    <n v="2"/>
    <n v="5"/>
    <n v="0"/>
    <n v="127"/>
    <n v="43"/>
    <n v="5"/>
    <n v="41"/>
    <n v="0"/>
    <m/>
    <n v="0"/>
    <m/>
    <m/>
    <m/>
    <m/>
    <n v="0"/>
    <m/>
    <m/>
    <m/>
    <m/>
    <m/>
    <m/>
    <m/>
    <m/>
    <m/>
    <m/>
    <m/>
    <m/>
    <m/>
    <m/>
    <m/>
    <n v="301"/>
    <n v="1"/>
    <n v="8"/>
    <n v="8"/>
    <m/>
    <x v="0"/>
    <m/>
  </r>
  <r>
    <x v="11"/>
    <x v="11"/>
    <s v="YORK"/>
    <m/>
    <n v="30"/>
    <n v="2841"/>
    <n v="347"/>
    <m/>
    <n v="2"/>
    <n v="2704"/>
    <n v="97"/>
    <n v="0"/>
    <m/>
    <m/>
    <m/>
    <m/>
    <m/>
    <n v="9"/>
    <n v="3"/>
    <n v="1"/>
    <n v="7"/>
    <m/>
    <n v="166"/>
    <n v="81"/>
    <n v="7"/>
    <n v="60"/>
    <m/>
    <m/>
    <m/>
    <m/>
    <m/>
    <m/>
    <m/>
    <m/>
    <m/>
    <m/>
    <m/>
    <m/>
    <m/>
    <m/>
    <m/>
    <m/>
    <m/>
    <m/>
    <m/>
    <m/>
    <m/>
    <m/>
    <m/>
    <n v="70"/>
    <n v="5"/>
    <n v="10"/>
    <n v="0"/>
    <m/>
    <x v="0"/>
    <m/>
  </r>
  <r>
    <x v="11"/>
    <x v="11"/>
    <s v="OUTREACH/BOOKMOBILE"/>
    <m/>
    <n v="5"/>
    <n v="600"/>
    <m/>
    <m/>
    <m/>
    <n v="1030"/>
    <n v="4"/>
    <m/>
    <m/>
    <m/>
    <m/>
    <m/>
    <m/>
    <n v="3"/>
    <m/>
    <m/>
    <m/>
    <m/>
    <n v="98"/>
    <m/>
    <m/>
    <m/>
    <m/>
    <m/>
    <m/>
    <m/>
    <m/>
    <m/>
    <m/>
    <m/>
    <m/>
    <m/>
    <m/>
    <m/>
    <m/>
    <m/>
    <m/>
    <m/>
    <m/>
    <m/>
    <m/>
    <m/>
    <m/>
    <m/>
    <m/>
    <n v="586"/>
    <m/>
    <m/>
    <m/>
    <m/>
    <x v="0"/>
    <m/>
  </r>
  <r>
    <x v="11"/>
    <x v="11"/>
    <s v="YCL (System Wide)"/>
    <m/>
    <m/>
    <m/>
    <m/>
    <m/>
    <m/>
    <m/>
    <m/>
    <m/>
    <m/>
    <m/>
    <m/>
    <m/>
    <n v="44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x v="3"/>
    <s v="CLOVER"/>
    <m/>
    <n v="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03"/>
  </r>
  <r>
    <x v="3"/>
    <x v="3"/>
    <s v="FORT MILL"/>
    <m/>
    <n v="4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21"/>
  </r>
  <r>
    <x v="3"/>
    <x v="3"/>
    <s v="LAKE WYLIE"/>
    <m/>
    <n v="1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82"/>
  </r>
  <r>
    <x v="3"/>
    <x v="3"/>
    <s v="ROCK HILL"/>
    <m/>
    <n v="3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68"/>
  </r>
  <r>
    <x v="3"/>
    <x v="3"/>
    <s v="YORK"/>
    <m/>
    <n v="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4"/>
  </r>
  <r>
    <x v="3"/>
    <x v="3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3"/>
    <x v="3"/>
    <s v="ROCK HILL"/>
    <n v="218"/>
    <m/>
    <n v="15340"/>
    <n v="2034"/>
    <n v="3639"/>
    <n v="4"/>
    <n v="15145"/>
    <n v="139"/>
    <m/>
    <n v="6"/>
    <n v="116"/>
    <n v="2870"/>
    <n v="6318"/>
    <n v="563"/>
    <n v="22"/>
    <n v="6"/>
    <n v="15"/>
    <n v="29"/>
    <n v="6"/>
    <n v="890"/>
    <n v="277"/>
    <n v="162"/>
    <n v="292"/>
    <n v="156"/>
    <m/>
    <m/>
    <m/>
    <m/>
    <m/>
    <m/>
    <m/>
    <m/>
    <m/>
    <m/>
    <m/>
    <m/>
    <m/>
    <m/>
    <m/>
    <m/>
    <m/>
    <m/>
    <m/>
    <m/>
    <m/>
    <m/>
    <n v="12"/>
    <n v="14"/>
    <n v="22"/>
    <n v="8"/>
    <m/>
    <x v="1"/>
    <m/>
  </r>
  <r>
    <x v="3"/>
    <x v="3"/>
    <s v="CLOVER"/>
    <n v="62"/>
    <m/>
    <n v="2761"/>
    <n v="214"/>
    <n v="557"/>
    <n v="1"/>
    <n v="3132"/>
    <n v="59"/>
    <m/>
    <m/>
    <m/>
    <n v="985"/>
    <n v="2044"/>
    <n v="163"/>
    <n v="8"/>
    <n v="2"/>
    <n v="2"/>
    <n v="1"/>
    <n v="3"/>
    <n v="85"/>
    <n v="21"/>
    <n v="6"/>
    <n v="4"/>
    <n v="30"/>
    <m/>
    <m/>
    <m/>
    <m/>
    <m/>
    <m/>
    <m/>
    <m/>
    <m/>
    <m/>
    <m/>
    <m/>
    <m/>
    <m/>
    <m/>
    <m/>
    <m/>
    <m/>
    <m/>
    <m/>
    <m/>
    <m/>
    <n v="1"/>
    <n v="4"/>
    <n v="25"/>
    <n v="0"/>
    <m/>
    <x v="1"/>
    <m/>
  </r>
  <r>
    <x v="3"/>
    <x v="3"/>
    <s v="FORT MILL"/>
    <n v="203"/>
    <m/>
    <n v="11742"/>
    <n v="781"/>
    <n v="1868"/>
    <n v="6"/>
    <n v="19642"/>
    <n v="28"/>
    <m/>
    <m/>
    <m/>
    <n v="1762"/>
    <n v="6719"/>
    <n v="380"/>
    <n v="21"/>
    <n v="9"/>
    <n v="7"/>
    <n v="11"/>
    <n v="6"/>
    <n v="754"/>
    <n v="778"/>
    <n v="65"/>
    <n v="94"/>
    <n v="265"/>
    <m/>
    <m/>
    <m/>
    <m/>
    <m/>
    <m/>
    <m/>
    <m/>
    <m/>
    <m/>
    <m/>
    <m/>
    <m/>
    <m/>
    <m/>
    <m/>
    <m/>
    <m/>
    <m/>
    <m/>
    <m/>
    <m/>
    <n v="5"/>
    <n v="4"/>
    <n v="20"/>
    <n v="0"/>
    <m/>
    <x v="1"/>
    <m/>
  </r>
  <r>
    <x v="3"/>
    <x v="3"/>
    <s v="LAKE WYLIE"/>
    <n v="64"/>
    <m/>
    <n v="3868"/>
    <n v="188"/>
    <n v="857"/>
    <n v="10"/>
    <n v="4663"/>
    <n v="15"/>
    <m/>
    <m/>
    <m/>
    <n v="1418"/>
    <n v="2758"/>
    <n v="107"/>
    <n v="4"/>
    <n v="4"/>
    <n v="2"/>
    <n v="12"/>
    <n v="2"/>
    <n v="40"/>
    <n v="20"/>
    <n v="9"/>
    <n v="100"/>
    <n v="11"/>
    <m/>
    <m/>
    <m/>
    <m/>
    <m/>
    <m/>
    <m/>
    <m/>
    <m/>
    <m/>
    <m/>
    <m/>
    <m/>
    <m/>
    <m/>
    <m/>
    <m/>
    <m/>
    <m/>
    <m/>
    <m/>
    <m/>
    <n v="9"/>
    <n v="1"/>
    <n v="25"/>
    <n v="5"/>
    <m/>
    <x v="1"/>
    <m/>
  </r>
  <r>
    <x v="3"/>
    <x v="3"/>
    <s v="YORK"/>
    <n v="82"/>
    <m/>
    <n v="3598"/>
    <n v="377"/>
    <n v="932"/>
    <n v="2"/>
    <n v="3804"/>
    <n v="112"/>
    <m/>
    <m/>
    <m/>
    <n v="1341"/>
    <n v="2373"/>
    <n v="184"/>
    <n v="12"/>
    <n v="3"/>
    <n v="1"/>
    <n v="7"/>
    <n v="0"/>
    <n v="206"/>
    <n v="66"/>
    <n v="4"/>
    <n v="61"/>
    <n v="0"/>
    <m/>
    <m/>
    <m/>
    <m/>
    <m/>
    <m/>
    <m/>
    <m/>
    <m/>
    <m/>
    <m/>
    <m/>
    <m/>
    <m/>
    <m/>
    <m/>
    <m/>
    <m/>
    <m/>
    <m/>
    <m/>
    <m/>
    <n v="2"/>
    <n v="4"/>
    <n v="28"/>
    <n v="0"/>
    <m/>
    <x v="1"/>
    <m/>
  </r>
  <r>
    <x v="3"/>
    <x v="3"/>
    <s v="OUTREACH / BOOKMOBILE"/>
    <n v="43"/>
    <m/>
    <n v="905"/>
    <m/>
    <m/>
    <m/>
    <n v="1647"/>
    <n v="4"/>
    <m/>
    <m/>
    <m/>
    <n v="15"/>
    <n v="404"/>
    <m/>
    <n v="1"/>
    <n v="0"/>
    <n v="0"/>
    <n v="2"/>
    <n v="0"/>
    <n v="25"/>
    <n v="0"/>
    <n v="0"/>
    <n v="16"/>
    <n v="0"/>
    <m/>
    <m/>
    <m/>
    <m/>
    <m/>
    <m/>
    <m/>
    <m/>
    <m/>
    <m/>
    <m/>
    <m/>
    <m/>
    <m/>
    <m/>
    <m/>
    <m/>
    <m/>
    <m/>
    <m/>
    <m/>
    <m/>
    <n v="21"/>
    <n v="2"/>
    <n v="8"/>
    <n v="0"/>
    <m/>
    <x v="1"/>
    <m/>
  </r>
  <r>
    <x v="7"/>
    <x v="7"/>
    <s v="OUTREACH / BOOKMOBILE"/>
    <n v="19"/>
    <n v="20"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n v="20"/>
    <m/>
    <m/>
    <m/>
    <m/>
    <m/>
    <m/>
    <m/>
    <m/>
    <m/>
    <m/>
    <m/>
    <n v="3"/>
    <n v="184"/>
    <n v="170"/>
    <n v="7"/>
    <n v="62"/>
    <n v="1"/>
    <m/>
    <x v="1"/>
    <m/>
  </r>
  <r>
    <x v="7"/>
    <x v="7"/>
    <s v="YORK"/>
    <n v="60"/>
    <n v="118"/>
    <n v="3914"/>
    <n v="505"/>
    <n v="781"/>
    <n v="2"/>
    <n v="5939"/>
    <n v="92"/>
    <n v="0"/>
    <m/>
    <m/>
    <m/>
    <m/>
    <n v="1090"/>
    <m/>
    <m/>
    <m/>
    <n v="3"/>
    <m/>
    <m/>
    <m/>
    <m/>
    <n v="25"/>
    <m/>
    <m/>
    <m/>
    <m/>
    <m/>
    <m/>
    <m/>
    <m/>
    <m/>
    <m/>
    <m/>
    <m/>
    <m/>
    <m/>
    <m/>
    <m/>
    <m/>
    <m/>
    <m/>
    <m/>
    <m/>
    <n v="1"/>
    <n v="150"/>
    <n v="175"/>
    <n v="10"/>
    <n v="80"/>
    <n v="0"/>
    <m/>
    <x v="1"/>
    <n v="120"/>
  </r>
  <r>
    <x v="7"/>
    <x v="7"/>
    <s v="LAKE WYLIE"/>
    <n v="72"/>
    <n v="15"/>
    <n v="3764"/>
    <n v="167"/>
    <n v="524"/>
    <n v="12"/>
    <n v="5908"/>
    <n v="14"/>
    <n v="3"/>
    <m/>
    <m/>
    <m/>
    <m/>
    <n v="491"/>
    <n v="0"/>
    <n v="0"/>
    <n v="0"/>
    <n v="7"/>
    <n v="2"/>
    <n v="0"/>
    <n v="0"/>
    <n v="0"/>
    <n v="5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7"/>
    <n v="10"/>
    <n v="88.5"/>
    <n v="6"/>
    <m/>
    <x v="1"/>
    <n v="327"/>
  </r>
  <r>
    <x v="7"/>
    <x v="7"/>
    <s v="CLOVER"/>
    <n v="38"/>
    <n v="4"/>
    <n v="2694"/>
    <n v="223"/>
    <n v="419"/>
    <n v="2"/>
    <n v="5121"/>
    <n v="66"/>
    <n v="0"/>
    <m/>
    <m/>
    <m/>
    <m/>
    <n v="1146"/>
    <n v="0"/>
    <n v="1"/>
    <n v="3"/>
    <n v="3"/>
    <n v="0"/>
    <n v="0"/>
    <n v="11"/>
    <n v="17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"/>
    <n v="6"/>
    <n v="36.5"/>
    <n v="0"/>
    <m/>
    <x v="1"/>
    <n v="94"/>
  </r>
  <r>
    <x v="7"/>
    <x v="7"/>
    <s v="FORT MILL"/>
    <n v="213"/>
    <n v="43"/>
    <n v="10805"/>
    <n v="709"/>
    <n v="1621"/>
    <n v="3"/>
    <n v="19906"/>
    <n v="33"/>
    <n v="6"/>
    <m/>
    <m/>
    <m/>
    <m/>
    <n v="1958"/>
    <m/>
    <m/>
    <n v="1"/>
    <n v="17"/>
    <n v="1"/>
    <m/>
    <m/>
    <n v="30"/>
    <n v="114"/>
    <n v="80"/>
    <m/>
    <m/>
    <m/>
    <m/>
    <m/>
    <m/>
    <m/>
    <m/>
    <m/>
    <m/>
    <m/>
    <m/>
    <m/>
    <m/>
    <m/>
    <m/>
    <m/>
    <m/>
    <m/>
    <m/>
    <m/>
    <m/>
    <n v="988"/>
    <n v="17"/>
    <n v="104"/>
    <m/>
    <m/>
    <x v="1"/>
    <n v="828"/>
  </r>
  <r>
    <x v="7"/>
    <x v="7"/>
    <s v="ROCK HILL"/>
    <n v="199"/>
    <n v="57"/>
    <n v="15257"/>
    <n v="199"/>
    <n v="3482"/>
    <n v="13"/>
    <n v="171619"/>
    <n v="123"/>
    <n v="42"/>
    <n v="5"/>
    <n v="139"/>
    <n v="9611"/>
    <n v="23150"/>
    <n v="1714"/>
    <n v="0"/>
    <n v="0"/>
    <n v="5"/>
    <n v="20"/>
    <n v="0"/>
    <n v="0"/>
    <n v="0"/>
    <n v="43"/>
    <n v="175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5"/>
    <n v="35"/>
    <n v="0"/>
    <n v="0"/>
    <n v="0"/>
    <n v="385"/>
    <n v="39"/>
    <n v="221"/>
    <n v="4"/>
    <m/>
    <x v="1"/>
    <n v="409"/>
  </r>
  <r>
    <x v="11"/>
    <x v="11"/>
    <s v="LAKE WYLIE"/>
    <n v="41"/>
    <n v="15"/>
    <n v="3342"/>
    <n v="169"/>
    <n v="561"/>
    <n v="17"/>
    <n v="4560"/>
    <n v="30"/>
    <n v="1"/>
    <m/>
    <m/>
    <m/>
    <m/>
    <m/>
    <n v="4"/>
    <n v="2"/>
    <n v="2"/>
    <n v="9"/>
    <n v="0"/>
    <n v="38"/>
    <n v="42"/>
    <n v="21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9"/>
    <n v="2"/>
    <n v="5"/>
    <n v="3"/>
    <s v="rae.lovvorn@yclibrary.org"/>
    <x v="1"/>
    <n v="214"/>
  </r>
  <r>
    <x v="11"/>
    <x v="11"/>
    <s v="YORK"/>
    <n v="43"/>
    <n v="9"/>
    <n v="4352"/>
    <n v="429"/>
    <n v="867"/>
    <n v="21"/>
    <n v="7039"/>
    <n v="120"/>
    <n v="0"/>
    <m/>
    <m/>
    <m/>
    <m/>
    <n v="1236"/>
    <n v="10"/>
    <n v="2"/>
    <n v="1"/>
    <n v="8"/>
    <n v="1"/>
    <n v="201"/>
    <n v="39"/>
    <n v="6"/>
    <n v="63"/>
    <n v="16"/>
    <m/>
    <m/>
    <m/>
    <m/>
    <m/>
    <m/>
    <m/>
    <m/>
    <m/>
    <m/>
    <m/>
    <m/>
    <m/>
    <m/>
    <m/>
    <m/>
    <m/>
    <m/>
    <m/>
    <m/>
    <m/>
    <m/>
    <n v="313"/>
    <m/>
    <m/>
    <m/>
    <s v="jennifer.stanley@yclibrary.org"/>
    <x v="1"/>
    <n v="116"/>
  </r>
  <r>
    <x v="11"/>
    <x v="11"/>
    <s v="FORT MILL"/>
    <n v="181"/>
    <n v="50"/>
    <n v="11975"/>
    <n v="778"/>
    <n v="1679"/>
    <n v="7"/>
    <n v="36502"/>
    <n v="74"/>
    <n v="5"/>
    <m/>
    <m/>
    <m/>
    <m/>
    <n v="2312"/>
    <n v="24"/>
    <n v="4"/>
    <n v="6"/>
    <n v="13"/>
    <n v="5"/>
    <n v="739"/>
    <n v="67"/>
    <n v="65"/>
    <n v="109"/>
    <n v="202"/>
    <m/>
    <m/>
    <m/>
    <m/>
    <m/>
    <m/>
    <m/>
    <m/>
    <m/>
    <m/>
    <m/>
    <m/>
    <m/>
    <m/>
    <m/>
    <m/>
    <m/>
    <m/>
    <m/>
    <m/>
    <m/>
    <m/>
    <n v="2016"/>
    <n v="1"/>
    <n v="1"/>
    <m/>
    <s v="tom.holloway@yclibrary.org"/>
    <x v="1"/>
    <n v="639"/>
  </r>
  <r>
    <x v="11"/>
    <x v="11"/>
    <s v="OUTREACH / BOOKMOBILE"/>
    <n v="7"/>
    <n v="2"/>
    <n v="792"/>
    <m/>
    <n v="2"/>
    <m/>
    <n v="1256"/>
    <n v="2"/>
    <m/>
    <m/>
    <m/>
    <m/>
    <m/>
    <m/>
    <m/>
    <m/>
    <m/>
    <m/>
    <m/>
    <m/>
    <m/>
    <m/>
    <m/>
    <m/>
    <n v="3"/>
    <m/>
    <m/>
    <n v="3"/>
    <m/>
    <n v="105"/>
    <m/>
    <m/>
    <n v="70"/>
    <m/>
    <m/>
    <m/>
    <m/>
    <m/>
    <m/>
    <m/>
    <m/>
    <m/>
    <m/>
    <m/>
    <m/>
    <m/>
    <n v="295"/>
    <n v="7"/>
    <n v="135.5"/>
    <n v="3"/>
    <s v="jennifer.strokis@yclibrary.org"/>
    <x v="1"/>
    <m/>
  </r>
  <r>
    <x v="11"/>
    <x v="11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11"/>
    <m/>
    <s v="martin.house@yclibrary.org"/>
    <x v="1"/>
    <m/>
  </r>
  <r>
    <x v="11"/>
    <x v="11"/>
    <s v="ROCK HILL"/>
    <n v="2"/>
    <n v="19"/>
    <n v="0"/>
    <n v="0"/>
    <n v="0"/>
    <n v="0"/>
    <n v="38"/>
    <n v="0"/>
    <n v="0"/>
    <n v="0"/>
    <n v="75"/>
    <n v="1825"/>
    <n v="5333"/>
    <n v="0"/>
    <n v="0"/>
    <n v="0"/>
    <n v="0"/>
    <n v="0"/>
    <n v="0"/>
    <n v="0"/>
    <n v="0"/>
    <n v="0"/>
    <n v="0"/>
    <n v="0"/>
    <n v="20"/>
    <n v="3"/>
    <n v="13"/>
    <n v="8"/>
    <n v="4"/>
    <n v="500"/>
    <n v="74"/>
    <n v="367"/>
    <n v="71"/>
    <n v="121"/>
    <n v="0"/>
    <n v="0"/>
    <n v="0"/>
    <n v="2"/>
    <n v="0"/>
    <n v="0"/>
    <n v="0"/>
    <n v="0"/>
    <n v="43"/>
    <n v="0"/>
    <m/>
    <m/>
    <n v="133"/>
    <n v="27"/>
    <n v="134.25"/>
    <n v="0"/>
    <s v="amanda.antonacci@yclibrary.org"/>
    <x v="1"/>
    <n v="0"/>
  </r>
  <r>
    <x v="1"/>
    <x v="1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2"/>
  </r>
  <r>
    <x v="1"/>
    <x v="1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503"/>
  </r>
  <r>
    <x v="1"/>
    <x v="1"/>
    <s v="LAKE WYLI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58"/>
  </r>
  <r>
    <x v="1"/>
    <x v="1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38"/>
  </r>
  <r>
    <x v="1"/>
    <x v="1"/>
    <s v="YOR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0"/>
  </r>
  <r>
    <x v="1"/>
    <x v="1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1"/>
    <x v="1"/>
    <s v="ROCK HILL"/>
    <n v="218"/>
    <m/>
    <n v="13867"/>
    <n v="1859"/>
    <n v="2360"/>
    <n v="6"/>
    <n v="14107"/>
    <n v="136"/>
    <m/>
    <n v="2"/>
    <n v="92"/>
    <n v="2747"/>
    <n v="5962"/>
    <n v="596"/>
    <n v="28"/>
    <n v="5"/>
    <n v="12"/>
    <n v="29"/>
    <n v="1"/>
    <n v="940"/>
    <n v="123"/>
    <n v="131"/>
    <n v="143"/>
    <n v="51"/>
    <m/>
    <m/>
    <m/>
    <m/>
    <m/>
    <m/>
    <m/>
    <m/>
    <m/>
    <m/>
    <m/>
    <m/>
    <m/>
    <m/>
    <m/>
    <m/>
    <m/>
    <m/>
    <m/>
    <m/>
    <m/>
    <m/>
    <n v="13"/>
    <n v="50"/>
    <n v="266"/>
    <n v="7"/>
    <m/>
    <x v="1"/>
    <n v="148"/>
  </r>
  <r>
    <x v="1"/>
    <x v="1"/>
    <s v="CLOVER"/>
    <n v="29"/>
    <m/>
    <n v="2241"/>
    <n v="207"/>
    <n v="589"/>
    <n v="0"/>
    <n v="2693"/>
    <n v="58"/>
    <m/>
    <m/>
    <m/>
    <n v="985"/>
    <n v="1846"/>
    <n v="100"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8"/>
    <n v="35"/>
    <n v="60"/>
    <n v="0"/>
    <m/>
    <x v="1"/>
    <n v="46"/>
  </r>
  <r>
    <x v="1"/>
    <x v="1"/>
    <s v="FORT MILL"/>
    <n v="208"/>
    <m/>
    <n v="11414"/>
    <n v="686"/>
    <n v="1730"/>
    <n v="14"/>
    <n v="17829"/>
    <n v="27"/>
    <m/>
    <m/>
    <m/>
    <n v="1641"/>
    <n v="5960"/>
    <n v="282"/>
    <n v="23"/>
    <n v="6"/>
    <n v="7"/>
    <n v="14"/>
    <n v="4"/>
    <n v="683"/>
    <n v="66"/>
    <n v="93"/>
    <n v="116"/>
    <n v="154"/>
    <m/>
    <m/>
    <m/>
    <m/>
    <m/>
    <m/>
    <m/>
    <m/>
    <m/>
    <m/>
    <m/>
    <m/>
    <m/>
    <m/>
    <m/>
    <m/>
    <m/>
    <m/>
    <m/>
    <m/>
    <m/>
    <m/>
    <n v="5"/>
    <n v="16"/>
    <n v="221"/>
    <n v="0"/>
    <m/>
    <x v="1"/>
    <n v="314"/>
  </r>
  <r>
    <x v="1"/>
    <x v="1"/>
    <s v="LAKE WYLIE"/>
    <n v="54"/>
    <m/>
    <n v="3403"/>
    <n v="193"/>
    <n v="992"/>
    <n v="11"/>
    <n v="4250"/>
    <n v="12"/>
    <m/>
    <m/>
    <m/>
    <n v="1347"/>
    <n v="2470"/>
    <n v="62"/>
    <n v="5"/>
    <n v="4"/>
    <n v="2"/>
    <n v="13"/>
    <n v="0"/>
    <n v="52"/>
    <n v="47"/>
    <n v="8"/>
    <n v="118"/>
    <n v="0"/>
    <m/>
    <m/>
    <m/>
    <m/>
    <m/>
    <m/>
    <m/>
    <m/>
    <m/>
    <m/>
    <m/>
    <m/>
    <m/>
    <m/>
    <m/>
    <m/>
    <m/>
    <m/>
    <m/>
    <m/>
    <m/>
    <m/>
    <n v="11"/>
    <n v="4"/>
    <n v="86"/>
    <n v="5"/>
    <m/>
    <x v="1"/>
    <n v="115"/>
  </r>
  <r>
    <x v="1"/>
    <x v="1"/>
    <s v="YORK"/>
    <n v="36"/>
    <m/>
    <n v="3286"/>
    <n v="409"/>
    <n v="975"/>
    <n v="5"/>
    <n v="3430"/>
    <n v="96"/>
    <m/>
    <m/>
    <m/>
    <n v="1192"/>
    <n v="2195"/>
    <n v="218"/>
    <n v="7"/>
    <n v="3"/>
    <n v="1"/>
    <n v="8"/>
    <n v="1"/>
    <n v="73"/>
    <n v="68"/>
    <n v="5"/>
    <n v="67"/>
    <n v="20"/>
    <m/>
    <m/>
    <m/>
    <m/>
    <m/>
    <m/>
    <m/>
    <m/>
    <m/>
    <m/>
    <m/>
    <m/>
    <m/>
    <m/>
    <m/>
    <m/>
    <m/>
    <m/>
    <m/>
    <m/>
    <m/>
    <m/>
    <n v="2"/>
    <n v="18"/>
    <n v="87"/>
    <n v="2"/>
    <m/>
    <x v="1"/>
    <n v="40"/>
  </r>
  <r>
    <x v="1"/>
    <x v="1"/>
    <s v="OUTREACH / BOOKMOBILE"/>
    <n v="24"/>
    <m/>
    <n v="13867"/>
    <m/>
    <m/>
    <m/>
    <n v="1764"/>
    <n v="4"/>
    <m/>
    <m/>
    <m/>
    <n v="15"/>
    <n v="421"/>
    <m/>
    <n v="4"/>
    <n v="0"/>
    <n v="0"/>
    <n v="0"/>
    <n v="0"/>
    <n v="104"/>
    <n v="0"/>
    <n v="0"/>
    <n v="0"/>
    <n v="0"/>
    <m/>
    <m/>
    <m/>
    <m/>
    <m/>
    <m/>
    <m/>
    <m/>
    <m/>
    <m/>
    <m/>
    <m/>
    <m/>
    <m/>
    <m/>
    <m/>
    <m/>
    <m/>
    <m/>
    <m/>
    <m/>
    <m/>
    <n v="0"/>
    <n v="8"/>
    <n v="58"/>
    <n v="0"/>
    <m/>
    <x v="1"/>
    <m/>
  </r>
  <r>
    <x v="0"/>
    <x v="0"/>
    <s v="ROCK HILL"/>
    <m/>
    <n v="181"/>
    <n v="13105"/>
    <n v="1617"/>
    <n v="3059"/>
    <n v="2"/>
    <n v="14481"/>
    <n v="136"/>
    <m/>
    <n v="7"/>
    <n v="105"/>
    <m/>
    <m/>
    <n v="749"/>
    <n v="22"/>
    <n v="5"/>
    <n v="5"/>
    <n v="18"/>
    <n v="8"/>
    <n v="913"/>
    <n v="99"/>
    <n v="47"/>
    <n v="137"/>
    <n v="364"/>
    <m/>
    <m/>
    <m/>
    <m/>
    <m/>
    <m/>
    <m/>
    <m/>
    <m/>
    <m/>
    <m/>
    <m/>
    <m/>
    <m/>
    <m/>
    <m/>
    <m/>
    <m/>
    <m/>
    <m/>
    <m/>
    <m/>
    <n v="47"/>
    <n v="9"/>
    <n v="48"/>
    <n v="9"/>
    <m/>
    <x v="1"/>
    <n v="199"/>
  </r>
  <r>
    <x v="0"/>
    <x v="0"/>
    <s v="CLOVER"/>
    <m/>
    <n v="27"/>
    <n v="2152"/>
    <n v="216"/>
    <n v="457"/>
    <n v="1"/>
    <n v="2594"/>
    <n v="62"/>
    <m/>
    <m/>
    <m/>
    <m/>
    <m/>
    <n v="190"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7"/>
    <n v="38"/>
    <n v="27"/>
    <n v="0"/>
    <m/>
    <x v="1"/>
    <n v="36"/>
  </r>
  <r>
    <x v="0"/>
    <x v="0"/>
    <s v="FORT MILL"/>
    <m/>
    <n v="202"/>
    <n v="10010"/>
    <n v="679"/>
    <n v="1570"/>
    <n v="6"/>
    <n v="18615"/>
    <n v="28"/>
    <m/>
    <m/>
    <m/>
    <m/>
    <m/>
    <n v="160"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5"/>
    <n v="0"/>
    <n v="0"/>
    <n v="0"/>
    <m/>
    <x v="1"/>
    <n v="324"/>
  </r>
  <r>
    <x v="0"/>
    <x v="0"/>
    <s v="LAKE WYLIE"/>
    <m/>
    <n v="46"/>
    <n v="3150"/>
    <n v="138"/>
    <n v="742"/>
    <n v="9"/>
    <n v="4442"/>
    <n v="16"/>
    <m/>
    <m/>
    <m/>
    <m/>
    <m/>
    <n v="87"/>
    <n v="1"/>
    <n v="2"/>
    <n v="2"/>
    <n v="10"/>
    <n v="0"/>
    <n v="8"/>
    <n v="6"/>
    <n v="4"/>
    <n v="105"/>
    <n v="0"/>
    <m/>
    <m/>
    <m/>
    <m/>
    <m/>
    <m/>
    <m/>
    <m/>
    <m/>
    <m/>
    <m/>
    <m/>
    <m/>
    <m/>
    <m/>
    <m/>
    <m/>
    <m/>
    <m/>
    <m/>
    <m/>
    <m/>
    <n v="7"/>
    <n v="1"/>
    <n v="9"/>
    <n v="2"/>
    <m/>
    <x v="1"/>
    <n v="74"/>
  </r>
  <r>
    <x v="0"/>
    <x v="0"/>
    <s v="YORK"/>
    <m/>
    <n v="56"/>
    <n v="3430"/>
    <n v="395"/>
    <n v="457"/>
    <n v="3"/>
    <n v="3551"/>
    <n v="104"/>
    <m/>
    <m/>
    <m/>
    <m/>
    <m/>
    <n v="575"/>
    <n v="10"/>
    <n v="2"/>
    <n v="2"/>
    <n v="9"/>
    <n v="0"/>
    <n v="146"/>
    <n v="56"/>
    <n v="15"/>
    <n v="91"/>
    <n v="0"/>
    <m/>
    <m/>
    <m/>
    <m/>
    <m/>
    <m/>
    <m/>
    <m/>
    <m/>
    <m/>
    <m/>
    <m/>
    <m/>
    <m/>
    <m/>
    <m/>
    <m/>
    <m/>
    <m/>
    <m/>
    <m/>
    <m/>
    <n v="2"/>
    <n v="4"/>
    <n v="16"/>
    <n v="3"/>
    <m/>
    <x v="1"/>
    <n v="58"/>
  </r>
  <r>
    <x v="0"/>
    <x v="0"/>
    <s v="OUTREACH / BOOKMOBILE"/>
    <m/>
    <n v="7"/>
    <n v="625"/>
    <m/>
    <m/>
    <m/>
    <n v="1342"/>
    <n v="4"/>
    <m/>
    <m/>
    <m/>
    <m/>
    <m/>
    <m/>
    <n v="3"/>
    <n v="0"/>
    <n v="0"/>
    <n v="0"/>
    <n v="0"/>
    <n v="96"/>
    <n v="0"/>
    <n v="0"/>
    <n v="0"/>
    <n v="0"/>
    <m/>
    <m/>
    <m/>
    <m/>
    <m/>
    <m/>
    <m/>
    <m/>
    <m/>
    <m/>
    <m/>
    <m/>
    <m/>
    <m/>
    <m/>
    <m/>
    <m/>
    <m/>
    <m/>
    <m/>
    <m/>
    <m/>
    <n v="1"/>
    <n v="1"/>
    <n v="1"/>
    <n v="0"/>
    <m/>
    <x v="1"/>
    <m/>
  </r>
  <r>
    <x v="6"/>
    <x v="6"/>
    <s v="OUTREACH / BOOKMOBILE"/>
    <n v="13"/>
    <n v="6"/>
    <n v="12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n v="246"/>
    <m/>
    <m/>
    <n v="1"/>
    <m/>
    <x v="1"/>
    <m/>
  </r>
  <r>
    <x v="6"/>
    <x v="6"/>
    <s v="CLOVER"/>
    <n v="34"/>
    <n v="12"/>
    <n v="3515"/>
    <n v="245"/>
    <n v="477"/>
    <n v="1"/>
    <m/>
    <m/>
    <m/>
    <m/>
    <m/>
    <m/>
    <m/>
    <m/>
    <n v="10"/>
    <n v="3"/>
    <n v="7"/>
    <n v="5"/>
    <n v="6"/>
    <n v="114"/>
    <n v="39"/>
    <n v="39"/>
    <n v="36"/>
    <n v="126"/>
    <m/>
    <m/>
    <m/>
    <m/>
    <m/>
    <m/>
    <m/>
    <m/>
    <m/>
    <m/>
    <m/>
    <m/>
    <m/>
    <m/>
    <m/>
    <m/>
    <m/>
    <m/>
    <m/>
    <m/>
    <n v="1"/>
    <m/>
    <n v="4"/>
    <n v="14"/>
    <n v="15.8"/>
    <m/>
    <m/>
    <x v="1"/>
    <n v="87"/>
  </r>
  <r>
    <x v="6"/>
    <x v="6"/>
    <s v="FORT MILL"/>
    <n v="252"/>
    <n v="76"/>
    <n v="15128"/>
    <n v="772"/>
    <n v="2086"/>
    <m/>
    <m/>
    <m/>
    <m/>
    <m/>
    <m/>
    <m/>
    <m/>
    <m/>
    <n v="24"/>
    <n v="6"/>
    <n v="8"/>
    <n v="12"/>
    <n v="14"/>
    <n v="731"/>
    <n v="148"/>
    <n v="269"/>
    <n v="117"/>
    <n v="803"/>
    <m/>
    <n v="1"/>
    <m/>
    <m/>
    <m/>
    <m/>
    <m/>
    <m/>
    <m/>
    <m/>
    <m/>
    <m/>
    <m/>
    <m/>
    <m/>
    <m/>
    <m/>
    <m/>
    <m/>
    <m/>
    <m/>
    <m/>
    <n v="4"/>
    <n v="9"/>
    <n v="10"/>
    <m/>
    <m/>
    <x v="1"/>
    <n v="674"/>
  </r>
  <r>
    <x v="6"/>
    <x v="6"/>
    <s v="LAKE WYLIE"/>
    <n v="67"/>
    <n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57"/>
  </r>
  <r>
    <x v="6"/>
    <x v="6"/>
    <s v="ROCK HILL"/>
    <n v="223"/>
    <n v="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13"/>
  </r>
  <r>
    <x v="6"/>
    <x v="6"/>
    <s v="ROCK HILL"/>
    <m/>
    <m/>
    <n v="20248"/>
    <n v="2158"/>
    <n v="3826"/>
    <n v="20"/>
    <n v="33792"/>
    <n v="141"/>
    <n v="27"/>
    <m/>
    <n v="123"/>
    <n v="7"/>
    <m/>
    <n v="2011"/>
    <n v="12"/>
    <n v="6"/>
    <n v="21"/>
    <n v="21"/>
    <n v="13"/>
    <n v="547"/>
    <n v="226"/>
    <n v="398"/>
    <n v="192"/>
    <n v="1385"/>
    <m/>
    <n v="4"/>
    <m/>
    <m/>
    <m/>
    <m/>
    <n v="1602"/>
    <m/>
    <m/>
    <m/>
    <m/>
    <n v="2"/>
    <m/>
    <m/>
    <m/>
    <m/>
    <n v="10"/>
    <m/>
    <m/>
    <m/>
    <m/>
    <m/>
    <n v="374"/>
    <n v="20"/>
    <n v="27.5"/>
    <n v="8"/>
    <m/>
    <x v="1"/>
    <m/>
  </r>
  <r>
    <x v="6"/>
    <x v="6"/>
    <s v="YORK"/>
    <n v="65"/>
    <n v="21"/>
    <n v="4771"/>
    <n v="471"/>
    <n v="724"/>
    <n v="0"/>
    <n v="6285"/>
    <n v="105"/>
    <m/>
    <m/>
    <m/>
    <m/>
    <m/>
    <n v="1125"/>
    <n v="11"/>
    <n v="3"/>
    <n v="6"/>
    <n v="7"/>
    <n v="4"/>
    <n v="202"/>
    <n v="93"/>
    <n v="57"/>
    <n v="53"/>
    <n v="249"/>
    <m/>
    <m/>
    <m/>
    <m/>
    <m/>
    <m/>
    <m/>
    <m/>
    <m/>
    <m/>
    <m/>
    <m/>
    <m/>
    <m/>
    <m/>
    <m/>
    <m/>
    <m/>
    <m/>
    <m/>
    <m/>
    <m/>
    <n v="95"/>
    <n v="7"/>
    <n v="6"/>
    <n v="0"/>
    <m/>
    <x v="1"/>
    <n v="81"/>
  </r>
  <r>
    <x v="5"/>
    <x v="5"/>
    <s v="ROCK HILL"/>
    <n v="349"/>
    <m/>
    <n v="19413"/>
    <n v="2046"/>
    <n v="10094"/>
    <n v="9"/>
    <n v="21648"/>
    <n v="151"/>
    <m/>
    <n v="2"/>
    <n v="137"/>
    <n v="3102"/>
    <n v="1021"/>
    <n v="697"/>
    <n v="13"/>
    <n v="4"/>
    <n v="23"/>
    <n v="22"/>
    <n v="19"/>
    <n v="629"/>
    <n v="92"/>
    <n v="289"/>
    <n v="202"/>
    <n v="1912"/>
    <m/>
    <m/>
    <m/>
    <m/>
    <m/>
    <m/>
    <m/>
    <m/>
    <m/>
    <m/>
    <m/>
    <m/>
    <m/>
    <m/>
    <m/>
    <m/>
    <m/>
    <m/>
    <m/>
    <m/>
    <m/>
    <m/>
    <n v="8"/>
    <n v="15"/>
    <n v="14"/>
    <n v="5"/>
    <m/>
    <x v="1"/>
    <m/>
  </r>
  <r>
    <x v="5"/>
    <x v="5"/>
    <s v="CLOVER"/>
    <n v="62"/>
    <m/>
    <n v="3404"/>
    <n v="222"/>
    <n v="490"/>
    <n v="0"/>
    <n v="4678"/>
    <n v="70"/>
    <m/>
    <m/>
    <m/>
    <n v="1359"/>
    <n v="1968"/>
    <n v="208"/>
    <n v="10"/>
    <n v="3"/>
    <n v="4"/>
    <n v="4"/>
    <n v="4"/>
    <n v="130"/>
    <n v="45"/>
    <n v="25"/>
    <n v="21"/>
    <n v="125"/>
    <m/>
    <m/>
    <m/>
    <m/>
    <m/>
    <m/>
    <m/>
    <m/>
    <m/>
    <m/>
    <m/>
    <m/>
    <m/>
    <m/>
    <m/>
    <m/>
    <m/>
    <m/>
    <m/>
    <m/>
    <m/>
    <m/>
    <n v="8"/>
    <n v="1"/>
    <n v="21"/>
    <n v="1"/>
    <m/>
    <x v="1"/>
    <m/>
  </r>
  <r>
    <x v="5"/>
    <x v="5"/>
    <s v="FORT MILL"/>
    <n v="265"/>
    <m/>
    <n v="14653"/>
    <n v="766"/>
    <n v="1871"/>
    <n v="1"/>
    <n v="23998"/>
    <n v="38"/>
    <m/>
    <m/>
    <m/>
    <n v="1847"/>
    <n v="7156"/>
    <n v="274"/>
    <n v="22"/>
    <n v="5"/>
    <n v="9"/>
    <n v="12"/>
    <n v="16"/>
    <n v="679"/>
    <n v="129"/>
    <n v="113"/>
    <n v="83"/>
    <n v="1121"/>
    <m/>
    <m/>
    <m/>
    <m/>
    <m/>
    <m/>
    <m/>
    <m/>
    <m/>
    <m/>
    <m/>
    <m/>
    <m/>
    <m/>
    <m/>
    <m/>
    <m/>
    <m/>
    <m/>
    <m/>
    <m/>
    <m/>
    <n v="4"/>
    <n v="1"/>
    <n v="12"/>
    <n v="0"/>
    <m/>
    <x v="1"/>
    <m/>
  </r>
  <r>
    <x v="5"/>
    <x v="5"/>
    <s v="LAKE WYLIE"/>
    <n v="137"/>
    <m/>
    <n v="5355"/>
    <n v="214"/>
    <n v="891"/>
    <n v="5"/>
    <n v="6109"/>
    <n v="22"/>
    <m/>
    <m/>
    <m/>
    <n v="1568"/>
    <n v="3167"/>
    <n v="141"/>
    <n v="4"/>
    <n v="12"/>
    <n v="2"/>
    <n v="11"/>
    <n v="5"/>
    <n v="45"/>
    <n v="623"/>
    <n v="20"/>
    <n v="92"/>
    <n v="23"/>
    <m/>
    <m/>
    <m/>
    <m/>
    <m/>
    <m/>
    <m/>
    <m/>
    <m/>
    <m/>
    <m/>
    <m/>
    <m/>
    <m/>
    <m/>
    <m/>
    <m/>
    <m/>
    <m/>
    <m/>
    <m/>
    <m/>
    <n v="9"/>
    <n v="1"/>
    <n v="16"/>
    <n v="8"/>
    <m/>
    <x v="1"/>
    <m/>
  </r>
  <r>
    <x v="5"/>
    <x v="5"/>
    <s v="YORK"/>
    <n v="82"/>
    <m/>
    <n v="4774"/>
    <n v="447"/>
    <n v="1015"/>
    <n v="1"/>
    <n v="5010"/>
    <n v="120"/>
    <m/>
    <m/>
    <m/>
    <n v="1501"/>
    <n v="2669"/>
    <n v="242"/>
    <n v="10"/>
    <n v="2"/>
    <n v="3"/>
    <n v="7"/>
    <n v="4"/>
    <n v="246"/>
    <n v="60"/>
    <n v="20"/>
    <n v="99"/>
    <n v="332"/>
    <m/>
    <m/>
    <m/>
    <m/>
    <m/>
    <m/>
    <m/>
    <m/>
    <m/>
    <m/>
    <m/>
    <m/>
    <m/>
    <m/>
    <m/>
    <m/>
    <m/>
    <m/>
    <m/>
    <m/>
    <m/>
    <m/>
    <n v="2"/>
    <n v="10"/>
    <n v="7"/>
    <n v="0"/>
    <m/>
    <x v="1"/>
    <m/>
  </r>
  <r>
    <x v="5"/>
    <x v="5"/>
    <s v="OUTREACH / BOOKMOBILE"/>
    <n v="235"/>
    <m/>
    <n v="1346"/>
    <m/>
    <m/>
    <m/>
    <n v="1498"/>
    <n v="4"/>
    <m/>
    <m/>
    <m/>
    <n v="21"/>
    <n v="309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n v="3"/>
    <n v="1"/>
    <n v="4"/>
    <n v="2"/>
    <m/>
    <x v="1"/>
    <m/>
  </r>
  <r>
    <x v="2"/>
    <x v="2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2"/>
    <x v="2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2"/>
    <x v="2"/>
    <s v="LAKE WYLI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2"/>
    <x v="2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2"/>
    <x v="2"/>
    <s v="YOR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2"/>
    <x v="2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2"/>
    <x v="2"/>
    <s v="ROCK HILL"/>
    <n v="209"/>
    <m/>
    <n v="15555"/>
    <n v="2125"/>
    <n v="3342"/>
    <n v="6"/>
    <n v="17206"/>
    <n v="141"/>
    <m/>
    <n v="6"/>
    <n v="131"/>
    <n v="2981"/>
    <n v="6480"/>
    <n v="852"/>
    <n v="31"/>
    <n v="5"/>
    <n v="13"/>
    <n v="27"/>
    <n v="6"/>
    <n v="1188"/>
    <n v="116"/>
    <n v="155"/>
    <n v="277"/>
    <n v="106"/>
    <m/>
    <m/>
    <m/>
    <m/>
    <m/>
    <m/>
    <m/>
    <m/>
    <m/>
    <m/>
    <m/>
    <m/>
    <m/>
    <m/>
    <m/>
    <m/>
    <m/>
    <m/>
    <m/>
    <m/>
    <m/>
    <m/>
    <n v="13"/>
    <n v="42"/>
    <n v="41"/>
    <n v="10"/>
    <m/>
    <x v="1"/>
    <m/>
  </r>
  <r>
    <x v="2"/>
    <x v="2"/>
    <s v="CLOVER"/>
    <n v="37"/>
    <m/>
    <n v="2402"/>
    <n v="208"/>
    <n v="457"/>
    <n v="0"/>
    <n v="2858"/>
    <n v="66"/>
    <m/>
    <m/>
    <m/>
    <n v="1046"/>
    <n v="1961"/>
    <n v="253"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1"/>
    <n v="16"/>
    <n v="20"/>
    <n v="0"/>
    <m/>
    <x v="1"/>
    <m/>
  </r>
  <r>
    <x v="2"/>
    <x v="2"/>
    <s v="FORT MILL"/>
    <n v="208"/>
    <m/>
    <n v="12513"/>
    <n v="810"/>
    <n v="1795"/>
    <n v="14"/>
    <n v="19038"/>
    <n v="30"/>
    <m/>
    <m/>
    <m/>
    <n v="1805"/>
    <n v="6730"/>
    <n v="273"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6"/>
    <n v="6"/>
    <n v="13"/>
    <n v="0"/>
    <m/>
    <x v="1"/>
    <m/>
  </r>
  <r>
    <x v="2"/>
    <x v="2"/>
    <s v="LAKE WYLIE"/>
    <n v="55"/>
    <m/>
    <n v="3810"/>
    <n v="218"/>
    <n v="958"/>
    <n v="12"/>
    <n v="4857"/>
    <n v="18"/>
    <m/>
    <m/>
    <m/>
    <n v="1414"/>
    <n v="2581"/>
    <n v="87"/>
    <n v="4"/>
    <n v="1"/>
    <n v="2"/>
    <n v="13"/>
    <n v="2"/>
    <n v="39"/>
    <n v="7"/>
    <n v="19"/>
    <n v="122"/>
    <n v="16"/>
    <m/>
    <m/>
    <m/>
    <m/>
    <m/>
    <m/>
    <m/>
    <m/>
    <m/>
    <m/>
    <m/>
    <m/>
    <m/>
    <m/>
    <m/>
    <m/>
    <m/>
    <m/>
    <m/>
    <m/>
    <m/>
    <m/>
    <n v="8"/>
    <n v="1"/>
    <n v="53"/>
    <n v="9"/>
    <m/>
    <x v="1"/>
    <m/>
  </r>
  <r>
    <x v="2"/>
    <x v="2"/>
    <s v="YORK"/>
    <n v="62"/>
    <m/>
    <n v="3798"/>
    <n v="458"/>
    <n v="1054"/>
    <n v="4"/>
    <n v="3862"/>
    <n v="121"/>
    <m/>
    <m/>
    <m/>
    <n v="1352"/>
    <n v="2362"/>
    <n v="234"/>
    <n v="14"/>
    <n v="1"/>
    <n v="1"/>
    <n v="8"/>
    <n v="0"/>
    <n v="162"/>
    <n v="4"/>
    <n v="4"/>
    <n v="61"/>
    <n v="0"/>
    <m/>
    <m/>
    <m/>
    <m/>
    <m/>
    <m/>
    <m/>
    <m/>
    <m/>
    <m/>
    <m/>
    <m/>
    <m/>
    <m/>
    <m/>
    <m/>
    <m/>
    <m/>
    <m/>
    <m/>
    <m/>
    <m/>
    <n v="2"/>
    <n v="11"/>
    <n v="66"/>
    <n v="0"/>
    <m/>
    <x v="1"/>
    <m/>
  </r>
  <r>
    <x v="2"/>
    <x v="2"/>
    <s v="OUTREACH / BOOKMOBILE"/>
    <n v="18"/>
    <m/>
    <n v="507"/>
    <m/>
    <m/>
    <m/>
    <n v="1184"/>
    <n v="4"/>
    <m/>
    <m/>
    <m/>
    <n v="12"/>
    <n v="409"/>
    <m/>
    <n v="4"/>
    <n v="0"/>
    <n v="0"/>
    <n v="0"/>
    <n v="0"/>
    <n v="123"/>
    <n v="0"/>
    <n v="0"/>
    <n v="0"/>
    <n v="0"/>
    <m/>
    <m/>
    <m/>
    <m/>
    <m/>
    <m/>
    <m/>
    <m/>
    <m/>
    <m/>
    <m/>
    <m/>
    <m/>
    <m/>
    <m/>
    <m/>
    <m/>
    <m/>
    <m/>
    <m/>
    <m/>
    <m/>
    <n v="1"/>
    <n v="2"/>
    <n v="2"/>
    <n v="3"/>
    <m/>
    <x v="1"/>
    <m/>
  </r>
  <r>
    <x v="4"/>
    <x v="4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12"/>
  </r>
  <r>
    <x v="4"/>
    <x v="4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84"/>
  </r>
  <r>
    <x v="4"/>
    <x v="4"/>
    <s v="LAKE WYLI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78"/>
  </r>
  <r>
    <x v="4"/>
    <x v="4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315"/>
  </r>
  <r>
    <x v="4"/>
    <x v="4"/>
    <s v="YOR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88"/>
  </r>
  <r>
    <x v="4"/>
    <x v="4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4"/>
    <x v="4"/>
    <s v="ROCK HILL"/>
    <n v="376"/>
    <m/>
    <n v="17078"/>
    <n v="1972"/>
    <n v="3674"/>
    <n v="12"/>
    <n v="19243"/>
    <n v="122"/>
    <m/>
    <n v="1"/>
    <n v="122"/>
    <n v="2986"/>
    <n v="6594"/>
    <n v="767"/>
    <n v="15"/>
    <n v="10"/>
    <n v="6"/>
    <n v="22"/>
    <n v="8"/>
    <n v="636"/>
    <n v="140"/>
    <n v="59"/>
    <n v="245"/>
    <n v="1644"/>
    <m/>
    <m/>
    <m/>
    <m/>
    <m/>
    <m/>
    <m/>
    <m/>
    <m/>
    <m/>
    <m/>
    <m/>
    <m/>
    <m/>
    <m/>
    <m/>
    <m/>
    <m/>
    <m/>
    <m/>
    <m/>
    <m/>
    <n v="4"/>
    <n v="15"/>
    <n v="15"/>
    <n v="7"/>
    <m/>
    <x v="1"/>
    <m/>
  </r>
  <r>
    <x v="4"/>
    <x v="4"/>
    <s v="CLOVER"/>
    <n v="59"/>
    <m/>
    <n v="2618"/>
    <n v="229"/>
    <n v="373"/>
    <n v="1"/>
    <n v="3426"/>
    <n v="69"/>
    <m/>
    <m/>
    <m/>
    <n v="1169"/>
    <n v="1920"/>
    <n v="229"/>
    <n v="10"/>
    <n v="2"/>
    <n v="3"/>
    <n v="3"/>
    <n v="0"/>
    <n v="155"/>
    <n v="12"/>
    <n v="17"/>
    <n v="28"/>
    <n v="0"/>
    <m/>
    <m/>
    <m/>
    <m/>
    <m/>
    <m/>
    <m/>
    <m/>
    <m/>
    <m/>
    <m/>
    <m/>
    <m/>
    <m/>
    <m/>
    <m/>
    <m/>
    <m/>
    <m/>
    <m/>
    <m/>
    <m/>
    <n v="23"/>
    <n v="1"/>
    <n v="25"/>
    <n v="0"/>
    <m/>
    <x v="1"/>
    <m/>
  </r>
  <r>
    <x v="4"/>
    <x v="4"/>
    <s v="FORT MILL"/>
    <n v="210"/>
    <m/>
    <n v="12345"/>
    <n v="747"/>
    <n v="1578"/>
    <n v="4"/>
    <n v="20990"/>
    <n v="34"/>
    <m/>
    <m/>
    <m/>
    <n v="1724"/>
    <n v="6894"/>
    <n v="301"/>
    <n v="21"/>
    <n v="5"/>
    <n v="5"/>
    <n v="10"/>
    <n v="5"/>
    <n v="714"/>
    <n v="70"/>
    <n v="84"/>
    <n v="96"/>
    <n v="894"/>
    <m/>
    <m/>
    <m/>
    <m/>
    <m/>
    <m/>
    <m/>
    <m/>
    <m/>
    <m/>
    <m/>
    <m/>
    <m/>
    <m/>
    <m/>
    <m/>
    <m/>
    <m/>
    <m/>
    <m/>
    <m/>
    <m/>
    <n v="6"/>
    <n v="6"/>
    <n v="4"/>
    <n v="0"/>
    <m/>
    <x v="1"/>
    <m/>
  </r>
  <r>
    <x v="4"/>
    <x v="4"/>
    <s v="LAKE WYLIE"/>
    <n v="68"/>
    <m/>
    <n v="3941"/>
    <n v="163"/>
    <n v="414"/>
    <n v="4"/>
    <n v="5447"/>
    <n v="17"/>
    <m/>
    <m/>
    <m/>
    <n v="1498"/>
    <n v="2684"/>
    <n v="122"/>
    <n v="4"/>
    <n v="5"/>
    <n v="2"/>
    <n v="9"/>
    <n v="3"/>
    <n v="50"/>
    <n v="51"/>
    <n v="11"/>
    <n v="91"/>
    <n v="3"/>
    <m/>
    <m/>
    <m/>
    <m/>
    <m/>
    <m/>
    <m/>
    <m/>
    <m/>
    <m/>
    <m/>
    <m/>
    <m/>
    <m/>
    <m/>
    <m/>
    <m/>
    <m/>
    <m/>
    <m/>
    <m/>
    <m/>
    <n v="9"/>
    <n v="1"/>
    <n v="9"/>
    <n v="1"/>
    <m/>
    <x v="1"/>
    <m/>
  </r>
  <r>
    <x v="4"/>
    <x v="4"/>
    <s v="YORK"/>
    <n v="64"/>
    <m/>
    <n v="3958"/>
    <n v="451"/>
    <n v="694"/>
    <n v="2"/>
    <n v="4424"/>
    <n v="103"/>
    <m/>
    <m/>
    <m/>
    <n v="1342"/>
    <n v="2364"/>
    <n v="266"/>
    <n v="10"/>
    <n v="3"/>
    <n v="7"/>
    <n v="9"/>
    <n v="1"/>
    <n v="135"/>
    <n v="72"/>
    <n v="7"/>
    <n v="69"/>
    <n v="112"/>
    <m/>
    <m/>
    <m/>
    <m/>
    <m/>
    <m/>
    <m/>
    <m/>
    <m/>
    <m/>
    <m/>
    <m/>
    <m/>
    <m/>
    <m/>
    <m/>
    <m/>
    <m/>
    <m/>
    <m/>
    <m/>
    <m/>
    <n v="2"/>
    <n v="1"/>
    <n v="9"/>
    <n v="0"/>
    <m/>
    <x v="1"/>
    <m/>
  </r>
  <r>
    <x v="4"/>
    <x v="4"/>
    <s v="OUTREACH / BOOKMOBILE"/>
    <n v="69"/>
    <m/>
    <n v="571"/>
    <m/>
    <m/>
    <m/>
    <n v="1324"/>
    <n v="1"/>
    <m/>
    <m/>
    <m/>
    <n v="11"/>
    <n v="272"/>
    <m/>
    <n v="1"/>
    <n v="0"/>
    <n v="0"/>
    <n v="0"/>
    <n v="0"/>
    <n v="8"/>
    <n v="0"/>
    <n v="0"/>
    <n v="0"/>
    <n v="0"/>
    <m/>
    <m/>
    <m/>
    <m/>
    <m/>
    <m/>
    <m/>
    <m/>
    <m/>
    <m/>
    <m/>
    <m/>
    <m/>
    <m/>
    <m/>
    <m/>
    <m/>
    <m/>
    <m/>
    <m/>
    <m/>
    <m/>
    <n v="15"/>
    <n v="0"/>
    <n v="0"/>
    <n v="0"/>
    <m/>
    <x v="1"/>
    <m/>
  </r>
  <r>
    <x v="10"/>
    <x v="10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s v="martin.house@yclibrary.org"/>
    <x v="1"/>
    <m/>
  </r>
  <r>
    <x v="10"/>
    <x v="10"/>
    <s v="CLOVER"/>
    <n v="21"/>
    <n v="7"/>
    <n v="2435"/>
    <n v="213"/>
    <n v="426"/>
    <n v="1"/>
    <n v="4166"/>
    <n v="76"/>
    <n v="0"/>
    <m/>
    <n v="0"/>
    <m/>
    <m/>
    <n v="840"/>
    <n v="4"/>
    <n v="4"/>
    <n v="4"/>
    <n v="8"/>
    <n v="1"/>
    <n v="40"/>
    <n v="41"/>
    <n v="39"/>
    <n v="53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4"/>
    <n v="7"/>
    <n v="30.5"/>
    <n v="5"/>
    <s v="madison.brennan@yclibrary.org"/>
    <x v="1"/>
    <n v="59"/>
  </r>
  <r>
    <x v="10"/>
    <x v="10"/>
    <s v="LAKE WYLIE"/>
    <n v="38"/>
    <n v="2"/>
    <n v="3068"/>
    <n v="178"/>
    <n v="523"/>
    <n v="11"/>
    <n v="4116"/>
    <n v="17"/>
    <n v="1"/>
    <m/>
    <m/>
    <m/>
    <m/>
    <n v="153"/>
    <n v="4"/>
    <n v="4"/>
    <n v="2"/>
    <n v="8"/>
    <n v="0"/>
    <n v="35"/>
    <n v="31"/>
    <n v="10"/>
    <n v="7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4"/>
    <n v="0"/>
    <n v="0"/>
    <n v="0"/>
    <n v="767"/>
    <n v="10"/>
    <n v="90"/>
    <n v="3"/>
    <s v="rae.lovvorn@yclibrary.org"/>
    <x v="1"/>
    <n v="143"/>
  </r>
  <r>
    <x v="10"/>
    <x v="10"/>
    <s v="FORT MILL"/>
    <n v="181"/>
    <n v="42"/>
    <n v="10748"/>
    <n v="788"/>
    <n v="1507"/>
    <n v="4"/>
    <n v="34845"/>
    <n v="56"/>
    <n v="5"/>
    <m/>
    <m/>
    <m/>
    <m/>
    <n v="1424"/>
    <n v="21"/>
    <n v="6"/>
    <n v="8"/>
    <n v="12"/>
    <n v="4"/>
    <n v="701"/>
    <n v="76"/>
    <n v="60"/>
    <n v="93"/>
    <n v="142"/>
    <m/>
    <m/>
    <m/>
    <m/>
    <m/>
    <m/>
    <m/>
    <m/>
    <m/>
    <m/>
    <m/>
    <m/>
    <m/>
    <m/>
    <m/>
    <m/>
    <m/>
    <m/>
    <m/>
    <m/>
    <m/>
    <m/>
    <n v="1433"/>
    <n v="18"/>
    <n v="140"/>
    <m/>
    <s v="tom.holloway@yclibrary.org"/>
    <x v="1"/>
    <n v="711"/>
  </r>
  <r>
    <x v="10"/>
    <x v="10"/>
    <s v="OUTREACH / BOOKMOBILE"/>
    <n v="9"/>
    <n v="4"/>
    <n v="1554"/>
    <m/>
    <m/>
    <m/>
    <n v="3056"/>
    <n v="3"/>
    <m/>
    <m/>
    <m/>
    <m/>
    <m/>
    <m/>
    <m/>
    <m/>
    <m/>
    <m/>
    <m/>
    <m/>
    <m/>
    <m/>
    <m/>
    <m/>
    <n v="3"/>
    <m/>
    <m/>
    <m/>
    <m/>
    <n v="102"/>
    <m/>
    <m/>
    <m/>
    <m/>
    <m/>
    <m/>
    <m/>
    <m/>
    <m/>
    <m/>
    <m/>
    <m/>
    <m/>
    <m/>
    <n v="2"/>
    <n v="101"/>
    <n v="311"/>
    <n v="8"/>
    <n v="151.5"/>
    <n v="2"/>
    <s v="jennifer.strokis@yclibrary.org"/>
    <x v="1"/>
    <m/>
  </r>
  <r>
    <x v="10"/>
    <x v="10"/>
    <s v="YORK"/>
    <n v="49"/>
    <n v="29"/>
    <n v="4205"/>
    <n v="439"/>
    <n v="946"/>
    <n v="13"/>
    <n v="7503"/>
    <n v="91"/>
    <n v="0"/>
    <m/>
    <m/>
    <m/>
    <m/>
    <n v="965"/>
    <n v="11"/>
    <n v="3"/>
    <n v="1"/>
    <n v="7"/>
    <m/>
    <n v="231"/>
    <n v="46"/>
    <n v="9"/>
    <n v="52"/>
    <m/>
    <m/>
    <m/>
    <m/>
    <m/>
    <m/>
    <m/>
    <m/>
    <m/>
    <m/>
    <m/>
    <m/>
    <m/>
    <m/>
    <m/>
    <m/>
    <m/>
    <m/>
    <m/>
    <m/>
    <m/>
    <n v="1"/>
    <n v="52"/>
    <n v="40"/>
    <n v="16"/>
    <n v="100"/>
    <n v="0"/>
    <s v="jennifer.stanley@yclibrary.org"/>
    <x v="1"/>
    <n v="96"/>
  </r>
  <r>
    <x v="10"/>
    <x v="10"/>
    <s v="ROCK HILL"/>
    <n v="17"/>
    <n v="2"/>
    <n v="0"/>
    <n v="0"/>
    <n v="0"/>
    <n v="0"/>
    <n v="31"/>
    <n v="0"/>
    <n v="0"/>
    <n v="3"/>
    <n v="71"/>
    <n v="1534"/>
    <n v="4781"/>
    <n v="0"/>
    <n v="0"/>
    <n v="0"/>
    <n v="0"/>
    <n v="0"/>
    <n v="0"/>
    <n v="0"/>
    <n v="0"/>
    <n v="0"/>
    <n v="0"/>
    <n v="0"/>
    <n v="13"/>
    <n v="3"/>
    <n v="15"/>
    <n v="11"/>
    <n v="7"/>
    <n v="255"/>
    <n v="56"/>
    <n v="1406"/>
    <n v="107"/>
    <n v="299"/>
    <n v="0"/>
    <n v="0"/>
    <n v="1"/>
    <n v="5"/>
    <n v="1"/>
    <n v="0"/>
    <n v="0"/>
    <n v="156"/>
    <n v="49"/>
    <n v="18"/>
    <m/>
    <m/>
    <n v="15"/>
    <n v="65"/>
    <n v="259"/>
    <n v="1"/>
    <s v="amanda.antonacci@yclibrary.org"/>
    <x v="1"/>
    <n v="0"/>
  </r>
  <r>
    <x v="9"/>
    <x v="9"/>
    <s v="YORK"/>
    <n v="64"/>
    <n v="87"/>
    <n v="5553"/>
    <n v="657"/>
    <n v="1145"/>
    <n v="22"/>
    <n v="8931"/>
    <n v="125"/>
    <n v="0"/>
    <m/>
    <m/>
    <m/>
    <m/>
    <n v="2239"/>
    <n v="12"/>
    <n v="2"/>
    <n v="3"/>
    <n v="9"/>
    <n v="2"/>
    <n v="231"/>
    <n v="32"/>
    <n v="14"/>
    <n v="84"/>
    <n v="22"/>
    <m/>
    <m/>
    <m/>
    <m/>
    <m/>
    <m/>
    <m/>
    <m/>
    <m/>
    <m/>
    <m/>
    <m/>
    <m/>
    <m/>
    <m/>
    <m/>
    <m/>
    <m/>
    <m/>
    <m/>
    <n v="1"/>
    <n v="140"/>
    <n v="278"/>
    <n v="8"/>
    <n v="12"/>
    <n v="0"/>
    <s v="jennifer.stanley@yclibrary.org"/>
    <x v="1"/>
    <n v="148"/>
  </r>
  <r>
    <x v="9"/>
    <x v="9"/>
    <s v="OUTREACH / BOOKMOBILE"/>
    <n v="12"/>
    <n v="16"/>
    <n v="12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n v="2428"/>
    <n v="264"/>
    <n v="6"/>
    <n v="113"/>
    <n v="4"/>
    <s v="jennifer.strokis@yclibrary.org"/>
    <x v="1"/>
    <m/>
  </r>
  <r>
    <x v="9"/>
    <x v="9"/>
    <s v="LAKE WYLIE"/>
    <n v="49"/>
    <n v="13"/>
    <n v="3918"/>
    <n v="193"/>
    <n v="668"/>
    <n v="11"/>
    <n v="5737"/>
    <n v="26"/>
    <n v="2"/>
    <m/>
    <m/>
    <m/>
    <m/>
    <n v="1056"/>
    <n v="4"/>
    <n v="5"/>
    <n v="2"/>
    <n v="10"/>
    <n v="1"/>
    <n v="48"/>
    <n v="30"/>
    <n v="13"/>
    <n v="8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5"/>
    <n v="2"/>
    <n v="10"/>
    <n v="6"/>
    <s v="rae.lovvorn@yclibrary.org"/>
    <x v="1"/>
    <n v="254"/>
  </r>
  <r>
    <x v="9"/>
    <x v="9"/>
    <s v="CLOVER"/>
    <n v="26"/>
    <n v="6"/>
    <n v="3167"/>
    <n v="271"/>
    <n v="531"/>
    <n v="1"/>
    <n v="5548"/>
    <n v="88"/>
    <n v="0"/>
    <m/>
    <m/>
    <m/>
    <m/>
    <n v="1053"/>
    <n v="6"/>
    <n v="3"/>
    <n v="5"/>
    <n v="8"/>
    <n v="1"/>
    <n v="67"/>
    <n v="38"/>
    <n v="28"/>
    <n v="35"/>
    <n v="3"/>
    <m/>
    <m/>
    <m/>
    <m/>
    <m/>
    <m/>
    <m/>
    <m/>
    <m/>
    <m/>
    <m/>
    <m/>
    <m/>
    <m/>
    <m/>
    <m/>
    <m/>
    <m/>
    <m/>
    <m/>
    <m/>
    <m/>
    <n v="638"/>
    <n v="6"/>
    <n v="28"/>
    <n v="2"/>
    <s v="madison.brennan@yclibrary.org"/>
    <x v="1"/>
    <n v="126"/>
  </r>
  <r>
    <x v="9"/>
    <x v="9"/>
    <s v="FORT MILL"/>
    <n v="211"/>
    <n v="53"/>
    <n v="13504"/>
    <n v="921"/>
    <n v="1956"/>
    <m/>
    <n v="23486"/>
    <n v="65"/>
    <n v="5"/>
    <m/>
    <m/>
    <m/>
    <m/>
    <n v="1494"/>
    <n v="31"/>
    <n v="5"/>
    <n v="8"/>
    <n v="12"/>
    <n v="5"/>
    <n v="1194"/>
    <n v="72"/>
    <n v="73"/>
    <n v="109"/>
    <n v="162"/>
    <m/>
    <m/>
    <m/>
    <m/>
    <m/>
    <m/>
    <m/>
    <m/>
    <m/>
    <m/>
    <m/>
    <m/>
    <m/>
    <m/>
    <m/>
    <m/>
    <m/>
    <m/>
    <m/>
    <m/>
    <n v="1"/>
    <n v="250"/>
    <n v="1688"/>
    <n v="2"/>
    <n v="2"/>
    <m/>
    <s v="tom.holloway@yclibrary.org"/>
    <x v="1"/>
    <n v="707"/>
  </r>
  <r>
    <x v="9"/>
    <x v="9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5.5"/>
    <m/>
    <s v="martin.house@yclibrary.org"/>
    <x v="1"/>
    <m/>
  </r>
  <r>
    <x v="9"/>
    <x v="9"/>
    <s v="ROCK HILL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artin.house@yclibrary.org"/>
    <x v="1"/>
    <n v="38"/>
  </r>
  <r>
    <x v="8"/>
    <x v="8"/>
    <s v="OUTREACH / BOOKMOBILE"/>
    <n v="16"/>
    <n v="113"/>
    <n v="7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"/>
    <n v="260"/>
    <n v="136"/>
    <m/>
    <m/>
    <n v="5"/>
    <s v="jennifer.strokis@yclibrary.org"/>
    <x v="1"/>
    <m/>
  </r>
  <r>
    <x v="8"/>
    <x v="8"/>
    <s v="LAKE WYLIE"/>
    <n v="48"/>
    <n v="11"/>
    <n v="3974"/>
    <n v="216"/>
    <n v="594"/>
    <n v="9"/>
    <n v="5549"/>
    <n v="18"/>
    <n v="2"/>
    <m/>
    <m/>
    <m/>
    <m/>
    <n v="351"/>
    <n v="5"/>
    <n v="4"/>
    <n v="2"/>
    <n v="13"/>
    <n v="2"/>
    <n v="65"/>
    <n v="31"/>
    <n v="11"/>
    <n v="10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4"/>
    <n v="3"/>
    <n v="15"/>
    <n v="3"/>
    <s v="rae.lovvorn@yclibrary.org"/>
    <x v="1"/>
    <n v="294"/>
  </r>
  <r>
    <x v="8"/>
    <x v="8"/>
    <s v="YORK"/>
    <n v="64"/>
    <n v="67"/>
    <n v="4490"/>
    <n v="497"/>
    <n v="809"/>
    <n v="8"/>
    <n v="6762"/>
    <n v="93"/>
    <n v="0"/>
    <m/>
    <m/>
    <m/>
    <m/>
    <n v="1602"/>
    <n v="9"/>
    <n v="2"/>
    <n v="0"/>
    <n v="9"/>
    <n v="1"/>
    <n v="184"/>
    <n v="64"/>
    <n v="0"/>
    <n v="65"/>
    <n v="13"/>
    <m/>
    <m/>
    <m/>
    <m/>
    <m/>
    <m/>
    <m/>
    <m/>
    <m/>
    <m/>
    <m/>
    <m/>
    <m/>
    <m/>
    <m/>
    <m/>
    <m/>
    <m/>
    <m/>
    <m/>
    <n v="2"/>
    <n v="330"/>
    <n v="275"/>
    <n v="0"/>
    <n v="0"/>
    <n v="0"/>
    <s v="jennifer.stanley@yclibrary.org"/>
    <x v="1"/>
    <n v="125"/>
  </r>
  <r>
    <x v="8"/>
    <x v="8"/>
    <s v="CLOVER"/>
    <n v="41"/>
    <n v="14"/>
    <n v="2893"/>
    <n v="294"/>
    <n v="472"/>
    <n v="2"/>
    <n v="5324"/>
    <n v="69"/>
    <n v="0"/>
    <n v="0"/>
    <n v="0"/>
    <n v="0"/>
    <n v="0"/>
    <n v="676"/>
    <n v="4"/>
    <n v="4"/>
    <n v="4"/>
    <n v="8"/>
    <n v="1"/>
    <n v="38"/>
    <n v="48"/>
    <n v="29"/>
    <n v="59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9"/>
    <n v="6"/>
    <n v="19"/>
    <n v="4"/>
    <s v="madison.brennan@yclibrary.org"/>
    <x v="1"/>
    <n v="103"/>
  </r>
  <r>
    <x v="8"/>
    <x v="8"/>
    <s v="ROCK HILL"/>
    <n v="210"/>
    <n v="172"/>
    <n v="14788"/>
    <n v="1909"/>
    <n v="3690"/>
    <n v="18"/>
    <n v="16046"/>
    <n v="117"/>
    <n v="36"/>
    <n v="4"/>
    <n v="137"/>
    <m/>
    <m/>
    <n v="3193"/>
    <n v="21"/>
    <n v="4"/>
    <n v="13"/>
    <n v="23"/>
    <n v="4"/>
    <n v="847"/>
    <n v="106"/>
    <n v="116"/>
    <m/>
    <n v="284"/>
    <n v="0"/>
    <n v="4"/>
    <n v="2"/>
    <n v="6"/>
    <n v="5"/>
    <n v="0"/>
    <n v="1278"/>
    <n v="51"/>
    <n v="126"/>
    <n v="656"/>
    <n v="0"/>
    <n v="0"/>
    <n v="0"/>
    <n v="2"/>
    <n v="1"/>
    <n v="0"/>
    <n v="0"/>
    <n v="0"/>
    <n v="29"/>
    <n v="98"/>
    <m/>
    <m/>
    <n v="135"/>
    <n v="7"/>
    <n v="37.299999999999997"/>
    <n v="9"/>
    <s v="amanda.antonacci@yclibrary.org"/>
    <x v="1"/>
    <n v="301"/>
  </r>
  <r>
    <x v="8"/>
    <x v="8"/>
    <s v="FORT MILL"/>
    <n v="200"/>
    <n v="61"/>
    <n v="11114"/>
    <n v="733"/>
    <n v="1860"/>
    <m/>
    <n v="21893"/>
    <n v="33"/>
    <n v="5"/>
    <m/>
    <m/>
    <m/>
    <m/>
    <n v="2008"/>
    <n v="35"/>
    <n v="6"/>
    <n v="9"/>
    <n v="14"/>
    <n v="4"/>
    <n v="1301"/>
    <n v="87"/>
    <n v="79"/>
    <n v="116"/>
    <n v="203"/>
    <m/>
    <m/>
    <m/>
    <m/>
    <m/>
    <m/>
    <m/>
    <m/>
    <m/>
    <m/>
    <m/>
    <m/>
    <m/>
    <m/>
    <m/>
    <m/>
    <m/>
    <m/>
    <m/>
    <m/>
    <m/>
    <m/>
    <n v="1475"/>
    <m/>
    <m/>
    <m/>
    <s v="tom.holloway@yclibrary.org"/>
    <x v="1"/>
    <n v="909"/>
  </r>
  <r>
    <x v="0"/>
    <x v="0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10.5"/>
    <m/>
    <s v="martin.house@yclibrary.org"/>
    <x v="2"/>
    <m/>
  </r>
  <r>
    <x v="0"/>
    <x v="0"/>
    <s v="LAKE WYLIE"/>
    <n v="64"/>
    <n v="12"/>
    <n v="3615"/>
    <n v="166"/>
    <n v="514"/>
    <n v="7"/>
    <n v="5708"/>
    <n v="29"/>
    <n v="1"/>
    <m/>
    <m/>
    <m/>
    <m/>
    <n v="568"/>
    <n v="4"/>
    <n v="5"/>
    <n v="1"/>
    <n v="9"/>
    <n v="0"/>
    <n v="46"/>
    <n v="22"/>
    <n v="12"/>
    <n v="89"/>
    <n v="0"/>
    <n v="2"/>
    <n v="0"/>
    <n v="0"/>
    <n v="0"/>
    <n v="0"/>
    <n v="31"/>
    <n v="0"/>
    <n v="0"/>
    <n v="0"/>
    <n v="0"/>
    <n v="0"/>
    <n v="0"/>
    <n v="0"/>
    <n v="0"/>
    <n v="0"/>
    <n v="0"/>
    <n v="0"/>
    <n v="0"/>
    <n v="0"/>
    <n v="0"/>
    <n v="0"/>
    <n v="0"/>
    <n v="649"/>
    <n v="4"/>
    <n v="12"/>
    <n v="5"/>
    <s v="rae.lovvorn@yclibrary.org"/>
    <x v="2"/>
    <n v="193"/>
  </r>
  <r>
    <x v="0"/>
    <x v="0"/>
    <s v="CLOVER"/>
    <n v="36"/>
    <n v="10"/>
    <n v="2648"/>
    <n v="202"/>
    <n v="491"/>
    <n v="0"/>
    <n v="4823"/>
    <n v="64"/>
    <n v="0"/>
    <m/>
    <m/>
    <m/>
    <m/>
    <n v="700"/>
    <n v="5"/>
    <n v="3"/>
    <n v="4"/>
    <n v="5"/>
    <n v="1"/>
    <n v="32"/>
    <n v="28"/>
    <n v="25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7"/>
    <n v="7"/>
    <n v="22"/>
    <n v="2"/>
    <s v="madison.brennan@yclibrary.org"/>
    <x v="2"/>
    <n v="121"/>
  </r>
  <r>
    <x v="0"/>
    <x v="0"/>
    <s v="OUTREACH / BOOKMOBILE"/>
    <n v="10"/>
    <n v="37"/>
    <n v="1556"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"/>
    <n v="47.5"/>
    <n v="3"/>
    <s v="jennifer.strokis@yclibrary.org"/>
    <x v="2"/>
    <m/>
  </r>
  <r>
    <x v="0"/>
    <x v="0"/>
    <s v="YORK"/>
    <n v="62"/>
    <n v="37"/>
    <n v="4582"/>
    <n v="415"/>
    <m/>
    <n v="24"/>
    <n v="7362"/>
    <n v="102"/>
    <n v="0"/>
    <m/>
    <m/>
    <m/>
    <m/>
    <n v="1766"/>
    <n v="11"/>
    <n v="3"/>
    <n v="1"/>
    <n v="6"/>
    <n v="0"/>
    <n v="231"/>
    <n v="55"/>
    <n v="7"/>
    <n v="45"/>
    <n v="0"/>
    <m/>
    <m/>
    <m/>
    <m/>
    <m/>
    <m/>
    <m/>
    <m/>
    <m/>
    <m/>
    <m/>
    <m/>
    <m/>
    <m/>
    <m/>
    <m/>
    <m/>
    <m/>
    <m/>
    <m/>
    <m/>
    <m/>
    <n v="154"/>
    <n v="2"/>
    <n v="6"/>
    <n v="0"/>
    <s v="jennifer.stanley@yclibrary.org"/>
    <x v="2"/>
    <n v="154"/>
  </r>
  <r>
    <x v="0"/>
    <x v="0"/>
    <s v="YORK"/>
    <m/>
    <m/>
    <m/>
    <m/>
    <n v="8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jennifer.stanley@yclibrary.org"/>
    <x v="2"/>
    <m/>
  </r>
  <r>
    <x v="0"/>
    <x v="0"/>
    <s v="FORT MILL"/>
    <n v="234"/>
    <n v="62"/>
    <n v="12721"/>
    <n v="779"/>
    <n v="1715"/>
    <n v="8"/>
    <n v="40953"/>
    <n v="71"/>
    <n v="5"/>
    <m/>
    <m/>
    <m/>
    <m/>
    <n v="1504"/>
    <n v="31"/>
    <n v="5"/>
    <n v="6"/>
    <n v="11"/>
    <n v="4"/>
    <n v="1270"/>
    <n v="68"/>
    <n v="46"/>
    <n v="93"/>
    <n v="183"/>
    <m/>
    <m/>
    <m/>
    <m/>
    <m/>
    <m/>
    <m/>
    <m/>
    <m/>
    <m/>
    <m/>
    <m/>
    <m/>
    <m/>
    <m/>
    <m/>
    <m/>
    <m/>
    <m/>
    <m/>
    <m/>
    <m/>
    <n v="1392"/>
    <n v="1"/>
    <n v="1"/>
    <m/>
    <s v="tom.holloway@yclibrary.org"/>
    <x v="2"/>
    <n v="646"/>
  </r>
  <r>
    <x v="0"/>
    <x v="0"/>
    <s v="ROCK HILL"/>
    <n v="1"/>
    <n v="83"/>
    <n v="0"/>
    <n v="0"/>
    <n v="0"/>
    <n v="0"/>
    <n v="992"/>
    <n v="0"/>
    <n v="0"/>
    <n v="1"/>
    <n v="67"/>
    <n v="1110"/>
    <n v="6578"/>
    <n v="0"/>
    <n v="0"/>
    <n v="0"/>
    <n v="0"/>
    <n v="0"/>
    <n v="0"/>
    <n v="0"/>
    <n v="0"/>
    <n v="0"/>
    <n v="0"/>
    <n v="0"/>
    <n v="16"/>
    <n v="3"/>
    <n v="11"/>
    <n v="12"/>
    <n v="5"/>
    <n v="337"/>
    <n v="57"/>
    <n v="270"/>
    <n v="96"/>
    <n v="196"/>
    <n v="0"/>
    <n v="0"/>
    <n v="0"/>
    <n v="2"/>
    <n v="0"/>
    <n v="0"/>
    <n v="0"/>
    <n v="0"/>
    <n v="22"/>
    <n v="0"/>
    <n v="0"/>
    <n v="0"/>
    <n v="64"/>
    <n v="66"/>
    <n v="132"/>
    <n v="0"/>
    <s v="amanda.antonacci@yclibrary.org"/>
    <x v="2"/>
    <n v="0"/>
  </r>
  <r>
    <x v="1"/>
    <x v="1"/>
    <s v="LAKE WYLIE"/>
    <n v="47"/>
    <n v="19"/>
    <n v="3382"/>
    <n v="192"/>
    <n v="290"/>
    <n v="10"/>
    <n v="4042"/>
    <n v="23"/>
    <n v="0"/>
    <m/>
    <m/>
    <m/>
    <m/>
    <n v="593"/>
    <n v="7"/>
    <n v="5"/>
    <n v="2"/>
    <n v="10"/>
    <n v="0"/>
    <n v="77"/>
    <n v="51"/>
    <n v="18"/>
    <n v="83"/>
    <n v="0"/>
    <n v="2"/>
    <n v="0"/>
    <n v="0"/>
    <n v="0"/>
    <n v="0"/>
    <n v="37"/>
    <n v="0"/>
    <n v="0"/>
    <n v="0"/>
    <n v="0"/>
    <n v="0"/>
    <n v="0"/>
    <n v="0"/>
    <n v="0"/>
    <n v="0"/>
    <n v="0"/>
    <n v="0"/>
    <n v="0"/>
    <n v="0"/>
    <n v="0"/>
    <n v="0"/>
    <n v="0"/>
    <n v="638"/>
    <n v="13"/>
    <n v="121"/>
    <n v="7"/>
    <s v="rae.lovvorn@yclibrary.org"/>
    <x v="2"/>
    <n v="151"/>
  </r>
  <r>
    <x v="1"/>
    <x v="1"/>
    <s v="YORK"/>
    <n v="65"/>
    <n v="12"/>
    <n v="4167"/>
    <n v="423"/>
    <n v="877"/>
    <n v="17"/>
    <n v="7854"/>
    <n v="110"/>
    <n v="0"/>
    <m/>
    <m/>
    <m/>
    <m/>
    <n v="849"/>
    <n v="7"/>
    <n v="3"/>
    <n v="2"/>
    <n v="6"/>
    <n v="1"/>
    <n v="131"/>
    <n v="45"/>
    <n v="9"/>
    <n v="47"/>
    <n v="5"/>
    <m/>
    <m/>
    <m/>
    <m/>
    <m/>
    <m/>
    <m/>
    <m/>
    <m/>
    <m/>
    <m/>
    <m/>
    <m/>
    <m/>
    <m/>
    <m/>
    <m/>
    <m/>
    <m/>
    <m/>
    <m/>
    <m/>
    <n v="251"/>
    <n v="18"/>
    <n v="147"/>
    <n v="0"/>
    <s v="jennifer.stanley@yclibrary.org"/>
    <x v="2"/>
    <n v="110"/>
  </r>
  <r>
    <x v="1"/>
    <x v="1"/>
    <s v="FORT MILL"/>
    <n v="211"/>
    <n v="38"/>
    <n v="12673"/>
    <n v="907"/>
    <n v="1579"/>
    <n v="11"/>
    <n v="39230"/>
    <n v="64"/>
    <n v="5"/>
    <m/>
    <m/>
    <m/>
    <m/>
    <n v="1875"/>
    <n v="15"/>
    <n v="5"/>
    <n v="10"/>
    <n v="13"/>
    <n v="4"/>
    <n v="624"/>
    <n v="73"/>
    <n v="100"/>
    <n v="1"/>
    <n v="236"/>
    <m/>
    <m/>
    <m/>
    <m/>
    <m/>
    <m/>
    <m/>
    <m/>
    <m/>
    <m/>
    <m/>
    <m/>
    <m/>
    <m/>
    <m/>
    <m/>
    <m/>
    <m/>
    <m/>
    <m/>
    <m/>
    <m/>
    <n v="2292"/>
    <n v="23"/>
    <n v="177"/>
    <m/>
    <s v="tom.holloway@yclibrary.org"/>
    <x v="2"/>
    <n v="126"/>
  </r>
  <r>
    <x v="1"/>
    <x v="1"/>
    <s v="OUTREACH / BOOKMOBILE"/>
    <n v="19"/>
    <n v="84"/>
    <n v="841"/>
    <m/>
    <m/>
    <m/>
    <n v="2226"/>
    <m/>
    <m/>
    <m/>
    <m/>
    <m/>
    <m/>
    <m/>
    <m/>
    <m/>
    <m/>
    <m/>
    <m/>
    <m/>
    <m/>
    <m/>
    <m/>
    <m/>
    <n v="3"/>
    <m/>
    <m/>
    <n v="2"/>
    <m/>
    <n v="91"/>
    <m/>
    <m/>
    <n v="25"/>
    <m/>
    <m/>
    <m/>
    <m/>
    <m/>
    <m/>
    <m/>
    <m/>
    <m/>
    <m/>
    <m/>
    <n v="2"/>
    <n v="45"/>
    <n v="1"/>
    <n v="5"/>
    <n v="42"/>
    <n v="5"/>
    <s v="jennifer.strokis@yclibrary.org"/>
    <x v="2"/>
    <m/>
  </r>
  <r>
    <x v="1"/>
    <x v="1"/>
    <s v="CLOVER"/>
    <n v="27"/>
    <n v="5"/>
    <n v="2568"/>
    <n v="232"/>
    <n v="450"/>
    <n v="3"/>
    <n v="4894"/>
    <n v="58"/>
    <n v="0"/>
    <m/>
    <m/>
    <m/>
    <m/>
    <n v="773"/>
    <n v="8"/>
    <n v="2"/>
    <n v="2"/>
    <n v="7"/>
    <n v="1"/>
    <n v="91"/>
    <n v="14"/>
    <n v="12"/>
    <n v="4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4"/>
    <n v="11"/>
    <n v="101.5"/>
    <n v="3"/>
    <s v="madison.brennan@yclibrary.org"/>
    <x v="2"/>
    <n v="138"/>
  </r>
  <r>
    <x v="2"/>
    <x v="2"/>
    <s v="CLOVER"/>
    <n v="24"/>
    <n v="13"/>
    <n v="3113"/>
    <n v="230"/>
    <n v="513"/>
    <n v="2"/>
    <n v="4877"/>
    <n v="83"/>
    <n v="0"/>
    <m/>
    <m/>
    <m/>
    <m/>
    <n v="1346"/>
    <n v="7"/>
    <n v="4"/>
    <n v="2"/>
    <n v="7"/>
    <n v="0"/>
    <n v="87"/>
    <n v="21"/>
    <n v="17"/>
    <n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8"/>
    <n v="7"/>
    <n v="30.5"/>
    <n v="1"/>
    <s v="madison.brennan@yclibrary.org"/>
    <x v="2"/>
    <n v="199"/>
  </r>
  <r>
    <x v="2"/>
    <x v="2"/>
    <s v="LAKE WYLIE"/>
    <n v="59"/>
    <n v="22"/>
    <n v="3783"/>
    <n v="175"/>
    <n v="626"/>
    <n v="12"/>
    <n v="4975"/>
    <n v="18"/>
    <n v="2"/>
    <m/>
    <m/>
    <m/>
    <m/>
    <n v="811"/>
    <n v="5"/>
    <n v="4"/>
    <n v="2"/>
    <n v="13"/>
    <n v="0"/>
    <n v="70"/>
    <n v="29"/>
    <n v="16"/>
    <n v="1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4"/>
    <n v="3"/>
    <n v="26"/>
    <n v="9"/>
    <s v="rae.lovvorn@yclibrary.org"/>
    <x v="2"/>
    <n v="198"/>
  </r>
  <r>
    <x v="2"/>
    <x v="2"/>
    <s v="FORT MILL"/>
    <n v="223"/>
    <n v="42"/>
    <n v="14045"/>
    <n v="1042"/>
    <n v="1807"/>
    <n v="10"/>
    <n v="42370"/>
    <n v="79"/>
    <n v="5"/>
    <m/>
    <m/>
    <m/>
    <m/>
    <n v="3408"/>
    <n v="33"/>
    <n v="6"/>
    <n v="8"/>
    <n v="10"/>
    <n v="4"/>
    <n v="1370"/>
    <n v="81"/>
    <n v="76"/>
    <n v="87"/>
    <n v="230"/>
    <m/>
    <m/>
    <m/>
    <m/>
    <m/>
    <m/>
    <m/>
    <m/>
    <m/>
    <m/>
    <m/>
    <m/>
    <m/>
    <m/>
    <m/>
    <m/>
    <m/>
    <m/>
    <m/>
    <m/>
    <n v="2"/>
    <n v="550"/>
    <n v="1352"/>
    <n v="1"/>
    <n v="1"/>
    <m/>
    <s v="tom.holloway@yclibrary.org"/>
    <x v="2"/>
    <n v="126"/>
  </r>
  <r>
    <x v="2"/>
    <x v="2"/>
    <s v="OUTREACH / BOOKMOBILE"/>
    <n v="7"/>
    <n v="31"/>
    <n v="892"/>
    <m/>
    <m/>
    <m/>
    <n v="3218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n v="5"/>
    <n v="36.5"/>
    <n v="3"/>
    <s v="jennifer.strokis@yclibrary.org"/>
    <x v="2"/>
    <m/>
  </r>
  <r>
    <x v="2"/>
    <x v="2"/>
    <s v="YORK"/>
    <n v="63"/>
    <n v="8"/>
    <n v="4900"/>
    <n v="506"/>
    <n v="912"/>
    <n v="16"/>
    <n v="7611"/>
    <n v="107"/>
    <n v="0"/>
    <m/>
    <m/>
    <m/>
    <m/>
    <n v="1943"/>
    <n v="13"/>
    <n v="3"/>
    <n v="2"/>
    <n v="7"/>
    <m/>
    <n v="295"/>
    <n v="75"/>
    <n v="11"/>
    <n v="60"/>
    <m/>
    <m/>
    <m/>
    <m/>
    <m/>
    <m/>
    <m/>
    <m/>
    <m/>
    <m/>
    <m/>
    <m/>
    <m/>
    <m/>
    <m/>
    <m/>
    <m/>
    <m/>
    <m/>
    <m/>
    <m/>
    <n v="1"/>
    <n v="120"/>
    <n v="135"/>
    <n v="2"/>
    <n v="6"/>
    <n v="0"/>
    <s v="jennifer.stanley@yclibrary.org"/>
    <x v="2"/>
    <n v="117"/>
  </r>
  <r>
    <x v="2"/>
    <x v="2"/>
    <s v="ROCK HILL"/>
    <n v="5"/>
    <n v="293"/>
    <n v="0"/>
    <n v="0"/>
    <n v="0"/>
    <n v="0"/>
    <n v="3708"/>
    <n v="0"/>
    <n v="0"/>
    <n v="2"/>
    <n v="77"/>
    <n v="955"/>
    <n v="6295"/>
    <n v="0"/>
    <n v="0"/>
    <n v="0"/>
    <n v="0"/>
    <n v="0"/>
    <n v="0"/>
    <n v="0"/>
    <n v="0"/>
    <n v="0"/>
    <n v="0"/>
    <n v="0"/>
    <n v="14"/>
    <n v="2"/>
    <n v="7"/>
    <n v="11"/>
    <n v="5"/>
    <n v="431"/>
    <n v="28"/>
    <n v="248"/>
    <n v="91"/>
    <n v="247"/>
    <n v="0"/>
    <n v="0"/>
    <n v="0"/>
    <n v="2"/>
    <n v="0"/>
    <n v="0"/>
    <n v="0"/>
    <n v="0"/>
    <n v="20"/>
    <n v="0"/>
    <n v="0"/>
    <n v="0"/>
    <n v="50"/>
    <n v="30"/>
    <n v="56.75"/>
    <n v="0"/>
    <s v="amanda.antonacci@yclibrary.org"/>
    <x v="2"/>
    <n v="0"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EEAE7-7CFA-4B5E-8499-876B058D09CF}" name="PivotTable2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8:B23" firstHeaderRow="1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dragToRow="0" dragToCol="0" dragToPage="0" showAll="0" defaultSubtotal="0"/>
  </pivotFields>
  <rowFields count="1">
    <field x="5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1-on-1 Total for Month" fld="5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1CA95-914B-46D7-990F-450FBBDCDAB8}" name="PivotTable1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:D14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h="1" x="0"/>
        <item x="1"/>
        <item x="3"/>
        <item h="1" x="2"/>
        <item t="default"/>
      </items>
    </pivotField>
    <pivotField showAll="0"/>
    <pivotField dragToRow="0" dragToCol="0" dragToPage="0" showAll="0" defaultSubtotal="0"/>
  </pivotFields>
  <rowItems count="1">
    <i/>
  </rowItems>
  <colFields count="1">
    <field x="54"/>
  </colFields>
  <colItems count="3">
    <i>
      <x v="1"/>
    </i>
    <i>
      <x v="2"/>
    </i>
    <i t="grand">
      <x/>
    </i>
  </colItems>
  <dataFields count="1">
    <dataField name="Sum of External Party Library Room Use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FCE71-BC38-40C8-8F05-19DD73B2BD4E}" name="PivotTable1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J6" firstHeaderRow="0" firstDataRow="1" firstDataCol="1" rowPageCount="1" colPageCount="1"/>
  <pivotFields count="55">
    <pivotField axis="axisPage" showAll="0">
      <items count="25">
        <item m="1" x="23"/>
        <item m="1" x="15"/>
        <item m="1" x="17"/>
        <item m="1" x="16"/>
        <item m="1" x="18"/>
        <item m="1" x="20"/>
        <item m="1" x="19"/>
        <item m="1" x="14"/>
        <item m="1" x="13"/>
        <item m="1" x="21"/>
        <item m="1" x="22"/>
        <item m="1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axis="axisRow" showAll="0">
      <items count="4">
        <item x="0"/>
        <item x="1"/>
        <item m="1" x="2"/>
        <item t="default"/>
      </items>
    </pivotField>
    <pivotField showAll="0"/>
  </pivotFields>
  <rowFields count="1">
    <field x="53"/>
  </rowFields>
  <rowItems count="3">
    <i>
      <x/>
    </i>
    <i>
      <x v="1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0" hier="-1"/>
  </pageFields>
  <dataFields count="9">
    <dataField name="Sum of 1-on-1 Total for Month" fld="51" baseField="0" baseItem="0"/>
    <dataField name="Sum of I22: TOTAL # TAKE &amp; MAKES and OTHER PASSIVE PROGRAM PARTICIPANTS_x000a_" fld="48" baseField="0" baseItem="0"/>
    <dataField name="Sum of Outreach Attendance (YCL Internal)" fld="47" baseField="0" baseItem="0"/>
    <dataField name="Sum of I23: NUMBER OF STAFF TAKING TRAINING" fld="49" baseField="0" baseItem="0"/>
    <dataField name="Sum of I24: NUMBER OF HOURS STAFF ATTENDED TRAINING" fld="50" baseField="0" baseItem="0"/>
    <dataField name="Sum of I21: NUMBER OF OUTREACH ACTIVITIES Conducted" fld="46" baseField="0" baseItem="0"/>
    <dataField name="Sum of External Party Library Room Use" fld="7" baseField="0" baseItem="0"/>
    <dataField name="Sum of ILL - Sent (Main ONLY)" fld="11" baseField="0" baseItem="0"/>
    <dataField name="Sum of ILL - Received (Main ONLY)" fld="12" baseField="0" baseItem="0"/>
  </dataFields>
  <formats count="1">
    <format dxfId="10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CD7AF-736C-455E-8A5D-E9CBE6D0BB23}" name="PivotTable7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6" firstHeaderRow="0" firstDataRow="1" firstDataCol="1" rowPageCount="1" colPageCount="1"/>
  <pivotFields count="27">
    <pivotField axis="axisPage" showAll="0">
      <items count="25">
        <item m="1" x="22"/>
        <item m="1" x="12"/>
        <item m="1" x="19"/>
        <item m="1" x="15"/>
        <item m="1" x="17"/>
        <item m="1" x="18"/>
        <item m="1" x="23"/>
        <item m="1" x="16"/>
        <item m="1" x="21"/>
        <item m="1" x="14"/>
        <item m="1" x="13"/>
        <item m="1"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3">
        <item x="1"/>
        <item x="0"/>
        <item t="default"/>
      </items>
    </pivotField>
  </pivotFields>
  <rowFields count="1">
    <field x="26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Sum of Dial A Story Uploads" fld="25" baseField="0" baseItem="0"/>
    <dataField name="Sum of Dial A Story - VIEWS" fld="5" baseField="0" baseItem="0"/>
    <dataField name="Sum of YouTube Uploads" fld="24" baseField="0" baseItem="0"/>
    <dataField name="Sum of YouTube - Views" fld="16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8ADB0-A196-4FD5-9935-9AA9C76404D4}" name="PivotTable18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Q4:S7" firstHeaderRow="0" firstDataRow="1" firstDataCol="1" rowPageCount="1" colPageCount="1"/>
  <pivotFields count="56">
    <pivotField showAll="0"/>
    <pivotField axis="axisPage" multipleItemSelectionAllowed="1" showAll="0">
      <items count="14">
        <item h="1" x="6"/>
        <item h="1" x="7"/>
        <item h="1" x="8"/>
        <item h="1" x="9"/>
        <item h="1" x="10"/>
        <item h="1" x="11"/>
        <item x="0"/>
        <item x="1"/>
        <item x="2"/>
        <item x="3"/>
        <item x="4"/>
        <item x="5"/>
        <item h="1" x="12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5">
        <item h="1" x="0"/>
        <item x="1"/>
        <item x="2"/>
        <item h="1" x="3"/>
        <item t="default"/>
      </items>
    </pivotField>
    <pivotField showAll="0"/>
  </pivotFields>
  <rowFields count="1">
    <field x="54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New Library Cards, Adult (includes YA)" fld="3" baseField="0" baseItem="0"/>
    <dataField name="New Library Cards, Juvenile" fld="4" baseField="0" baseItem="0"/>
  </dataFields>
  <formats count="1">
    <format dxfId="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1"/>
          </reference>
          <reference field="54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1"/>
          </reference>
          <reference field="5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68E35-D737-4207-9EB5-3DA039D834A5}" name="PivotTable6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3:D36" firstHeaderRow="0" firstDataRow="1" firstDataCol="1" rowPageCount="1" colPageCount="1"/>
  <pivotFields count="56">
    <pivotField showAll="0"/>
    <pivotField axis="axisPage" showAll="0">
      <items count="14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x="1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5">
        <item h="1" x="0"/>
        <item x="1"/>
        <item x="2"/>
        <item h="1" x="3"/>
        <item t="default"/>
      </items>
    </pivotField>
    <pivotField dataField="1" showAll="0"/>
  </pivotFields>
  <rowFields count="1">
    <field x="54"/>
  </rowFields>
  <rowItems count="3"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item="8" hier="-1"/>
  </pageFields>
  <dataFields count="3">
    <dataField name="Monthly Branch Circulation" fld="9" baseField="0" baseItem="0"/>
    <dataField name="Monthly Gate Count" fld="5" baseField="0" baseItem="0"/>
    <dataField name="Monthly Locker Circulation" fld="55" baseField="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1"/>
          </reference>
          <reference field="54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1"/>
          </reference>
          <reference field="54" count="1" selected="0">
            <x v="1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2"/>
          </reference>
          <reference field="54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83F69C-4F65-47EE-92B2-21F83FAF3736}" name="PivotTable4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M4:N5" firstHeaderRow="0" firstDataRow="1" firstDataCol="0" rowPageCount="2" colPageCount="1"/>
  <pivotFields count="56">
    <pivotField showAll="0"/>
    <pivotField axis="axisPage" multipleItemSelectionAllowed="1" showAll="0">
      <items count="14">
        <item h="1" x="6"/>
        <item h="1" x="7"/>
        <item h="1" x="8"/>
        <item h="1" x="9"/>
        <item h="1" x="10"/>
        <item h="1" x="11"/>
        <item x="0"/>
        <item x="1"/>
        <item x="2"/>
        <item x="3"/>
        <item x="4"/>
        <item x="5"/>
        <item h="1" x="12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showAll="0"/>
  </pivotFields>
  <rowItems count="1">
    <i/>
  </rowItems>
  <colFields count="1">
    <field x="-2"/>
  </colFields>
  <colItems count="2">
    <i>
      <x/>
    </i>
    <i i="1">
      <x v="1"/>
    </i>
  </colItems>
  <pageFields count="2">
    <pageField fld="54" hier="-1"/>
    <pageField fld="1" hier="-1"/>
  </pageFields>
  <dataFields count="2">
    <dataField name="Sum of New Library Card Registrations, Adult (includes YA)" fld="3" baseField="0" baseItem="0"/>
    <dataField name="Sum of New Library Card Registrations, Juvenile" fld="4" baseField="0" baseItem="0"/>
  </dataFields>
  <formats count="1">
    <format dxfId="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B657F-9BF8-48E8-ABFF-99B52BB0D005}" name="PivotTable3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4:K5" firstHeaderRow="0" firstDataRow="1" firstDataCol="0" rowPageCount="2" colPageCount="1"/>
  <pivotFields count="56">
    <pivotField showAll="0"/>
    <pivotField axis="axisPage" multipleItemSelectionAllowed="1" showAll="0">
      <items count="14">
        <item x="6"/>
        <item x="7"/>
        <item x="8"/>
        <item x="9"/>
        <item x="10"/>
        <item x="11"/>
        <item h="1" x="0"/>
        <item h="1" x="1"/>
        <item h="1" x="2"/>
        <item h="1" x="3"/>
        <item h="1" x="4"/>
        <item h="1" x="5"/>
        <item h="1" x="12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</pivotFields>
  <rowItems count="1">
    <i/>
  </rowItems>
  <colFields count="1">
    <field x="-2"/>
  </colFields>
  <colItems count="2">
    <i>
      <x/>
    </i>
    <i i="1">
      <x v="1"/>
    </i>
  </colItems>
  <pageFields count="2">
    <pageField fld="1" hier="-1"/>
    <pageField fld="54" item="1" hier="-1"/>
  </pageFields>
  <dataFields count="2">
    <dataField name="Sum of New Library Card Registrations, Adult (includes YA)" fld="3" baseField="0" baseItem="0"/>
    <dataField name="Sum of New Library Card Registrations, Juvenile" fld="4" baseField="0" baseItem="0"/>
  </dataFields>
  <formats count="1">
    <format dxfId="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47EDC-2686-4977-B076-F2E2AE66DD9D}" name="PivotTable2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E5:G6" firstHeaderRow="0" firstDataRow="1" firstDataCol="0" rowPageCount="3" colPageCount="1"/>
  <pivotFields count="56">
    <pivotField axis="axisPage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Page" multipleItemSelectionAllowed="1" showAll="0">
      <items count="14">
        <item h="1" x="6"/>
        <item h="1" x="7"/>
        <item h="1" x="8"/>
        <item h="1" x="9"/>
        <item h="1" x="10"/>
        <item h="1" x="11"/>
        <item x="0"/>
        <item x="1"/>
        <item x="2"/>
        <item x="3"/>
        <item x="4"/>
        <item x="5"/>
        <item x="1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3">
    <pageField fld="0" hier="-1"/>
    <pageField fld="54" item="2" hier="-1"/>
    <pageField fld="1" hier="-1"/>
  </pageFields>
  <dataFields count="3">
    <dataField name="Monthly Circulation" fld="9" baseField="0" baseItem="1"/>
    <dataField name="Monthly Gate Count" fld="5" baseField="0" baseItem="0"/>
    <dataField name="Monthly Locker Circulation" fld="55" baseField="0" baseItem="0"/>
  </dataFields>
  <formats count="1">
    <format dxfId="10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54860-8145-4841-A5BC-71418E53EAE3}" name="PivotTable5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9">
  <location ref="A5:C6" firstHeaderRow="0" firstDataRow="1" firstDataCol="0" rowPageCount="3" colPageCount="1"/>
  <pivotFields count="57">
    <pivotField axis="axisPage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multipleItemSelectionAllowed="1" showAll="0">
      <items count="13">
        <item h="1" x="0"/>
        <item h="1" x="1"/>
        <item h="1" x="2"/>
        <item h="1" x="3"/>
        <item h="1" x="4"/>
        <item h="1"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dataField="1" showAll="0"/>
    <pivotField dragToRow="0" dragToCol="0" dragToPage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3">
    <pageField fld="1" hier="-1"/>
    <pageField fld="0" hier="-1"/>
    <pageField fld="54" hier="-1"/>
  </pageFields>
  <dataFields count="3">
    <dataField name="Monthly Circulation" fld="9" baseField="0" baseItem="0"/>
    <dataField name="Monthly Gate Count" fld="5" baseField="0" baseItem="0"/>
    <dataField name="Locker Checkouts" fld="55" baseField="53" baseItem="0"/>
  </dataFields>
  <formats count="1">
    <format dxfId="10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3BAF6-F7B8-43E1-8016-ECF6858AC8F4}" name="PivotTable1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7" firstHeaderRow="1" firstDataRow="1" firstDataCol="1" rowPageCount="1" colPageCount="1"/>
  <pivotFields count="57">
    <pivotField numFmtId="1" showAll="0"/>
    <pivotField axis="axisRow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axis="axisRow" showAll="0">
      <items count="10">
        <item x="1"/>
        <item x="2"/>
        <item x="3"/>
        <item x="7"/>
        <item x="5"/>
        <item x="0"/>
        <item x="8"/>
        <item x="6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dragToRow="0" dragToCol="0" dragToPage="0" showAll="0" defaultSubtotal="0"/>
  </pivotFields>
  <rowFields count="2">
    <field x="2"/>
    <field x="1"/>
  </rowFields>
  <rowItems count="24">
    <i>
      <x/>
    </i>
    <i r="1">
      <x v="6"/>
    </i>
    <i r="1">
      <x v="7"/>
    </i>
    <i r="1">
      <x v="8"/>
    </i>
    <i>
      <x v="1"/>
    </i>
    <i r="1">
      <x v="6"/>
    </i>
    <i r="1">
      <x v="7"/>
    </i>
    <i r="1">
      <x v="8"/>
    </i>
    <i>
      <x v="2"/>
    </i>
    <i r="1">
      <x v="6"/>
    </i>
    <i r="1">
      <x v="7"/>
    </i>
    <i r="1">
      <x v="8"/>
    </i>
    <i>
      <x v="3"/>
    </i>
    <i r="1">
      <x v="6"/>
    </i>
    <i r="1">
      <x v="7"/>
    </i>
    <i r="1">
      <x v="8"/>
    </i>
    <i>
      <x v="5"/>
    </i>
    <i r="1">
      <x v="6"/>
    </i>
    <i r="1">
      <x v="8"/>
    </i>
    <i>
      <x v="8"/>
    </i>
    <i r="1">
      <x v="6"/>
    </i>
    <i r="1">
      <x v="7"/>
    </i>
    <i r="1">
      <x v="8"/>
    </i>
    <i t="grand">
      <x/>
    </i>
  </rowItems>
  <colItems count="1">
    <i/>
  </colItems>
  <pageFields count="1">
    <pageField fld="54" item="2" hier="-1"/>
  </pageFields>
  <dataFields count="1">
    <dataField name="Sum of Total Branch Circulation" fld="9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DBE48F-CF43-465D-AEAF-DA9E44B84BD8}" name="PivotTable29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4:E5" firstHeaderRow="0" firstDataRow="1" firstDataCol="0" rowPageCount="2" colPageCount="1"/>
  <pivotFields count="56">
    <pivotField showAll="0"/>
    <pivotField axis="axisPage" multipleItemSelectionAllowed="1" showAll="0">
      <items count="14">
        <item h="1" x="6"/>
        <item h="1" x="7"/>
        <item h="1" x="8"/>
        <item h="1" x="9"/>
        <item h="1" x="10"/>
        <item h="1" x="11"/>
        <item x="0"/>
        <item x="1"/>
        <item x="2"/>
        <item x="3"/>
        <item x="4"/>
        <item x="5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</pivotFields>
  <rowItems count="1">
    <i/>
  </rowItems>
  <colFields count="1">
    <field x="-2"/>
  </colFields>
  <colItems count="2">
    <i>
      <x/>
    </i>
    <i i="1">
      <x v="1"/>
    </i>
  </colItems>
  <pageFields count="2">
    <pageField fld="1" hier="-1"/>
    <pageField fld="54" item="2" hier="-1"/>
  </pageFields>
  <dataFields count="2">
    <dataField name="ICLs Received" fld="15" baseField="0" baseItem="0"/>
    <dataField name="ICLs Sent" fld="14" baseField="0" baseItem="0"/>
  </dataFields>
  <formats count="1">
    <format dxfId="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7525C-F2F0-42BF-B9AE-BEA9BB44321F}" name="PivotTable28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B5" firstHeaderRow="0" firstDataRow="1" firstDataCol="0" rowPageCount="2" colPageCount="1"/>
  <pivotFields count="56">
    <pivotField showAll="0"/>
    <pivotField axis="axisPage" multipleItemSelectionAllowed="1" showAll="0">
      <items count="14">
        <item x="6"/>
        <item x="7"/>
        <item x="8"/>
        <item x="9"/>
        <item x="10"/>
        <item x="11"/>
        <item h="1" x="0"/>
        <item h="1" x="1"/>
        <item h="1" x="2"/>
        <item h="1" x="3"/>
        <item h="1" x="4"/>
        <item h="1" x="5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</pivotFields>
  <rowItems count="1">
    <i/>
  </rowItems>
  <colFields count="1">
    <field x="-2"/>
  </colFields>
  <colItems count="2">
    <i>
      <x/>
    </i>
    <i i="1">
      <x v="1"/>
    </i>
  </colItems>
  <pageFields count="2">
    <pageField fld="1" hier="-1"/>
    <pageField fld="54" item="1" hier="-1"/>
  </pageFields>
  <dataFields count="2">
    <dataField name="ICLs Received" fld="15" baseField="0" baseItem="0"/>
    <dataField name="ICLs Sent" fld="14" baseField="0" baseItem="0"/>
  </dataFields>
  <formats count="1">
    <format dxfId="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730CC-DAD9-47D6-9F18-7CDCD063A684}" name="PivotTable9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4:I55" firstHeaderRow="0" firstDataRow="1" firstDataCol="0" rowPageCount="1" colPageCount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48" item="0" hier="-1"/>
  </pageFields>
  <dataFields count="9">
    <dataField name="Sum of hoopla Binge Passes" fld="20" baseField="0" baseItem="0"/>
    <dataField name="Sum of hoopla Comics" fld="21" baseField="0" baseItem="0"/>
    <dataField name="Sum of hoopla Flex eAudio" fld="22" baseField="0" baseItem="0"/>
    <dataField name="Sum of hoopla Flex eBook " fld="23" baseField="0" baseItem="0"/>
    <dataField name="Sum of hoopla Instant eAudio" fld="24" baseField="0" baseItem="0"/>
    <dataField name="Sum of hoopla Instant eBook" fld="25" baseField="0" baseItem="0"/>
    <dataField name="Sum of hoopla Movies" fld="26" baseField="0" baseItem="0"/>
    <dataField name="Sum of hoopla Music" fld="27" baseField="0" baseItem="0"/>
    <dataField name="Sum of hoopla TV" fld="28" baseField="0" baseItem="0"/>
  </dataFields>
  <formats count="3">
    <format dxfId="63">
      <pivotArea type="all" dataOnly="0" outline="0" fieldPosition="0"/>
    </format>
    <format dxfId="62">
      <pivotArea outline="0" collapsedLevelsAreSubtotals="1" fieldPosition="0"/>
    </format>
    <format dxfId="61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6C8E13-A333-48B0-A071-60ECB1F8F4CB}" name="PivotTable6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4:D25" firstHeaderRow="0" firstDataRow="1" firstDataCol="0" rowPageCount="1" colPageCount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8" item="0" hier="-1"/>
  </pageFields>
  <dataFields count="4">
    <dataField name="Sum of Flipster Searches" fld="8" baseField="0" baseItem="0"/>
    <dataField name="Sum of Flipster Sessions" fld="9" baseField="0" baseItem="0"/>
    <dataField name="Sum of Kanopy Plays" fld="15" baseField="0" baseItem="0"/>
    <dataField name="Sum of Kanopy Sessions/Views" fld="16" baseField="0" baseItem="0"/>
  </dataFields>
  <formats count="3">
    <format dxfId="66">
      <pivotArea type="all" dataOnly="0" outline="0" fieldPosition="0"/>
    </format>
    <format dxfId="65">
      <pivotArea outline="0" collapsedLevelsAreSubtotals="1" fieldPosition="0"/>
    </format>
    <format dxfId="6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8E0778-EF27-4620-BDE3-49F7E8305AE6}" name="PivotTable4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9:C70" firstHeaderRow="0" firstDataRow="1" firstDataCol="0" rowPageCount="1" colPageCount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1">
    <pageField fld="48" item="0" hier="-1"/>
  </pageFields>
  <dataFields count="3">
    <dataField name="Sum of Proquest: Heritage Quest Online" fld="36" baseField="0" baseItem="0"/>
    <dataField name="Sum of Proquest: Fold3" fld="35" baseField="0" baseItem="0"/>
    <dataField name="Sum of Proquest: Ancestry Library Edition" fld="34" baseField="0" baseItem="0"/>
  </dataFields>
  <formats count="3">
    <format dxfId="69">
      <pivotArea type="all" dataOnly="0" outline="0" fieldPosition="0"/>
    </format>
    <format dxfId="68">
      <pivotArea outline="0" collapsedLevelsAreSubtotals="1" fieldPosition="0"/>
    </format>
    <format dxfId="6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A085F-DE10-4965-B978-691BB8FE0E56}" name="PivotTable8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5:E16" firstHeaderRow="0" firstDataRow="1" firstDataCol="0" rowPageCount="1" colPageCount="1"/>
  <pivotFields count="49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48" item="0" hier="-1"/>
  </pageFields>
  <dataFields count="5">
    <dataField name="Sum of Data Axle/Reference USA" fld="7" baseField="0" baseItem="0"/>
    <dataField name="Sum of ValueLine Searches" fld="39" baseField="0" baseItem="0"/>
    <dataField name="Sum of Weiss Page Views" fld="40" baseField="0" baseItem="0"/>
    <dataField name="Sum of Weiss Searches" fld="41" baseField="0" baseItem="0"/>
    <dataField name="Sum of Weiss Sessions" fld="42" baseField="0" baseItem="0"/>
  </dataFields>
  <formats count="3">
    <format dxfId="72">
      <pivotArea type="all" dataOnly="0" outline="0" fieldPosition="0"/>
    </format>
    <format dxfId="71">
      <pivotArea outline="0" collapsedLevelsAreSubtotals="1" fieldPosition="0"/>
    </format>
    <format dxfId="7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8EDA99-DB6E-477E-88EE-FC28D31A9311}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85:B86" firstHeaderRow="0" firstDataRow="1" firstDataCol="0" rowPageCount="1" colPageCount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1">
    <pageField fld="48" hier="-1"/>
  </pageFields>
  <dataFields count="2">
    <dataField name="Sum of Newsbank Newspapers" fld="29" baseField="0" baseItem="0"/>
    <dataField name="Sum of Salem eBooks" fld="37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A3E8E1-16B7-4891-A6DC-9A345F7FFAF7}" name="PivotTable7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1:D62" firstHeaderRow="0" firstDataRow="1" firstDataCol="0" rowPageCount="1" colPageCount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8" hier="-1"/>
  </pageFields>
  <dataFields count="4">
    <dataField name="Sum of Libby eAudio" fld="30" baseField="0" baseItem="0"/>
    <dataField name="Sum of Libby eBook" fld="31" baseField="0" baseItem="0"/>
    <dataField name="Sum of Libby Magazines " fld="32" baseField="0" baseItem="0"/>
    <dataField name="Sum of Libby Streaming" fld="33" baseField="0" baseItem="0"/>
  </dataFields>
  <formats count="3">
    <format dxfId="75">
      <pivotArea type="all" dataOnly="0" outline="0" fieldPosition="0"/>
    </format>
    <format dxfId="74">
      <pivotArea outline="0" collapsedLevelsAreSubtotals="1" fieldPosition="0"/>
    </format>
    <format dxfId="7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AD26F0-100D-4CB2-98EE-5F750F8F9379}" name="PivotTable10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7:D8" firstHeaderRow="0" firstDataRow="1" firstDataCol="0" rowPageCount="1" colPageCount="1"/>
  <pivotFields count="49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Page" dataField="1"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8" item="0" hier="-1"/>
  </pageFields>
  <dataFields count="4">
    <dataField name="Sum of ABCmouse" fld="3" baseField="0" baseItem="0"/>
    <dataField name="Sum of Lote4Kids - Activities" fld="44" baseField="0" baseItem="0"/>
    <dataField name="Sum of Lote4Kids - Logins" fld="45" baseField="0" baseItem="0"/>
    <dataField name="Sum of Year" fld="48" baseField="0" baseItem="0"/>
  </dataFields>
  <formats count="3">
    <format dxfId="78">
      <pivotArea type="all" dataOnly="0" outline="0" fieldPosition="0"/>
    </format>
    <format dxfId="77">
      <pivotArea outline="0" collapsedLevelsAreSubtotals="1" fieldPosition="0"/>
    </format>
    <format dxfId="7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8164EA-66E7-4A42-8386-E9A34BAA7085}" name="PivotTable3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0:B41" firstHeaderRow="0" firstDataRow="1" firstDataCol="0" rowPageCount="1" colPageCount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1">
    <pageField fld="48" item="0" hier="-1"/>
  </pageFields>
  <dataFields count="2">
    <dataField name="Sum of Library Aware: Newsletter Page Views" fld="17" baseField="0" baseItem="0"/>
    <dataField name="Sum of Library Aware: Newsletter Subscriptions" fld="18" baseField="0" baseItem="0"/>
  </dataFields>
  <formats count="3">
    <format dxfId="81">
      <pivotArea type="all" dataOnly="0" outline="0" fieldPosition="0"/>
    </format>
    <format dxfId="80">
      <pivotArea outline="0" collapsedLevelsAreSubtotals="1" fieldPosition="0"/>
    </format>
    <format dxfId="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DEFB5-3A8D-43C7-B435-FB3ED0F63CCA}" name="PivotTable1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7:A48" firstHeaderRow="1" firstDataRow="1" firstDataCol="0" rowPageCount="1" colPageCount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Items count="1">
    <i/>
  </rowItems>
  <colItems count="1">
    <i/>
  </colItems>
  <pageFields count="1">
    <pageField fld="50" item="0" hier="-1"/>
  </pageFields>
  <dataFields count="1">
    <dataField name="Sum of Mango" fld="21" baseField="0" baseItem="0"/>
  </dataFields>
  <formats count="3">
    <format dxfId="84">
      <pivotArea type="all" dataOnly="0" outline="0" fieldPosition="0"/>
    </format>
    <format dxfId="83">
      <pivotArea outline="0" collapsedLevelsAreSubtotals="1" fieldPosition="0"/>
    </format>
    <format dxfId="82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4B11C-3BA7-4A18-8FFA-2A9A4150970C}" name="PivotTable5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1:D32" firstHeaderRow="0" firstDataRow="1" firstDataCol="0" rowPageCount="1" colPageCount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2">
        <item x="0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8" item="0" hier="-1"/>
  </pageFields>
  <dataFields count="4">
    <dataField name="Sum of Gale eBooks" fld="10" baseField="0" baseItem="0"/>
    <dataField name="Sum of Gale Udemy" fld="11" baseField="0" baseItem="0"/>
    <dataField name="Sum of Infobase: The Mailbox Searches" fld="13" baseField="0" baseItem="0"/>
    <dataField name="Sum of Infobase: The Mailbox Sessions" fld="14" baseField="0" baseItem="0"/>
  </dataFields>
  <formats count="7"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12" type="button" dataOnly="0" labelOnly="1" outline="0"/>
    </format>
    <format dxfId="88">
      <pivotArea dataOnly="0" labelOnly="1" grandRow="1" outline="0" fieldPosition="0"/>
    </format>
    <format dxfId="8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6">
      <pivotArea field="12" type="button" dataOnly="0" labelOnly="1" outline="0"/>
    </format>
    <format dxfId="8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A684F-E84C-4853-B61E-1C53F66BB541}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77:B78" firstHeaderRow="0" firstDataRow="1" firstDataCol="0" rowPageCount="1" colPageCount="1"/>
  <pivotFields count="49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1">
    <pageField fld="48" item="0" hier="-1"/>
  </pageFields>
  <dataFields count="2">
    <dataField name="Sum of Tutor" fld="38" baseField="0" baseItem="0"/>
    <dataField name="Sum of Brainfuse" fld="6" baseField="0" baseItem="0"/>
  </dataFields>
  <formats count="3">
    <format dxfId="94">
      <pivotArea type="all" dataOnly="0" outline="0" fieldPosition="0"/>
    </format>
    <format dxfId="93">
      <pivotArea outline="0" collapsedLevelsAreSubtotals="1" fieldPosition="0"/>
    </format>
    <format dxfId="92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23F50-F171-4626-965F-849697AF47DD}" name="PivotTable8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4">
  <location ref="A3:F6" firstHeaderRow="0" firstDataRow="1" firstDataCol="1" rowPageCount="1" colPageCount="1"/>
  <pivotFields count="57">
    <pivotField numFmtId="1" showAll="0"/>
    <pivotField axis="axisPage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0"/>
        <item x="1"/>
        <item x="2"/>
        <item t="default"/>
      </items>
    </pivotField>
    <pivotField showAll="0"/>
    <pivotField dragToRow="0" dragToCol="0" dragToPage="0" showAll="0" defaultSubtotal="0"/>
  </pivotFields>
  <rowFields count="1">
    <field x="54"/>
  </rowFields>
  <rowItems count="3"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item="8" hier="-1"/>
  </pageFields>
  <dataFields count="5">
    <dataField name="Sessions 0-5" fld="17" baseField="0" baseItem="0"/>
    <dataField name="Sessions 6-11" fld="18" baseField="0" baseItem="0"/>
    <dataField name="Sessions 12-18" fld="19" baseField="0" baseItem="0"/>
    <dataField name="Sessions 19+" fld="20" baseField="0" baseItem="0"/>
    <dataField name="Sessions GENERAL INTEREST" fld="21" baseField="54" baseItem="1"/>
  </dataFields>
  <chartFormats count="9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1"/>
          </reference>
          <reference field="54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4"/>
          </reference>
          <reference field="54" count="1" selected="0">
            <x v="1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1"/>
          </reference>
          <reference field="54" count="1" selected="0">
            <x v="2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4"/>
          </reference>
          <reference field="54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B42121-695F-408C-A9A9-85FF9DDA7B21}" name="PivotTable1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0:E31" firstHeaderRow="0" firstDataRow="1" firstDataCol="0" rowPageCount="1" colPageCount="1"/>
  <pivotFields count="5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53" item="0" hier="-1"/>
  </pageFields>
  <dataFields count="5">
    <dataField name="Sum of VIRTUAL Sessions 0-5" fld="36" baseField="0" baseItem="0"/>
    <dataField name="Sum of VIRTUAL Sessions 6-11" fld="37" baseField="0" baseItem="0"/>
    <dataField name="Sum of VIRTUAL Sessions 12-18" fld="38" baseField="0" baseItem="0"/>
    <dataField name="Sum of VIRTUAL Sessions 19+" fld="39" baseField="0" baseItem="0"/>
    <dataField name="Sum of VIRTUAL Sessions General Interest" fld="4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3AB2AD-A2EA-4778-A4A5-566B7D1725F8}" name="PivotTable1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4:E35" firstHeaderRow="0" firstDataRow="1" firstDataCol="0" rowPageCount="1" colPageCount="1"/>
  <pivotFields count="5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53" item="0" hier="-1"/>
  </pageFields>
  <dataFields count="5">
    <dataField name="Sum of VIRTUAL Attendance 0-5" fld="41" baseField="0" baseItem="0"/>
    <dataField name="Sum of VIRTUAL Attendance 6-11" fld="42" baseField="0" baseItem="0"/>
    <dataField name="Sum of VIRTUAL Attendance 12-18" fld="43" baseField="0" baseItem="0"/>
    <dataField name="Sum of VIRTUAL Attendance 19+" fld="44" baseField="0" baseItem="0"/>
    <dataField name="Sum of VIRTUAL Attendance General Interest" fld="45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BEF8C-5D58-4799-A8B0-F247FF1960B2}" name="PivotTable14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4:E25" firstHeaderRow="0" firstDataRow="1" firstDataCol="0" rowPageCount="1" colPageCount="1"/>
  <pivotFields count="5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3"/>
        <item x="2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54" item="3" hier="-1"/>
  </pageFields>
  <dataFields count="5">
    <dataField name="Sum of OFFSITE Attendance 0-5" fld="32" baseField="0" baseItem="0"/>
    <dataField name="Sum of OFFSITE Attendance 6-11" fld="33" baseField="0" baseItem="0"/>
    <dataField name="Sum of OFFSITE Attendance 12-18" fld="34" baseField="0" baseItem="0"/>
    <dataField name="Sum of OFFSITE Attendance 19+" fld="35" baseField="0" baseItem="0"/>
    <dataField name="Sum of OFFSITE Attendance General Interest" fld="36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6A892-6A76-48AF-9E6E-77034E76E7C5}" name="PivotTable12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9:E20" firstHeaderRow="0" firstDataRow="1" firstDataCol="0" rowPageCount="1" colPageCount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dragToRow="0" dragToCol="0" dragToPage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54" item="0" hier="-1"/>
  </pageFields>
  <dataFields count="5">
    <dataField name="Sum of OFFSITE Sessions 0-5" fld="27" baseField="0" baseItem="0"/>
    <dataField name="Sum of OFFSITE Sessions 6-11" fld="28" baseField="0" baseItem="0"/>
    <dataField name="Sum of OFFSITE Sessions 12-18" fld="29" baseField="0" baseItem="0"/>
    <dataField name="Sum of OFFSITE Sessions 19+" fld="30" baseField="0" baseItem="0"/>
    <dataField name="Sum of OFFSITE Sessions General Interest" fld="31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1C34A-A569-43A0-B720-F285F72257B6}" name="PivotTable9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5">
  <location ref="A10:F13" firstHeaderRow="0" firstDataRow="1" firstDataCol="1" rowPageCount="1" colPageCount="1"/>
  <pivotFields count="57">
    <pivotField numFmtId="1" showAll="0"/>
    <pivotField axis="axisPage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0"/>
        <item x="1"/>
        <item x="2"/>
        <item t="default"/>
      </items>
    </pivotField>
    <pivotField showAll="0"/>
    <pivotField dragToRow="0" dragToCol="0" dragToPage="0" showAll="0" defaultSubtotal="0"/>
  </pivotFields>
  <rowFields count="1">
    <field x="54"/>
  </rowFields>
  <rowItems count="3"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item="8" hier="-1"/>
  </pageFields>
  <dataFields count="5">
    <dataField name="Attendance 0-5" fld="22" baseField="0" baseItem="0"/>
    <dataField name="Attendance 6-11" fld="23" baseField="54" baseItem="0"/>
    <dataField name="Attendance 12-18" fld="24" baseField="54" baseItem="0"/>
    <dataField name="Attendance 19+" fld="25" baseField="54" baseItem="0"/>
    <dataField name="Attendance General Interest" fld="26" baseField="54" baseItem="0"/>
  </dataFields>
  <chartFormats count="1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4"/>
          </reference>
          <reference field="5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4"/>
          </reference>
          <reference field="54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2"/>
          </reference>
          <reference field="54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1"/>
          </reference>
          <reference field="54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1"/>
          </reference>
          <reference field="54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4"/>
          </reference>
          <reference field="54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3"/>
          </reference>
          <reference field="54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BB0034-75EB-42A4-B530-402C6704FFA3}" name="PivotTable8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5">
  <location ref="I3:N5" firstHeaderRow="0" firstDataRow="1" firstDataCol="1" rowPageCount="1" colPageCount="1"/>
  <pivotFields count="57">
    <pivotField numFmtId="1" showAll="0"/>
    <pivotField axis="axisPage" multipleItemSelectionAllowed="1" showAll="0">
      <items count="13">
        <item x="6"/>
        <item x="7"/>
        <item x="8"/>
        <item x="9"/>
        <item x="10"/>
        <item x="11"/>
        <item h="1" x="0"/>
        <item h="1" x="1"/>
        <item h="1" x="2"/>
        <item h="1" x="3"/>
        <item h="1"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0"/>
        <item x="1"/>
        <item h="1" x="2"/>
        <item t="default"/>
      </items>
    </pivotField>
    <pivotField showAll="0"/>
    <pivotField dragToRow="0" dragToCol="0" dragToPage="0" showAll="0" defaultSubtotal="0"/>
  </pivotFields>
  <rowFields count="1">
    <field x="54"/>
  </rowFields>
  <rowItems count="2"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Attendance 0-5" fld="22" baseField="0" baseItem="0"/>
    <dataField name="Attendance 6-11" fld="23" baseField="54" baseItem="0"/>
    <dataField name="Attendance 12-18" fld="24" baseField="54" baseItem="0"/>
    <dataField name="Attendance 19+" fld="25" baseField="54" baseItem="0"/>
    <dataField name="Attendance General Interest" fld="26" baseField="54" baseItem="0"/>
  </dataFields>
  <chartFormats count="7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4"/>
          </reference>
          <reference field="5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4"/>
          </reference>
          <reference field="5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3B3D4-77CE-4C20-A87F-86324CFCE90B}" name="PivotTable7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4">
  <location ref="A3:F5" firstHeaderRow="0" firstDataRow="1" firstDataCol="1" rowPageCount="1" colPageCount="1"/>
  <pivotFields count="57">
    <pivotField numFmtId="1" showAll="0"/>
    <pivotField axis="axisPage" multipleItemSelectionAllowed="1" showAll="0">
      <items count="13">
        <item x="6"/>
        <item x="7"/>
        <item x="8"/>
        <item x="9"/>
        <item x="10"/>
        <item x="11"/>
        <item h="1" x="0"/>
        <item h="1" x="1"/>
        <item h="1" x="2"/>
        <item h="1" x="3"/>
        <item h="1"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0"/>
        <item x="1"/>
        <item h="1" x="2"/>
        <item t="default"/>
      </items>
    </pivotField>
    <pivotField showAll="0"/>
    <pivotField dragToRow="0" dragToCol="0" dragToPage="0" showAll="0" defaultSubtotal="0"/>
  </pivotFields>
  <rowFields count="1">
    <field x="54"/>
  </rowFields>
  <rowItems count="2"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Sessions 0-5" fld="17" baseField="0" baseItem="0"/>
    <dataField name="Sessions 6-11" fld="18" baseField="0" baseItem="0"/>
    <dataField name="Sessions 12-18" fld="19" baseField="0" baseItem="0"/>
    <dataField name="Sessions 19+" fld="20" baseField="0" baseItem="0"/>
    <dataField name="Sessions GENERAL INTEREST" fld="21" baseField="54" baseItem="1"/>
  </dataFields>
  <chartFormats count="5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085826-3176-46DE-AECD-A52A9DCC034E}" name="PivotTable12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5">
  <location ref="I13:N15" firstHeaderRow="0" firstDataRow="1" firstDataCol="1" rowPageCount="1" colPageCount="1"/>
  <pivotFields count="57">
    <pivotField numFmtId="1" showAll="0"/>
    <pivotField axis="axisPage" multipleItemSelectionAllowed="1" showAll="0">
      <items count="13">
        <item h="1" x="6"/>
        <item h="1" x="7"/>
        <item h="1" x="8"/>
        <item h="1" x="9"/>
        <item h="1" x="10"/>
        <item h="1" x="11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0"/>
        <item h="1" x="1"/>
        <item x="2"/>
        <item t="default"/>
      </items>
    </pivotField>
    <pivotField showAll="0"/>
    <pivotField dragToRow="0" dragToCol="0" dragToPage="0" showAll="0" defaultSubtotal="0"/>
  </pivotFields>
  <rowFields count="1">
    <field x="54"/>
  </rowFields>
  <rowItems count="2"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Attendance 0-5" fld="22" baseField="0" baseItem="0"/>
    <dataField name="Attendance 6-11" fld="23" baseField="54" baseItem="0"/>
    <dataField name="Attendance 12-18" fld="24" baseField="54" baseItem="0"/>
    <dataField name="Attendance 19+" fld="25" baseField="54" baseItem="0"/>
    <dataField name="Attendance General Interest" fld="26" baseField="54" baseItem="0"/>
  </dataFields>
  <chartFormats count="7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4"/>
          </reference>
          <reference field="5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4"/>
          </reference>
          <reference field="5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DACC9A-A71B-47B3-BDC1-FD5D32B34338}" name="PivotTable9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4">
  <location ref="A13:F15" firstHeaderRow="0" firstDataRow="1" firstDataCol="1" rowPageCount="1" colPageCount="1"/>
  <pivotFields count="57">
    <pivotField numFmtId="1" showAll="0"/>
    <pivotField axis="axisPage" multipleItemSelectionAllowed="1" showAll="0">
      <items count="13">
        <item h="1" x="6"/>
        <item h="1" x="7"/>
        <item h="1" x="8"/>
        <item h="1" x="9"/>
        <item h="1" x="10"/>
        <item h="1" x="11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0"/>
        <item h="1" x="1"/>
        <item x="2"/>
        <item t="default"/>
      </items>
    </pivotField>
    <pivotField showAll="0"/>
    <pivotField dragToRow="0" dragToCol="0" dragToPage="0" showAll="0" defaultSubtotal="0"/>
  </pivotFields>
  <rowFields count="1">
    <field x="54"/>
  </rowFields>
  <rowItems count="2"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Sessions 0-5" fld="17" baseField="0" baseItem="0"/>
    <dataField name="Sessions 6-11" fld="18" baseField="0" baseItem="0"/>
    <dataField name="Sessions 12-18" fld="19" baseField="0" baseItem="0"/>
    <dataField name="Sessions 19+" fld="20" baseField="0" baseItem="0"/>
    <dataField name="Sessions GENERAL INTEREST" fld="21" baseField="54" baseItem="1"/>
  </dataFields>
  <chartFormats count="5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7FA77B-FA24-47C3-8EA7-DB73EC78C13C}" name="PivotTable19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2">
  <location ref="H4:K5" firstHeaderRow="0" firstDataRow="1" firstDataCol="0" rowPageCount="2" colPageCount="1"/>
  <pivotFields count="28">
    <pivotField numFmtId="49" showAll="0"/>
    <pivotField axis="axisPage" multipleItemSelectionAllowed="1" showAll="0">
      <items count="25">
        <item m="1" x="12"/>
        <item m="1" x="21"/>
        <item m="1" x="16"/>
        <item m="1" x="13"/>
        <item m="1" x="22"/>
        <item m="1" x="23"/>
        <item m="1" x="14"/>
        <item m="1" x="20"/>
        <item m="1" x="19"/>
        <item m="1" x="18"/>
        <item m="1" x="15"/>
        <item m="1" x="17"/>
        <item x="0"/>
        <item x="1"/>
        <item x="2"/>
        <item x="3"/>
        <item x="4"/>
        <item x="5"/>
        <item h="1" x="6"/>
        <item h="1" x="7"/>
        <item h="1" x="8"/>
        <item h="1" x="9"/>
        <item h="1" x="10"/>
        <item h="1" x="1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-1"/>
    <pageField fld="27" hier="-1"/>
  </pageFields>
  <dataFields count="4">
    <dataField name="Website Hits" fld="2" baseField="0" baseItem="0"/>
    <dataField name="Contact Us" fld="20" baseField="0" baseItem="0"/>
    <dataField name="YCLApp Users" fld="21" baseField="0" baseItem="0"/>
    <dataField name="YCLApp Sessions" fld="22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1"/>
          </reference>
          <reference field="27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27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D8872-2BEC-4340-A564-212BE49EDFFA}" name="PivotTable3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2">
  <location ref="A3:E6" firstHeaderRow="0" firstDataRow="1" firstDataCol="1" rowPageCount="1" colPageCount="1"/>
  <pivotFields count="28">
    <pivotField numFmtId="49" showAll="0"/>
    <pivotField axis="axisPage" showAll="0">
      <items count="25">
        <item m="1" x="12"/>
        <item m="1" x="21"/>
        <item m="1" x="16"/>
        <item m="1" x="13"/>
        <item m="1" x="22"/>
        <item m="1" x="23"/>
        <item m="1" x="14"/>
        <item m="1" x="20"/>
        <item m="1" x="19"/>
        <item m="1" x="18"/>
        <item m="1" x="15"/>
        <item m="1"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4">
        <item h="1" x="1"/>
        <item x="0"/>
        <item x="2"/>
        <item t="default"/>
      </items>
    </pivotField>
  </pivotFields>
  <rowFields count="1">
    <field x="27"/>
  </rowFields>
  <rowItems count="3"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item="20" hier="-1"/>
  </pageFields>
  <dataFields count="4">
    <dataField name="Website Hits" fld="2" baseField="0" baseItem="0"/>
    <dataField name="Contact Us" fld="20" baseField="0" baseItem="0"/>
    <dataField name="YCLApp Users" fld="21" baseField="0" baseItem="0"/>
    <dataField name="YCLApp Sessions" fld="22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1"/>
          </reference>
          <reference field="27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27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15C0D-086B-4ADD-A37D-A48EF2EBEDF6}" name="PivotTable20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2">
  <location ref="M4:P5" firstHeaderRow="0" firstDataRow="1" firstDataCol="0" rowPageCount="2" colPageCount="1"/>
  <pivotFields count="28">
    <pivotField numFmtId="49" showAll="0"/>
    <pivotField axis="axisPage" multipleItemSelectionAllowed="1" showAll="0">
      <items count="25">
        <item m="1" x="12"/>
        <item m="1" x="21"/>
        <item m="1" x="16"/>
        <item m="1" x="13"/>
        <item m="1" x="22"/>
        <item m="1" x="23"/>
        <item m="1" x="14"/>
        <item m="1" x="20"/>
        <item m="1" x="19"/>
        <item m="1" x="18"/>
        <item m="1" x="15"/>
        <item m="1" x="17"/>
        <item h="1" x="0"/>
        <item h="1" x="1"/>
        <item h="1" x="2"/>
        <item h="1" x="3"/>
        <item h="1" x="4"/>
        <item h="1"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axis="axisPage" multipleItemSelectionAllowed="1" showAll="0">
      <items count="4">
        <item h="1" x="1"/>
        <item h="1" x="0"/>
        <item x="2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-1"/>
    <pageField fld="27" hier="-1"/>
  </pageFields>
  <dataFields count="4">
    <dataField name="Website Hits" fld="2" baseField="0" baseItem="0"/>
    <dataField name="Contact Us" fld="20" baseField="0" baseItem="0"/>
    <dataField name="YCLApp Users" fld="21" baseField="0" baseItem="0"/>
    <dataField name="YCLApp Sessions" fld="22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1"/>
          </reference>
          <reference field="27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27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E2432C-B929-4906-8894-B596CD6BBBDB}" name="PivotTable3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D7" firstHeaderRow="0" firstDataRow="1" firstDataCol="1" rowPageCount="2" colPageCount="1"/>
  <pivotFields count="54">
    <pivotField axis="axisPage" showAll="0">
      <items count="25">
        <item m="1" x="22"/>
        <item m="1" x="12"/>
        <item m="1" x="19"/>
        <item m="1" x="15"/>
        <item m="1" x="17"/>
        <item m="1" x="18"/>
        <item m="1" x="23"/>
        <item m="1" x="16"/>
        <item m="1" x="21"/>
        <item m="1" x="14"/>
        <item m="1" x="13"/>
        <item m="1"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multipleItemSelectionAllowed="1" showAll="0">
      <items count="9">
        <item x="1"/>
        <item x="2"/>
        <item x="3"/>
        <item h="1" x="7"/>
        <item h="1" x="5"/>
        <item x="0"/>
        <item x="6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4">
        <item x="0"/>
        <item x="1"/>
        <item m="1" x="2"/>
        <item t="default"/>
      </items>
    </pivotField>
  </pivotFields>
  <rowFields count="1">
    <field x="5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item="12" hier="-1"/>
    <pageField fld="1" hier="-1"/>
  </pageFields>
  <dataFields count="3">
    <dataField name="Sum of I22: TOTAL # TAKE &amp; MAKES and OTHER PASSIVE PROGRAM PARTICIPANTS_x000a_" fld="48" baseField="0" baseItem="0"/>
    <dataField name="Sum of Outreach Attendance (YCL Internal)" fld="47" baseField="0" baseItem="0"/>
    <dataField name="Sum of I21: NUMBER OF OUTREACH ACTIVITIES Conducted" fld="46" baseField="0" baseItem="0"/>
  </dataFields>
  <formats count="3">
    <format dxfId="60">
      <pivotArea outline="0" collapsedLevelsAreSubtotals="1" fieldPosition="0"/>
    </format>
    <format dxfId="59">
      <pivotArea dataOnly="0" labelOnly="1" outline="0" fieldPosition="0">
        <references count="1">
          <reference field="0" count="0"/>
        </references>
      </pivotArea>
    </format>
    <format dxfId="5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69426-E6CC-4A69-9A5A-557FDAB918A0}" name="PivotTable4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4:F17" firstHeaderRow="0" firstDataRow="1" firstDataCol="1" rowPageCount="2" colPageCount="1"/>
  <pivotFields count="54">
    <pivotField axis="axisPage" showAll="0">
      <items count="25">
        <item m="1" x="22"/>
        <item m="1" x="12"/>
        <item m="1" x="19"/>
        <item m="1" x="15"/>
        <item m="1" x="17"/>
        <item m="1" x="18"/>
        <item m="1" x="23"/>
        <item m="1" x="16"/>
        <item m="1" x="21"/>
        <item m="1" x="14"/>
        <item m="1" x="13"/>
        <item m="1"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multipleItemSelectionAllowed="1" showAll="0">
      <items count="9">
        <item h="1" x="1"/>
        <item h="1" x="2"/>
        <item h="1" x="3"/>
        <item x="7"/>
        <item x="5"/>
        <item h="1" x="0"/>
        <item h="1" x="6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axis="axisRow" showAll="0">
      <items count="4">
        <item x="0"/>
        <item x="1"/>
        <item m="1" x="2"/>
        <item t="default"/>
      </items>
    </pivotField>
  </pivotFields>
  <rowFields count="1">
    <field x="53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item="12" hier="-1"/>
    <pageField fld="1" hier="-1"/>
  </pageFields>
  <dataFields count="5">
    <dataField name="Sum of I21: NUMBER OF OUTREACH ACTIVITIES Conducted" fld="46" baseField="0" baseItem="0"/>
    <dataField name="Sum of Outreach Attendance (YCL Internal)" fld="47" baseField="0" baseItem="0"/>
    <dataField name="Sum of I22: TOTAL # TAKE &amp; MAKES and OTHER PASSIVE PROGRAM PARTICIPANTS_x000a_" fld="48" baseField="0" baseItem="0"/>
    <dataField name="Sum of I23: NUMBER OF STAFF TAKING TRAINING" fld="49" baseField="0" baseItem="0"/>
    <dataField name="Sum of I24: NUMBER OF HOURS STAFF ATTENDED TRAINING" fld="5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44E8C-7EDA-4E2D-A37E-43ECE1C844C4}" name="PivotTable2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2">
  <location ref="A13:C16" firstHeaderRow="0" firstDataRow="1" firstDataCol="1" rowPageCount="1" colPageCount="1"/>
  <pivotFields count="28">
    <pivotField numFmtId="49" showAll="0"/>
    <pivotField axis="axisPage" showAll="0">
      <items count="25">
        <item m="1" x="12"/>
        <item m="1" x="21"/>
        <item m="1" x="16"/>
        <item m="1" x="13"/>
        <item m="1" x="22"/>
        <item m="1" x="23"/>
        <item m="1" x="14"/>
        <item m="1" x="20"/>
        <item m="1" x="19"/>
        <item m="1" x="18"/>
        <item m="1" x="15"/>
        <item m="1"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1"/>
        <item x="0"/>
        <item x="2"/>
        <item t="default"/>
      </items>
    </pivotField>
  </pivotFields>
  <rowFields count="1">
    <field x="27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20" hier="-1"/>
  </pageFields>
  <dataFields count="2">
    <dataField name="YouTube -- Views" fld="17" baseField="0" baseItem="0"/>
    <dataField name="Youtube -- Subscribers" fld="16" baseField="0" baseItem="0"/>
  </dataFields>
  <chartFormats count="2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1"/>
          </reference>
          <reference field="27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1"/>
          </reference>
          <reference field="27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1"/>
          </reference>
          <reference field="27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1"/>
          </reference>
          <reference field="27" count="1" selected="0">
            <x v="1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1"/>
          </reference>
          <reference field="27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1"/>
          </reference>
          <reference field="27" count="1" selected="0">
            <x v="1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1"/>
          </reference>
          <reference field="27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1"/>
          </reference>
          <reference field="27" count="1" selected="0">
            <x v="1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1"/>
          </reference>
          <reference field="27" count="1" selected="0">
            <x v="0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1"/>
          </reference>
          <reference field="27" count="1" selected="0">
            <x v="1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7">
      <pivotArea type="data" outline="0" fieldPosition="0">
        <references count="2">
          <reference field="4294967294" count="1" selected="0">
            <x v="1"/>
          </reference>
          <reference field="27" count="1" selected="0">
            <x v="1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1"/>
          </reference>
          <reference field="27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43C97-9C5C-4C74-A8BC-70E121F9C990}" name="PivotTable1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9">
  <location ref="A3:C6" firstHeaderRow="0" firstDataRow="1" firstDataCol="1" rowPageCount="1" colPageCount="1"/>
  <pivotFields count="28">
    <pivotField numFmtId="49" showAll="0"/>
    <pivotField axis="axisPage" showAll="0">
      <items count="25">
        <item m="1" x="12"/>
        <item m="1" x="21"/>
        <item m="1" x="16"/>
        <item m="1" x="13"/>
        <item m="1" x="22"/>
        <item m="1" x="23"/>
        <item m="1" x="14"/>
        <item m="1" x="20"/>
        <item m="1" x="19"/>
        <item m="1" x="18"/>
        <item m="1" x="15"/>
        <item m="1"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>
      <items count="4">
        <item h="1" x="1"/>
        <item x="0"/>
        <item x="2"/>
        <item t="default"/>
      </items>
    </pivotField>
  </pivotFields>
  <rowFields count="1">
    <field x="27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20" hier="-1"/>
  </pageFields>
  <dataFields count="2">
    <dataField name="Instragram - Subscriptions" fld="24" baseField="0" baseItem="0"/>
    <dataField name="Facebook - Followers" fld="23" baseField="0" baseItem="0"/>
  </dataFields>
  <chartFormats count="6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EB3F8-327E-4B9A-AAF0-0B3767082BE6}" name="PivotTable22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9">
  <location ref="M4:N5" firstHeaderRow="0" firstDataRow="1" firstDataCol="0" rowPageCount="2" colPageCount="1"/>
  <pivotFields count="28">
    <pivotField numFmtId="49" showAll="0"/>
    <pivotField axis="axisPage" multipleItemSelectionAllowed="1" showAll="0">
      <items count="25">
        <item m="1" x="12"/>
        <item m="1" x="21"/>
        <item m="1" x="16"/>
        <item m="1" x="13"/>
        <item m="1" x="22"/>
        <item m="1" x="23"/>
        <item m="1" x="14"/>
        <item m="1" x="20"/>
        <item m="1" x="19"/>
        <item m="1" x="18"/>
        <item m="1" x="15"/>
        <item m="1" x="17"/>
        <item h="1" x="0"/>
        <item h="1" x="1"/>
        <item h="1" x="2"/>
        <item h="1" x="3"/>
        <item h="1" x="4"/>
        <item h="1"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Page" multipleItemSelectionAllowed="1" showAll="0">
      <items count="4">
        <item h="1" x="1"/>
        <item h="1" x="0"/>
        <item x="2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2">
    <pageField fld="1" hier="-1"/>
    <pageField fld="27" hier="-1"/>
  </pageFields>
  <dataFields count="2">
    <dataField name="Instragram - Subscriptions" fld="24" baseField="0" baseItem="0"/>
    <dataField name="Facebook - Followers" fld="23" baseField="0" baseItem="0"/>
  </dataFields>
  <chartFormats count="6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4326E4-0A13-47EF-A1EE-FBB1943584B0}" name="PivotTable21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9">
  <location ref="J4:K5" firstHeaderRow="0" firstDataRow="1" firstDataCol="0" rowPageCount="2" colPageCount="1"/>
  <pivotFields count="28">
    <pivotField numFmtId="49" showAll="0"/>
    <pivotField axis="axisPage" multipleItemSelectionAllowed="1" showAll="0">
      <items count="25">
        <item m="1" x="12"/>
        <item m="1" x="21"/>
        <item m="1" x="16"/>
        <item m="1" x="13"/>
        <item m="1" x="22"/>
        <item m="1" x="23"/>
        <item m="1" x="14"/>
        <item m="1" x="20"/>
        <item m="1" x="19"/>
        <item m="1" x="18"/>
        <item m="1" x="15"/>
        <item m="1" x="17"/>
        <item x="0"/>
        <item x="1"/>
        <item x="2"/>
        <item x="3"/>
        <item x="4"/>
        <item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2">
    <pageField fld="1" hier="-1"/>
    <pageField fld="27" hier="-1"/>
  </pageFields>
  <dataFields count="2">
    <dataField name="Instragram - Subscriptions" fld="24" baseField="0" baseItem="0"/>
    <dataField name="Facebook - Followers" fld="23" baseField="0" baseItem="0"/>
  </dataFields>
  <chartFormats count="6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1A1421-C448-4E75-BE00-E400CC72F70A}" name="PivotTable24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3">
  <location ref="G4:J5" firstHeaderRow="0" firstDataRow="1" firstDataCol="0" rowPageCount="2" colPageCount="1"/>
  <pivotFields count="57">
    <pivotField numFmtId="1" showAll="0"/>
    <pivotField axis="axisPage" multipleItemSelectionAllowed="1" showAll="0">
      <items count="13">
        <item x="6"/>
        <item x="7"/>
        <item x="8"/>
        <item x="9"/>
        <item x="10"/>
        <item x="11"/>
        <item h="1" x="0"/>
        <item h="1" x="1"/>
        <item h="1" x="2"/>
        <item h="1" x="3"/>
        <item h="1" x="4"/>
        <item h="1" x="5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-1"/>
    <pageField fld="54" hier="-1"/>
  </pageFields>
  <dataFields count="4">
    <dataField name="Monthly PC Reservations" fld="6" baseField="0" baseItem="0"/>
    <dataField name="WiFi -- Unique Sessions" fld="7" baseField="0" baseItem="0"/>
    <dataField name="Hotspots - Circulation" fld="10" baseField="0" baseItem="0"/>
    <dataField name="Monthly Total Prints" fld="16" baseField="0" baseItem="0"/>
  </dataFields>
  <chartFormats count="1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1"/>
          </reference>
          <reference field="5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12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01393F-78CA-471D-AA79-5BC314A71BFF}" name="PivotTable10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3">
  <location ref="A3:E6" firstHeaderRow="0" firstDataRow="1" firstDataCol="1" rowPageCount="1" colPageCount="1"/>
  <pivotFields count="57">
    <pivotField numFmtId="1" showAll="0"/>
    <pivotField axis="axisPage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0"/>
        <item x="1"/>
        <item x="2"/>
        <item t="default"/>
      </items>
    </pivotField>
    <pivotField showAll="0"/>
    <pivotField dragToRow="0" dragToCol="0" dragToPage="0" showAll="0" defaultSubtotal="0"/>
  </pivotFields>
  <rowFields count="1">
    <field x="54"/>
  </rowFields>
  <rowItems count="3"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item="8" hier="-1"/>
  </pageFields>
  <dataFields count="4">
    <dataField name="Monthly PC Reservations" fld="6" baseField="0" baseItem="0"/>
    <dataField name="WiFi -- Unique Sessions" fld="7" baseField="0" baseItem="0"/>
    <dataField name="Hotspots - Circulation" fld="10" baseField="0" baseItem="0"/>
    <dataField name="Monthly Total Prints" fld="16" baseField="0" baseItem="0"/>
  </dataFields>
  <chartFormats count="1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1"/>
          </reference>
          <reference field="5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12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9C607-B8AA-470E-81D0-187EAB4B0945}" name="PivotTable25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3">
  <location ref="L4:O5" firstHeaderRow="0" firstDataRow="1" firstDataCol="0" rowPageCount="2" colPageCount="1"/>
  <pivotFields count="57">
    <pivotField numFmtId="1" showAll="0"/>
    <pivotField axis="axisPage" multipleItemSelectionAllowed="1" showAll="0">
      <items count="13">
        <item h="1" x="6"/>
        <item h="1" x="7"/>
        <item h="1" x="8"/>
        <item h="1" x="9"/>
        <item h="1" x="10"/>
        <item h="1" x="11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h="1" x="1"/>
        <item x="2"/>
        <item t="default"/>
      </items>
    </pivotField>
    <pivotField showAll="0"/>
    <pivotField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-1"/>
    <pageField fld="54" hier="-1"/>
  </pageFields>
  <dataFields count="4">
    <dataField name="Monthly PC Reservations" fld="6" baseField="0" baseItem="0"/>
    <dataField name="WiFi -- Unique Sessions" fld="7" baseField="0" baseItem="0"/>
    <dataField name="Hotspots - Circulation" fld="10" baseField="0" baseItem="0"/>
    <dataField name="Monthly Total Prints" fld="16" baseField="0" baseItem="0"/>
  </dataFields>
  <chartFormats count="1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1"/>
          </reference>
          <reference field="5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12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D321E-2A99-419A-9A3B-B999EDED7A0B}" name="PivotTable27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3:E5" firstHeaderRow="1" firstDataRow="1" firstDataCol="1" rowPageCount="1" colPageCount="1"/>
  <pivotFields count="57">
    <pivotField numFmtId="1" showAll="0"/>
    <pivotField axis="axisPage" multipleItemSelectionAllowed="1" showAll="0">
      <items count="13">
        <item h="1" x="6"/>
        <item h="1" x="7"/>
        <item h="1" x="8"/>
        <item h="1" x="9"/>
        <item h="1" x="10"/>
        <item h="1" x="11"/>
        <item x="0"/>
        <item x="1"/>
        <item x="2"/>
        <item x="3"/>
        <item x="4"/>
        <item x="5"/>
        <item t="default"/>
      </items>
    </pivotField>
    <pivotField showAll="0">
      <items count="10">
        <item x="1"/>
        <item x="2"/>
        <item x="3"/>
        <item x="7"/>
        <item x="5"/>
        <item x="0"/>
        <item x="8"/>
        <item x="6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0"/>
        <item x="1"/>
        <item h="1" x="2"/>
        <item t="default"/>
      </items>
    </pivotField>
    <pivotField showAll="0"/>
    <pivotField dragToRow="0" dragToCol="0" dragToPage="0" showAll="0" defaultSubtotal="0"/>
  </pivotFields>
  <rowFields count="1">
    <field x="54"/>
  </rowFields>
  <rowItems count="2">
    <i>
      <x v="1"/>
    </i>
    <i t="grand">
      <x/>
    </i>
  </rowItems>
  <colItems count="1">
    <i/>
  </colItems>
  <pageFields count="1">
    <pageField fld="1" hier="-1"/>
  </pageFields>
  <dataFields count="1">
    <dataField name="Total Hotspots Circulation" fld="1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948D6-EC9A-47E6-AEE6-034C5384D893}" name="PivotTable1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5" firstHeaderRow="1" firstDataRow="1" firstDataCol="1" rowPageCount="1" colPageCount="1"/>
  <pivotFields count="57">
    <pivotField numFmtId="1" showAll="0"/>
    <pivotField axis="axisPage" multipleItemSelectionAllowed="1" showAll="0">
      <items count="13">
        <item x="6"/>
        <item x="7"/>
        <item x="8"/>
        <item x="9"/>
        <item x="10"/>
        <item x="11"/>
        <item h="1" x="0"/>
        <item h="1" x="1"/>
        <item h="1" x="2"/>
        <item h="1" x="3"/>
        <item h="1" x="4"/>
        <item h="1" x="5"/>
        <item t="default"/>
      </items>
    </pivotField>
    <pivotField showAll="0">
      <items count="10">
        <item x="1"/>
        <item x="2"/>
        <item x="3"/>
        <item x="7"/>
        <item x="5"/>
        <item x="0"/>
        <item x="8"/>
        <item x="6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  <pivotField showAll="0"/>
    <pivotField dragToRow="0" dragToCol="0" dragToPage="0" showAll="0" defaultSubtotal="0"/>
  </pivotFields>
  <rowFields count="1">
    <field x="54"/>
  </rowFields>
  <rowItems count="2">
    <i>
      <x/>
    </i>
    <i t="grand">
      <x/>
    </i>
  </rowItems>
  <colItems count="1">
    <i/>
  </colItems>
  <pageFields count="1">
    <pageField fld="1" hier="-1"/>
  </pageFields>
  <dataFields count="1">
    <dataField name="Total Hotspots Circulation" fld="1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C452E-ECA0-412F-87A2-93CCD963E5D6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C7" firstHeaderRow="0" firstDataRow="1" firstDataCol="1" rowPageCount="1" colPageCount="1"/>
  <pivotFields count="55">
    <pivotField axis="axisPage" showAll="0">
      <items count="25">
        <item m="1" x="23"/>
        <item m="1" x="15"/>
        <item m="1" x="17"/>
        <item m="1" x="16"/>
        <item m="1" x="18"/>
        <item m="1" x="20"/>
        <item m="1" x="19"/>
        <item m="1" x="14"/>
        <item m="1" x="13"/>
        <item m="1" x="21"/>
        <item m="1" x="22"/>
        <item m="1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>
      <items count="4">
        <item x="0"/>
        <item x="1"/>
        <item m="1" x="2"/>
        <item t="default"/>
      </items>
    </pivotField>
    <pivotField showAll="0"/>
  </pivotFields>
  <rowFields count="1">
    <field x="5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2" hier="-1"/>
  </pageFields>
  <dataFields count="2">
    <dataField name="Sum of I23: NUMBER OF STAFF TAKING TRAINING" fld="49" baseField="0" baseItem="0"/>
    <dataField name="Sum of I24: NUMBER OF HOURS STAFF ATTENDED TRAINING" fld="5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95EE9-0EAC-4971-81F3-D1EE7054F1CC}" name="PivotTable1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1:C40" firstHeaderRow="0" firstDataRow="1" firstDataCol="1"/>
  <pivotFields count="57">
    <pivotField showAll="0"/>
    <pivotField axis="axisRow" showAll="0">
      <items count="26">
        <item h="1" m="1" x="24"/>
        <item h="1" m="1" x="16"/>
        <item h="1" m="1" x="18"/>
        <item h="1" m="1" x="17"/>
        <item h="1" m="1" x="19"/>
        <item h="1" m="1" x="21"/>
        <item h="1" m="1" x="20"/>
        <item h="1" m="1" x="15"/>
        <item h="1" m="1" x="14"/>
        <item h="1" m="1" x="22"/>
        <item h="1" m="1" x="23"/>
        <item h="1" m="1" x="13"/>
        <item x="4"/>
        <item x="3"/>
        <item x="6"/>
        <item x="0"/>
        <item x="7"/>
        <item x="11"/>
        <item x="5"/>
        <item x="1"/>
        <item x="10"/>
        <item x="9"/>
        <item x="8"/>
        <item x="2"/>
        <item h="1" x="12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ragToRow="0" dragToCol="0" dragToPage="0" showAll="0" defaultSubtotal="0"/>
  </pivotFields>
  <rowFields count="2">
    <field x="1"/>
    <field x="54"/>
  </rowFields>
  <rowItems count="39">
    <i>
      <x v="12"/>
    </i>
    <i r="1">
      <x/>
    </i>
    <i r="1">
      <x v="1"/>
    </i>
    <i r="1">
      <x v="2"/>
    </i>
    <i>
      <x v="13"/>
    </i>
    <i r="1">
      <x/>
    </i>
    <i r="1">
      <x v="1"/>
    </i>
    <i r="1">
      <x v="2"/>
    </i>
    <i>
      <x v="14"/>
    </i>
    <i r="1">
      <x/>
    </i>
    <i r="1">
      <x v="1"/>
    </i>
    <i>
      <x v="15"/>
    </i>
    <i r="1">
      <x/>
    </i>
    <i r="1">
      <x v="1"/>
    </i>
    <i>
      <x v="16"/>
    </i>
    <i r="1">
      <x/>
    </i>
    <i r="1">
      <x v="1"/>
    </i>
    <i>
      <x v="17"/>
    </i>
    <i r="1">
      <x/>
    </i>
    <i r="1">
      <x v="1"/>
    </i>
    <i>
      <x v="18"/>
    </i>
    <i r="1">
      <x/>
    </i>
    <i r="1">
      <x v="1"/>
    </i>
    <i>
      <x v="19"/>
    </i>
    <i r="1">
      <x/>
    </i>
    <i r="1">
      <x v="1"/>
    </i>
    <i>
      <x v="20"/>
    </i>
    <i r="1">
      <x/>
    </i>
    <i r="1">
      <x v="1"/>
    </i>
    <i>
      <x v="21"/>
    </i>
    <i r="1">
      <x/>
    </i>
    <i r="1">
      <x v="1"/>
    </i>
    <i>
      <x v="22"/>
    </i>
    <i r="1">
      <x/>
    </i>
    <i r="1">
      <x v="1"/>
    </i>
    <i>
      <x v="23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w Library Card Registrations, Adult (includes YA)" fld="3" baseField="0" baseItem="0"/>
    <dataField name="Sum of New Library Card Registrations, Juvenile" fld="4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3AA1A-A89C-4261-9A1F-3E2F6234ED4E}" name="PivotTable2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1">
  <location ref="A33:B60" firstHeaderRow="1" firstDataRow="1" firstDataCol="1"/>
  <pivotFields count="57">
    <pivotField showAll="0"/>
    <pivotField axis="axisRow" showAll="0">
      <items count="26">
        <item m="1" x="24"/>
        <item m="1" x="16"/>
        <item m="1" x="18"/>
        <item m="1" x="17"/>
        <item m="1" x="19"/>
        <item m="1" x="21"/>
        <item m="1" x="20"/>
        <item m="1" x="15"/>
        <item m="1" x="14"/>
        <item m="1" x="22"/>
        <item m="1" x="23"/>
        <item m="1" x="13"/>
        <item x="4"/>
        <item x="3"/>
        <item x="6"/>
        <item x="0"/>
        <item x="7"/>
        <item x="11"/>
        <item x="5"/>
        <item x="1"/>
        <item x="10"/>
        <item x="9"/>
        <item x="8"/>
        <item x="2"/>
        <item x="12"/>
        <item t="default"/>
      </items>
    </pivotField>
    <pivotField showAll="0"/>
    <pivotField showAll="0"/>
    <pivotField showAll="0">
      <items count="85">
        <item x="57"/>
        <item x="52"/>
        <item x="83"/>
        <item x="61"/>
        <item x="60"/>
        <item x="55"/>
        <item x="78"/>
        <item x="73"/>
        <item x="62"/>
        <item x="70"/>
        <item x="75"/>
        <item x="51"/>
        <item x="69"/>
        <item x="58"/>
        <item x="49"/>
        <item x="65"/>
        <item x="26"/>
        <item x="16"/>
        <item x="67"/>
        <item x="42"/>
        <item x="21"/>
        <item x="10"/>
        <item x="28"/>
        <item x="79"/>
        <item x="81"/>
        <item x="41"/>
        <item x="35"/>
        <item x="66"/>
        <item x="53"/>
        <item x="17"/>
        <item x="37"/>
        <item x="13"/>
        <item x="56"/>
        <item x="6"/>
        <item x="71"/>
        <item x="29"/>
        <item x="18"/>
        <item x="54"/>
        <item x="32"/>
        <item x="8"/>
        <item x="77"/>
        <item x="1"/>
        <item x="3"/>
        <item x="74"/>
        <item x="33"/>
        <item x="23"/>
        <item x="24"/>
        <item x="63"/>
        <item x="80"/>
        <item x="82"/>
        <item x="68"/>
        <item x="48"/>
        <item x="64"/>
        <item x="44"/>
        <item x="72"/>
        <item x="50"/>
        <item x="12"/>
        <item x="9"/>
        <item x="76"/>
        <item x="46"/>
        <item x="59"/>
        <item x="7"/>
        <item x="39"/>
        <item x="27"/>
        <item x="40"/>
        <item x="20"/>
        <item x="5"/>
        <item x="47"/>
        <item x="22"/>
        <item x="14"/>
        <item x="31"/>
        <item x="0"/>
        <item x="36"/>
        <item x="45"/>
        <item x="19"/>
        <item x="15"/>
        <item x="43"/>
        <item x="38"/>
        <item x="30"/>
        <item x="4"/>
        <item x="11"/>
        <item x="25"/>
        <item x="3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h="1" x="2"/>
        <item h="1" x="3"/>
        <item t="default"/>
      </items>
    </pivotField>
    <pivotField showAll="0"/>
    <pivotField dataField="1" dragToRow="0" dragToCol="0" dragToPage="0" showAll="0" defaultSubtotal="0"/>
  </pivotFields>
  <rowFields count="2">
    <field x="54"/>
    <field x="1"/>
  </rowFields>
  <rowItems count="27">
    <i>
      <x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Items count="1">
    <i/>
  </colItems>
  <dataFields count="1">
    <dataField name="Sum of Total" fld="56" baseField="0" baseItem="0"/>
  </dataFields>
  <formats count="1">
    <format dxfId="0">
      <pivotArea field="54" type="button" dataOnly="0" labelOnly="1" outline="0" axis="axisRow" fieldPosition="0"/>
    </format>
  </formats>
  <chartFormats count="1"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C0DD55-8B37-49E1-8D79-78D4E67D9220}" name="PivotTable3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77:B104" firstHeaderRow="1" firstDataRow="1" firstDataCol="1"/>
  <pivotFields count="57">
    <pivotField showAll="0"/>
    <pivotField axis="axisRow" showAll="0">
      <items count="26">
        <item m="1" x="24"/>
        <item m="1" x="16"/>
        <item m="1" x="18"/>
        <item m="1" x="17"/>
        <item m="1" x="19"/>
        <item m="1" x="21"/>
        <item m="1" x="20"/>
        <item m="1" x="15"/>
        <item m="1" x="14"/>
        <item m="1" x="22"/>
        <item m="1" x="23"/>
        <item m="1" x="13"/>
        <item x="4"/>
        <item x="3"/>
        <item x="6"/>
        <item x="0"/>
        <item x="7"/>
        <item x="11"/>
        <item x="5"/>
        <item x="1"/>
        <item x="10"/>
        <item x="9"/>
        <item x="8"/>
        <item x="2"/>
        <item x="12"/>
        <item t="default"/>
      </items>
    </pivotField>
    <pivotField showAll="0"/>
    <pivotField showAll="0"/>
    <pivotField showAll="0"/>
    <pivotField showAll="0"/>
    <pivotField dataField="1" showAll="0">
      <items count="92">
        <item x="62"/>
        <item x="21"/>
        <item x="13"/>
        <item x="39"/>
        <item x="48"/>
        <item x="35"/>
        <item x="84"/>
        <item x="44"/>
        <item x="59"/>
        <item x="74"/>
        <item x="37"/>
        <item x="3"/>
        <item x="87"/>
        <item x="17"/>
        <item x="9"/>
        <item x="58"/>
        <item x="53"/>
        <item x="15"/>
        <item x="28"/>
        <item x="73"/>
        <item x="1"/>
        <item x="19"/>
        <item x="30"/>
        <item x="70"/>
        <item x="56"/>
        <item x="33"/>
        <item x="90"/>
        <item x="65"/>
        <item x="46"/>
        <item x="78"/>
        <item x="42"/>
        <item x="81"/>
        <item x="24"/>
        <item x="51"/>
        <item x="40"/>
        <item x="14"/>
        <item x="7"/>
        <item x="4"/>
        <item x="22"/>
        <item x="18"/>
        <item x="85"/>
        <item x="88"/>
        <item x="60"/>
        <item x="49"/>
        <item x="76"/>
        <item x="72"/>
        <item x="36"/>
        <item x="31"/>
        <item x="68"/>
        <item x="54"/>
        <item x="80"/>
        <item x="55"/>
        <item x="38"/>
        <item x="10"/>
        <item x="26"/>
        <item x="12"/>
        <item x="45"/>
        <item x="77"/>
        <item x="47"/>
        <item x="20"/>
        <item x="16"/>
        <item x="57"/>
        <item x="43"/>
        <item x="83"/>
        <item x="34"/>
        <item x="8"/>
        <item x="71"/>
        <item x="66"/>
        <item x="61"/>
        <item x="86"/>
        <item x="2"/>
        <item x="75"/>
        <item x="29"/>
        <item x="89"/>
        <item x="52"/>
        <item x="79"/>
        <item x="25"/>
        <item x="11"/>
        <item x="64"/>
        <item x="63"/>
        <item x="82"/>
        <item x="6"/>
        <item x="50"/>
        <item x="41"/>
        <item x="32"/>
        <item x="0"/>
        <item x="69"/>
        <item x="23"/>
        <item x="27"/>
        <item x="67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h="1" x="2"/>
        <item h="1" x="3"/>
        <item t="default"/>
      </items>
    </pivotField>
    <pivotField showAll="0"/>
    <pivotField dragToRow="0" dragToCol="0" dragToPage="0" showAll="0" defaultSubtotal="0"/>
  </pivotFields>
  <rowFields count="2">
    <field x="54"/>
    <field x="1"/>
  </rowFields>
  <rowItems count="27">
    <i>
      <x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Items count="1">
    <i/>
  </colItems>
  <dataFields count="1">
    <dataField name="Sum of PC Reservations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325F7E-E424-4564-96E6-0A7D3D8D1699}" name="PivotTable5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142:B156" firstHeaderRow="1" firstDataRow="1" firstDataCol="1"/>
  <pivotFields count="57">
    <pivotField showAll="0"/>
    <pivotField axis="axisRow" showAll="0">
      <items count="26">
        <item m="1" x="24"/>
        <item m="1" x="16"/>
        <item m="1" x="18"/>
        <item m="1" x="17"/>
        <item m="1" x="19"/>
        <item m="1" x="21"/>
        <item m="1" x="20"/>
        <item m="1" x="15"/>
        <item m="1" x="14"/>
        <item m="1" x="22"/>
        <item m="1" x="23"/>
        <item m="1" x="13"/>
        <item x="4"/>
        <item x="3"/>
        <item x="6"/>
        <item x="0"/>
        <item x="7"/>
        <item x="11"/>
        <item x="5"/>
        <item x="1"/>
        <item x="10"/>
        <item x="9"/>
        <item x="8"/>
        <item x="2"/>
        <item x="1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h="1" x="0"/>
        <item x="1"/>
        <item h="1" x="2"/>
        <item h="1" x="3"/>
        <item t="default"/>
      </items>
    </pivotField>
    <pivotField showAll="0"/>
    <pivotField dragToRow="0" dragToCol="0" dragToPage="0" showAll="0" defaultSubtotal="0"/>
  </pivotFields>
  <rowFields count="2">
    <field x="54"/>
    <field x="1"/>
  </rowFields>
  <rowItems count="14">
    <i>
      <x v="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Items count="1">
    <i/>
  </colItems>
  <dataFields count="1">
    <dataField name="Sum of WiFi - Unique Sessions" fld="7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EB3D0-6E79-4CDF-8FDA-2098801AC28E}" name="PivotTable8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232:F259" firstHeaderRow="0" firstDataRow="1" firstDataCol="1"/>
  <pivotFields count="57">
    <pivotField showAll="0"/>
    <pivotField axis="axisRow" showAll="0">
      <items count="26">
        <item m="1" x="24"/>
        <item m="1" x="16"/>
        <item m="1" x="18"/>
        <item m="1" x="17"/>
        <item m="1" x="19"/>
        <item m="1" x="21"/>
        <item m="1" x="20"/>
        <item m="1" x="15"/>
        <item m="1" x="14"/>
        <item m="1" x="22"/>
        <item m="1" x="23"/>
        <item m="1" x="13"/>
        <item x="4"/>
        <item x="3"/>
        <item x="6"/>
        <item x="0"/>
        <item x="7"/>
        <item x="11"/>
        <item x="5"/>
        <item x="1"/>
        <item x="10"/>
        <item x="9"/>
        <item x="8"/>
        <item x="2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h="1" x="2"/>
        <item h="1" x="3"/>
        <item t="default"/>
      </items>
    </pivotField>
    <pivotField showAll="0"/>
    <pivotField dragToRow="0" dragToCol="0" dragToPage="0" showAll="0" defaultSubtotal="0"/>
  </pivotFields>
  <rowFields count="2">
    <field x="54"/>
    <field x="1"/>
  </rowFields>
  <rowItems count="27">
    <i>
      <x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ONSITE Attendance 0-5" fld="22" baseField="0" baseItem="0"/>
    <dataField name="Sum of ONSITE Attendance 6-11" fld="23" baseField="0" baseItem="0"/>
    <dataField name="Sum of ONSITE Attendance 12-18" fld="24" baseField="0" baseItem="0"/>
    <dataField name="Sum of ONSITE Attendance 19+" fld="25" baseField="0" baseItem="0"/>
    <dataField name="Sum of ONSITE Attendance General Interest" fld="26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98C25-29C6-4BAA-860C-093519B4374F}" name="PivotTable1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:B28" firstHeaderRow="1" firstDataRow="1" firstDataCol="1"/>
  <pivotFields count="57">
    <pivotField showAll="0"/>
    <pivotField axis="axisRow" showAll="0">
      <items count="26">
        <item m="1" x="24"/>
        <item m="1" x="16"/>
        <item m="1" x="18"/>
        <item m="1" x="17"/>
        <item m="1" x="19"/>
        <item m="1" x="21"/>
        <item m="1" x="20"/>
        <item m="1" x="15"/>
        <item m="1" x="14"/>
        <item m="1" x="22"/>
        <item m="1" x="23"/>
        <item m="1" x="13"/>
        <item x="4"/>
        <item x="3"/>
        <item x="6"/>
        <item x="0"/>
        <item x="7"/>
        <item x="11"/>
        <item x="5"/>
        <item x="1"/>
        <item x="10"/>
        <item x="9"/>
        <item x="8"/>
        <item x="2"/>
        <item x="1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h="1" x="2"/>
        <item h="1" x="3"/>
        <item t="default"/>
      </items>
    </pivotField>
    <pivotField showAll="0"/>
    <pivotField dragToRow="0" dragToCol="0" dragToPage="0" showAll="0" defaultSubtotal="0"/>
  </pivotFields>
  <rowFields count="2">
    <field x="54"/>
    <field x="1"/>
  </rowFields>
  <rowItems count="27">
    <i>
      <x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Items count="1">
    <i/>
  </colItems>
  <dataFields count="1">
    <dataField name="Sum of Gate Count" fld="5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BEC0A5-4604-404B-AA92-D7AFB814B646}" name="PivotTable6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166:B193" firstHeaderRow="1" firstDataRow="1" firstDataCol="1"/>
  <pivotFields count="57">
    <pivotField showAll="0"/>
    <pivotField axis="axisRow" showAll="0">
      <items count="26">
        <item m="1" x="24"/>
        <item m="1" x="16"/>
        <item m="1" x="18"/>
        <item m="1" x="17"/>
        <item m="1" x="19"/>
        <item m="1" x="21"/>
        <item m="1" x="20"/>
        <item m="1" x="15"/>
        <item m="1" x="14"/>
        <item m="1" x="22"/>
        <item m="1" x="23"/>
        <item m="1" x="13"/>
        <item x="4"/>
        <item x="3"/>
        <item x="6"/>
        <item x="0"/>
        <item x="7"/>
        <item x="11"/>
        <item x="5"/>
        <item x="1"/>
        <item x="10"/>
        <item x="9"/>
        <item x="8"/>
        <item x="2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h="1" x="2"/>
        <item h="1" x="3"/>
        <item t="default"/>
      </items>
    </pivotField>
    <pivotField showAll="0"/>
    <pivotField dragToRow="0" dragToCol="0" dragToPage="0" showAll="0" defaultSubtotal="0"/>
  </pivotFields>
  <rowFields count="2">
    <field x="54"/>
    <field x="1"/>
  </rowFields>
  <rowItems count="27">
    <i>
      <x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Items count="1">
    <i/>
  </colItems>
  <dataFields count="1">
    <dataField name="Sum of Total Prints per Month" fld="1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041E7-D49E-4919-8547-9D02DAF20FC8}" name="PivotTable4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109:B136" firstHeaderRow="1" firstDataRow="1" firstDataCol="1"/>
  <pivotFields count="57">
    <pivotField showAll="0"/>
    <pivotField axis="axisRow" showAll="0">
      <items count="26">
        <item m="1" x="24"/>
        <item m="1" x="16"/>
        <item m="1" x="18"/>
        <item m="1" x="17"/>
        <item m="1" x="19"/>
        <item m="1" x="21"/>
        <item m="1" x="20"/>
        <item m="1" x="15"/>
        <item m="1" x="14"/>
        <item m="1" x="22"/>
        <item m="1" x="23"/>
        <item m="1" x="13"/>
        <item x="4"/>
        <item x="3"/>
        <item x="6"/>
        <item x="0"/>
        <item x="7"/>
        <item x="11"/>
        <item x="5"/>
        <item x="1"/>
        <item x="10"/>
        <item x="9"/>
        <item x="8"/>
        <item x="2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h="1" x="2"/>
        <item h="1" x="3"/>
        <item t="default"/>
      </items>
    </pivotField>
    <pivotField showAll="0"/>
    <pivotField dragToRow="0" dragToCol="0" dragToPage="0" showAll="0" defaultSubtotal="0"/>
  </pivotFields>
  <rowFields count="2">
    <field x="54"/>
    <field x="1"/>
  </rowFields>
  <rowItems count="27">
    <i>
      <x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Items count="1">
    <i/>
  </colItems>
  <dataFields count="1">
    <dataField name="Sum of Hotspots Circulation" fld="1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5AF22F-5CBB-4A7E-A0CD-E2D2A1E1E804}" name="PivotTable7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198:F225" firstHeaderRow="0" firstDataRow="1" firstDataCol="1"/>
  <pivotFields count="57">
    <pivotField showAll="0"/>
    <pivotField axis="axisRow" showAll="0">
      <items count="26">
        <item m="1" x="24"/>
        <item m="1" x="16"/>
        <item m="1" x="18"/>
        <item m="1" x="17"/>
        <item m="1" x="19"/>
        <item m="1" x="21"/>
        <item m="1" x="20"/>
        <item m="1" x="15"/>
        <item m="1" x="14"/>
        <item m="1" x="22"/>
        <item m="1" x="23"/>
        <item m="1" x="13"/>
        <item x="4"/>
        <item x="3"/>
        <item x="6"/>
        <item x="0"/>
        <item x="7"/>
        <item x="11"/>
        <item x="5"/>
        <item x="1"/>
        <item x="10"/>
        <item x="9"/>
        <item x="8"/>
        <item x="2"/>
        <item x="12"/>
        <item t="default"/>
      </items>
    </pivotField>
    <pivotField showAll="0">
      <items count="11">
        <item x="1"/>
        <item x="2"/>
        <item x="3"/>
        <item x="7"/>
        <item x="5"/>
        <item x="0"/>
        <item x="8"/>
        <item x="6"/>
        <item x="4"/>
        <item x="9"/>
        <item t="default"/>
      </items>
    </pivotField>
    <pivotField showAll="0"/>
    <pivotField showAll="0"/>
    <pivotField showAll="0">
      <items count="132">
        <item x="84"/>
        <item x="42"/>
        <item x="48"/>
        <item x="17"/>
        <item x="29"/>
        <item x="12"/>
        <item x="71"/>
        <item x="83"/>
        <item x="36"/>
        <item x="53"/>
        <item x="65"/>
        <item x="129"/>
        <item x="5"/>
        <item x="59"/>
        <item x="23"/>
        <item x="89"/>
        <item x="112"/>
        <item x="99"/>
        <item x="109"/>
        <item x="123"/>
        <item x="18"/>
        <item x="50"/>
        <item x="25"/>
        <item x="19"/>
        <item x="38"/>
        <item x="106"/>
        <item x="130"/>
        <item x="61"/>
        <item x="44"/>
        <item x="122"/>
        <item x="77"/>
        <item x="1"/>
        <item x="16"/>
        <item x="52"/>
        <item x="118"/>
        <item x="8"/>
        <item x="55"/>
        <item x="15"/>
        <item x="107"/>
        <item x="32"/>
        <item x="67"/>
        <item x="27"/>
        <item x="88"/>
        <item x="114"/>
        <item x="22"/>
        <item x="80"/>
        <item x="126"/>
        <item x="21"/>
        <item x="86"/>
        <item x="95"/>
        <item x="28"/>
        <item x="63"/>
        <item x="90"/>
        <item x="4"/>
        <item x="10"/>
        <item x="121"/>
        <item x="64"/>
        <item x="11"/>
        <item x="76"/>
        <item x="41"/>
        <item x="40"/>
        <item x="102"/>
        <item x="3"/>
        <item x="74"/>
        <item x="75"/>
        <item x="113"/>
        <item x="46"/>
        <item x="105"/>
        <item x="47"/>
        <item x="116"/>
        <item x="57"/>
        <item x="127"/>
        <item x="110"/>
        <item x="81"/>
        <item x="70"/>
        <item x="117"/>
        <item x="58"/>
        <item x="124"/>
        <item x="35"/>
        <item x="34"/>
        <item x="93"/>
        <item x="98"/>
        <item x="69"/>
        <item x="97"/>
        <item x="111"/>
        <item x="51"/>
        <item x="14"/>
        <item x="9"/>
        <item x="26"/>
        <item x="87"/>
        <item x="62"/>
        <item x="108"/>
        <item x="78"/>
        <item x="56"/>
        <item x="120"/>
        <item x="20"/>
        <item x="85"/>
        <item x="2"/>
        <item x="73"/>
        <item x="82"/>
        <item x="45"/>
        <item x="104"/>
        <item x="13"/>
        <item x="39"/>
        <item x="101"/>
        <item x="68"/>
        <item x="128"/>
        <item x="125"/>
        <item x="49"/>
        <item x="30"/>
        <item x="33"/>
        <item x="115"/>
        <item x="24"/>
        <item x="60"/>
        <item x="96"/>
        <item x="119"/>
        <item x="7"/>
        <item x="91"/>
        <item x="79"/>
        <item x="0"/>
        <item x="72"/>
        <item x="37"/>
        <item x="100"/>
        <item x="54"/>
        <item x="43"/>
        <item x="103"/>
        <item x="66"/>
        <item x="31"/>
        <item x="94"/>
        <item x="9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h="1" x="2"/>
        <item h="1" x="3"/>
        <item t="default"/>
      </items>
    </pivotField>
    <pivotField showAll="0"/>
    <pivotField dragToRow="0" dragToCol="0" dragToPage="0" showAll="0" defaultSubtotal="0"/>
  </pivotFields>
  <rowFields count="2">
    <field x="54"/>
    <field x="1"/>
  </rowFields>
  <rowItems count="27">
    <i>
      <x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I2:  ONSITE Sessions 0-5" fld="17" baseField="0" baseItem="0"/>
    <dataField name="Sum of I3:   ONSITE Sessions 6-11" fld="18" baseField="0" baseItem="0"/>
    <dataField name="Sum of I4: ONSITE Sessions 12-18" fld="19" baseField="0" baseItem="0"/>
    <dataField name="Sum of I5:   ONSITE Sessions 19+" fld="20" baseField="0" baseItem="0"/>
    <dataField name="Sum of I6:  ONSITE Sessions GENERAL INTEREST" fld="21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B08278-0265-4EC7-B9F1-8F037CBBDA43}" name="Table1" displayName="Table1" ref="A1:AY34" totalsRowShown="0" headerRowDxfId="57" dataDxfId="55" headerRowBorderDxfId="56" tableBorderDxfId="54">
  <autoFilter ref="A1:AY34" xr:uid="{0D14F09F-92DE-4EDD-9D51-88DB9E1BA019}"/>
  <tableColumns count="51">
    <tableColumn id="1" xr3:uid="{BFCC7F65-50A6-4A63-B3B2-764736F66BA9}" name="Timestamp" dataDxfId="53"/>
    <tableColumn id="2" xr3:uid="{7CFA87FF-0E2C-4A35-8851-40426072C628}" name="Email Address" dataDxfId="52"/>
    <tableColumn id="3" xr3:uid="{0AC9371B-8A2D-430A-8DB4-EFE9858C55DD}" name="Select Month" dataDxfId="51"/>
    <tableColumn id="4" xr3:uid="{8DAD56B9-C8B5-4180-9F86-C7897335C1AB}" name="Select Branch" dataDxfId="50"/>
    <tableColumn id="5" xr3:uid="{BE753D1E-5F99-465E-BB17-965EEEF2EDB3}" name="&quot;Ask A Librarian&quot;  Questions" dataDxfId="49"/>
    <tableColumn id="6" xr3:uid="{C9A19DE7-799E-4788-9B47-281F50F52131}" name="ABCmouse" dataDxfId="48"/>
    <tableColumn id="7" xr3:uid="{B0B60354-F4CA-4128-B01C-378AE09C835B}" name="Biblioboard Requests" dataDxfId="47"/>
    <tableColumn id="8" xr3:uid="{358767F0-C10A-416B-BBC1-7524570C297B}" name="Biblioboard Sessions" dataDxfId="46"/>
    <tableColumn id="9" xr3:uid="{475C28BC-016C-43A4-A1DA-C0F4038F5BF3}" name="Brainfuse" dataDxfId="45"/>
    <tableColumn id="10" xr3:uid="{AEF16641-7977-4E5D-85BE-0E5AB0DD7487}" name="Data Axle/Reference USA" dataDxfId="44"/>
    <tableColumn id="11" xr3:uid="{32C43917-1316-4C96-BA75-21F8F9E84BF8}" name="Flipster Searches" dataDxfId="43"/>
    <tableColumn id="12" xr3:uid="{44ED0544-3576-4221-8726-6A0400CB9008}" name="Flipster Sessions" dataDxfId="42"/>
    <tableColumn id="13" xr3:uid="{EF1975B9-41F8-4A9A-96E3-D91209E1FD44}" name="Gale eBooks" dataDxfId="41"/>
    <tableColumn id="14" xr3:uid="{926E3E36-B112-468C-8412-A734B60885E9}" name="Gale Udemy" dataDxfId="40"/>
    <tableColumn id="15" xr3:uid="{5D515010-893D-4375-AD31-C54DD34B4FFF}" name="Infobase eBooks" dataDxfId="39"/>
    <tableColumn id="16" xr3:uid="{737FB095-4D0A-4BA1-BE25-CA6671E28534}" name="Infobase: The Mailbox Searches" dataDxfId="38"/>
    <tableColumn id="17" xr3:uid="{6CCD5568-1CE0-401E-965A-49A427ADE6DE}" name="Infobase: The Mailbox Sessions" dataDxfId="37"/>
    <tableColumn id="18" xr3:uid="{B0E9F118-95BB-4E69-8185-99539B8F8FFE}" name="Kanopy Plays" dataDxfId="36"/>
    <tableColumn id="19" xr3:uid="{B61D6FD6-C6C2-4E19-B801-DF962C2A4790}" name="Kanopy Sessions/Views" dataDxfId="35"/>
    <tableColumn id="20" xr3:uid="{AAB09279-4311-48C5-942F-F421834AD37B}" name="Library Aware: Newsletter Page Views" dataDxfId="34"/>
    <tableColumn id="21" xr3:uid="{445ACFD4-390B-45EA-910B-551E1CBEFE7A}" name="Library Aware: Newsletter Subscriptions" dataDxfId="33"/>
    <tableColumn id="22" xr3:uid="{726C557B-13A7-4814-BBF0-5EF8D110B8BE}" name="Mango" dataDxfId="32"/>
    <tableColumn id="23" xr3:uid="{91CD1632-D0E0-4AE6-9F29-CF51735DA0E5}" name="hoopla Binge Passes" dataDxfId="31"/>
    <tableColumn id="24" xr3:uid="{E5946821-3871-4ED5-9E21-67EBA64FEF52}" name="hoopla Comics" dataDxfId="30"/>
    <tableColumn id="25" xr3:uid="{44A63C0C-416D-4B39-9878-C29273350954}" name="hoopla Flex eAudio" dataDxfId="29"/>
    <tableColumn id="26" xr3:uid="{623952ED-721E-4FEC-8CE1-008CD33C7036}" name="hoopla Flex eBook " dataDxfId="28"/>
    <tableColumn id="27" xr3:uid="{CCE214DE-DF3E-4B47-A818-B68004B0F486}" name="hoopla Instant eAudio" dataDxfId="27"/>
    <tableColumn id="28" xr3:uid="{0E6B2904-AE0D-4BC1-A1CE-6418B1A521A2}" name="hoopla Instant eBook" dataDxfId="26"/>
    <tableColumn id="29" xr3:uid="{22455F52-7402-476B-995D-8BEE895E2874}" name="hoopla Movies" dataDxfId="25"/>
    <tableColumn id="30" xr3:uid="{9A7028E8-1821-4E48-9452-001035F03B38}" name="hoopla Music" dataDxfId="24"/>
    <tableColumn id="31" xr3:uid="{4C1FCC22-1340-4391-AD98-1023AC95D7FD}" name="hoopla TV" dataDxfId="23"/>
    <tableColumn id="32" xr3:uid="{CDB778AD-649F-45F4-93EE-A1CA895FF263}" name="Newsbank Newspapers" dataDxfId="22"/>
    <tableColumn id="33" xr3:uid="{31976A7A-D87D-4B83-AFE0-6250631C4AF5}" name="Libby eAudio" dataDxfId="21"/>
    <tableColumn id="34" xr3:uid="{EAC8BF1E-3FB3-403B-A656-07E25C976F0A}" name="Libby eBook" dataDxfId="20"/>
    <tableColumn id="35" xr3:uid="{EAF66F33-DC4B-4DE9-8F5B-7749C8F9DA9C}" name="Libby Magazines " dataDxfId="19"/>
    <tableColumn id="36" xr3:uid="{95DFD7CA-F95A-4871-86A6-2726FA67A45F}" name="Libby Streaming" dataDxfId="18"/>
    <tableColumn id="37" xr3:uid="{44F9E5E4-E5E7-4BFD-847E-79319F70696C}" name="Proquest: Ancestry Library Edition" dataDxfId="17"/>
    <tableColumn id="38" xr3:uid="{E1270DF3-3696-4452-8F2E-553FEF5232EC}" name="Proquest: Fold3" dataDxfId="16"/>
    <tableColumn id="39" xr3:uid="{B1FC20F5-6883-429F-B462-C72299BC0B3D}" name="Proquest: Heritage Quest Online" dataDxfId="15"/>
    <tableColumn id="40" xr3:uid="{0DCB9F06-E71D-44BD-B14D-061B6A126698}" name="Salem eBooks" dataDxfId="14"/>
    <tableColumn id="41" xr3:uid="{5D71A876-897D-45F9-9F22-E0C3FEC09B24}" name="Tutor" dataDxfId="13"/>
    <tableColumn id="42" xr3:uid="{E7779C9A-433A-4378-A511-27DF4A2D43F3}" name="ValueLine Searches" dataDxfId="12"/>
    <tableColumn id="43" xr3:uid="{CDBEC929-BD8A-49A1-9B0F-7EAA482D6004}" name="Weiss Page Views" dataDxfId="11"/>
    <tableColumn id="44" xr3:uid="{9449B67C-21B0-4840-932E-54560003AA5F}" name="Weiss Searches" dataDxfId="10"/>
    <tableColumn id="45" xr3:uid="{02F4C599-4E64-49A1-A1FC-012C2E482A94}" name="Weiss Sessions" dataDxfId="9"/>
    <tableColumn id="46" xr3:uid="{D3E5F182-C53B-4508-A402-F72A9DAD3751}" name="Lote4Kids - Stories Watched" dataDxfId="8"/>
    <tableColumn id="47" xr3:uid="{1F5E99C0-4E7F-4B31-B6F4-9C1B379AA755}" name="Lote4Kids - Activities" dataDxfId="7"/>
    <tableColumn id="48" xr3:uid="{626A689D-2AB9-481B-8360-0B7689D8DB70}" name="Lote4Kids - Logins" dataDxfId="6"/>
    <tableColumn id="49" xr3:uid="{010A84A3-1E38-4EDF-B1EB-87FAE52FAD1A}" name="DigitalLearn - Sessions" dataDxfId="5"/>
    <tableColumn id="50" xr3:uid="{4EC1FFC0-C0DB-467E-879F-A3BFC70D49AE}" name="DigitalLearn - Completed Courses" dataDxfId="4"/>
    <tableColumn id="51" xr3:uid="{FCC83BDB-BEAA-4120-A203-13D9F7D3F1C2}" name="Year" dataDxfId="3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A0A86D-3927-4F85-A602-A173DA5BFCC6}" name="Table4" displayName="Table4" ref="A1:AB1048569" totalsRowShown="0" headerRowCellStyle="Normal" dataCellStyle="Normal">
  <autoFilter ref="A1:AB1048569" xr:uid="{39109A0F-46E9-4721-80B6-A917B10B3298}"/>
  <tableColumns count="28">
    <tableColumn id="2" xr3:uid="{B1A1720A-E089-4E4C-95E3-8A090F54C828}" name="Month Num" dataDxfId="2" dataCellStyle="Normal"/>
    <tableColumn id="1" xr3:uid="{2C4F6AA2-5E88-4D06-A442-ABB90CE4CAC9}" name="Month" dataDxfId="1"/>
    <tableColumn id="3" xr3:uid="{5830CFC7-83F8-4B5F-B529-6D1DD47DC6C6}" name="yclibrary.org - web sessions" dataCellStyle="Normal"/>
    <tableColumn id="4" xr3:uid="{7C8B59A1-ED69-4C2A-B1F8-4506FC5B3A61}" name="ychistory.org - views" dataCellStyle="Normal"/>
    <tableColumn id="5" xr3:uid="{65EDF711-C0F8-4EED-ADA1-97A0EE3875EA}" name="patchworktales.org  - views" dataCellStyle="Normal"/>
    <tableColumn id="6" xr3:uid="{6B80048C-D22B-422B-A752-D52A788D3487}" name="Dial A Story - CALLS" dataCellStyle="Normal"/>
    <tableColumn id="7" xr3:uid="{DEA91176-2F37-4582-8E9E-A51DBF7B3E3A}" name="Dial A Story - VIEWS" dataCellStyle="Normal"/>
    <tableColumn id="8" xr3:uid="{BB112055-D0AF-4783-BB3A-56E952E81F38}" name="DSpace - Views" dataCellStyle="Normal"/>
    <tableColumn id="9" xr3:uid="{EA8DD730-3DCB-441F-8845-BDDC8ABD67ED}" name="Beanstack - Sessions" dataCellStyle="Normal"/>
    <tableColumn id="10" xr3:uid="{0BDE17D8-BFA4-4140-AA16-DE1771898A40}" name="LibraryCalendar - Sessions" dataCellStyle="Normal"/>
    <tableColumn id="11" xr3:uid="{C6FAAE33-2981-4798-BFDB-1D3ABB26104D}" name="LibGuides - Sessions" dataCellStyle="Normal"/>
    <tableColumn id="12" xr3:uid="{C0371B7F-38CF-4C39-8775-3AE4A40E9315}" name="DigitalLearn.org - Sessions" dataCellStyle="Normal"/>
    <tableColumn id="13" xr3:uid="{BCF10F36-6501-4541-A6B1-D19EB0689C35}" name="DigitalLearn.org - Completed Courses" dataCellStyle="Normal"/>
    <tableColumn id="14" xr3:uid="{5F497E22-6B9B-48A4-9267-959C02243B6F}" name="LOTE4Kids - Stories Watched" dataCellStyle="Normal"/>
    <tableColumn id="15" xr3:uid="{8FA7FA03-D468-4912-BD27-C3904A361A1F}" name="LOTE4Kids - Actvitities" dataCellStyle="Normal"/>
    <tableColumn id="16" xr3:uid="{8F3EE1C1-FEBE-4958-8048-84F78AE95681}" name="LOTE4Kids - Logins" dataCellStyle="Normal"/>
    <tableColumn id="17" xr3:uid="{E64F4175-72BD-4FAF-920C-0371880B28E6}" name="Youtube - Subscribers" dataCellStyle="Normal"/>
    <tableColumn id="18" xr3:uid="{635F0188-DF3C-4857-B6EC-E7B84B39C2D8}" name="YouTube - Views" dataCellStyle="Normal"/>
    <tableColumn id="19" xr3:uid="{DBB3FC6A-199F-4B6C-89F3-47D9144D4440}" name="YouTube - Hours Watched" dataCellStyle="Normal"/>
    <tableColumn id="20" xr3:uid="{E04DCB3B-6FF3-46F4-A18B-D822F9119E10}" name="YCL News - Subscriber" dataCellStyle="Normal"/>
    <tableColumn id="21" xr3:uid="{2EFEF85D-F1DA-4309-8390-FDE011690CD1}" name="Website Messages" dataCellStyle="Normal"/>
    <tableColumn id="22" xr3:uid="{828A9C7F-CB0B-45D2-8E47-E8CB73B251C5}" name="YCL - App - Users" dataCellStyle="Normal"/>
    <tableColumn id="23" xr3:uid="{3949E9A3-48A2-4653-9DD7-FE36AA8AE8F0}" name="YCL - App - Sessions" dataCellStyle="Normal"/>
    <tableColumn id="24" xr3:uid="{06F4DB34-C326-43FE-A154-31D7F5A4E0BE}" name="Facebook Followers" dataCellStyle="Normal"/>
    <tableColumn id="25" xr3:uid="{24537A2C-A49C-4C8A-95C6-2B15014A0311}" name="Instragram - Subscribers" dataCellStyle="Normal"/>
    <tableColumn id="26" xr3:uid="{A8D4BD26-8D54-4714-B09E-11A5E6A091EA}" name="YouTube Uploads" dataCellStyle="Normal"/>
    <tableColumn id="27" xr3:uid="{98897E3B-724C-4079-9F94-E2CD513E740F}" name="Dial A Story Uploads" dataCellStyle="Normal"/>
    <tableColumn id="28" xr3:uid="{307E3E56-F39B-4286-8DF6-559380181E13}" name="Year" dataCellStyl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1.xml"/><Relationship Id="rId3" Type="http://schemas.openxmlformats.org/officeDocument/2006/relationships/pivotTable" Target="../pivotTables/pivotTable16.xml"/><Relationship Id="rId7" Type="http://schemas.openxmlformats.org/officeDocument/2006/relationships/pivotTable" Target="../pivotTables/pivotTable20.xml"/><Relationship Id="rId12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6" Type="http://schemas.openxmlformats.org/officeDocument/2006/relationships/pivotTable" Target="../pivotTables/pivotTable19.xml"/><Relationship Id="rId11" Type="http://schemas.openxmlformats.org/officeDocument/2006/relationships/pivotTable" Target="../pivotTables/pivotTable24.xml"/><Relationship Id="rId5" Type="http://schemas.openxmlformats.org/officeDocument/2006/relationships/pivotTable" Target="../pivotTables/pivotTable18.xml"/><Relationship Id="rId10" Type="http://schemas.openxmlformats.org/officeDocument/2006/relationships/pivotTable" Target="../pivotTables/pivotTable23.xml"/><Relationship Id="rId4" Type="http://schemas.openxmlformats.org/officeDocument/2006/relationships/pivotTable" Target="../pivotTables/pivotTable17.xml"/><Relationship Id="rId9" Type="http://schemas.openxmlformats.org/officeDocument/2006/relationships/pivotTable" Target="../pivotTables/pivotTable2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7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6.xml"/><Relationship Id="rId1" Type="http://schemas.openxmlformats.org/officeDocument/2006/relationships/pivotTable" Target="../pivotTables/pivotTable25.xml"/><Relationship Id="rId6" Type="http://schemas.openxmlformats.org/officeDocument/2006/relationships/pivotTable" Target="../pivotTables/pivotTable30.xml"/><Relationship Id="rId5" Type="http://schemas.openxmlformats.org/officeDocument/2006/relationships/pivotTable" Target="../pivotTables/pivotTable29.xml"/><Relationship Id="rId4" Type="http://schemas.openxmlformats.org/officeDocument/2006/relationships/pivotTable" Target="../pivotTables/pivotTable2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3.xml"/><Relationship Id="rId2" Type="http://schemas.openxmlformats.org/officeDocument/2006/relationships/pivotTable" Target="../pivotTables/pivotTable32.xml"/><Relationship Id="rId1" Type="http://schemas.openxmlformats.org/officeDocument/2006/relationships/pivotTable" Target="../pivotTables/pivotTable31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3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7.xml"/><Relationship Id="rId2" Type="http://schemas.openxmlformats.org/officeDocument/2006/relationships/pivotTable" Target="../pivotTables/pivotTable36.xml"/><Relationship Id="rId1" Type="http://schemas.openxmlformats.org/officeDocument/2006/relationships/pivotTable" Target="../pivotTables/pivotTable35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9.xml"/><Relationship Id="rId1" Type="http://schemas.openxmlformats.org/officeDocument/2006/relationships/pivotTable" Target="../pivotTables/pivotTable3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2.xml"/><Relationship Id="rId2" Type="http://schemas.openxmlformats.org/officeDocument/2006/relationships/pivotTable" Target="../pivotTables/pivotTable41.xml"/><Relationship Id="rId1" Type="http://schemas.openxmlformats.org/officeDocument/2006/relationships/pivotTable" Target="../pivotTables/pivotTable40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4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6.xml"/><Relationship Id="rId2" Type="http://schemas.openxmlformats.org/officeDocument/2006/relationships/pivotTable" Target="../pivotTables/pivotTable45.xml"/><Relationship Id="rId1" Type="http://schemas.openxmlformats.org/officeDocument/2006/relationships/pivotTable" Target="../pivotTables/pivotTable44.xml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48.xml"/><Relationship Id="rId1" Type="http://schemas.openxmlformats.org/officeDocument/2006/relationships/pivotTable" Target="../pivotTables/pivotTable4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0.xm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58.xml"/><Relationship Id="rId3" Type="http://schemas.openxmlformats.org/officeDocument/2006/relationships/pivotTable" Target="../pivotTables/pivotTable53.xml"/><Relationship Id="rId7" Type="http://schemas.openxmlformats.org/officeDocument/2006/relationships/pivotTable" Target="../pivotTables/pivotTable57.xml"/><Relationship Id="rId2" Type="http://schemas.openxmlformats.org/officeDocument/2006/relationships/pivotTable" Target="../pivotTables/pivotTable52.xml"/><Relationship Id="rId1" Type="http://schemas.openxmlformats.org/officeDocument/2006/relationships/pivotTable" Target="../pivotTables/pivotTable51.xml"/><Relationship Id="rId6" Type="http://schemas.openxmlformats.org/officeDocument/2006/relationships/pivotTable" Target="../pivotTables/pivotTable56.xml"/><Relationship Id="rId5" Type="http://schemas.openxmlformats.org/officeDocument/2006/relationships/pivotTable" Target="../pivotTables/pivotTable55.xml"/><Relationship Id="rId10" Type="http://schemas.openxmlformats.org/officeDocument/2006/relationships/drawing" Target="../drawings/drawing7.xml"/><Relationship Id="rId4" Type="http://schemas.openxmlformats.org/officeDocument/2006/relationships/pivotTable" Target="../pivotTables/pivotTable54.xml"/><Relationship Id="rId9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1F3C-6F2E-4706-BA08-5DEE9FB5BF3C}">
  <dimension ref="A1:A32"/>
  <sheetViews>
    <sheetView workbookViewId="0">
      <selection activeCell="G18" sqref="G18"/>
    </sheetView>
  </sheetViews>
  <sheetFormatPr defaultRowHeight="12.75"/>
  <sheetData>
    <row r="1" spans="1:1">
      <c r="A1" s="38" t="s">
        <v>16682</v>
      </c>
    </row>
    <row r="3" spans="1:1" ht="23.25">
      <c r="A3" s="76" t="s">
        <v>16683</v>
      </c>
    </row>
    <row r="5" spans="1:1">
      <c r="A5" s="77" t="s">
        <v>16684</v>
      </c>
    </row>
    <row r="6" spans="1:1">
      <c r="A6" s="78"/>
    </row>
    <row r="7" spans="1:1">
      <c r="A7" s="79" t="s">
        <v>16685</v>
      </c>
    </row>
    <row r="8" spans="1:1">
      <c r="A8" s="79" t="s">
        <v>16686</v>
      </c>
    </row>
    <row r="10" spans="1:1">
      <c r="A10" s="77" t="s">
        <v>16687</v>
      </c>
    </row>
    <row r="11" spans="1:1">
      <c r="A11" s="78"/>
    </row>
    <row r="12" spans="1:1">
      <c r="A12" s="80" t="s">
        <v>16688</v>
      </c>
    </row>
    <row r="13" spans="1:1">
      <c r="A13" s="80" t="s">
        <v>16689</v>
      </c>
    </row>
    <row r="15" spans="1:1">
      <c r="A15" s="81" t="e">
        <f ca="1">OFFSET('Branch Stats'!$B$1,0,0,COUNTA('Branch Stats'!$A:$A),COUNTA('Branch Stats'!$1:$1)-1)</f>
        <v>#VALUE!</v>
      </c>
    </row>
    <row r="17" spans="1:1">
      <c r="A17" s="77" t="s">
        <v>16690</v>
      </c>
    </row>
    <row r="18" spans="1:1">
      <c r="A18" s="78"/>
    </row>
    <row r="19" spans="1:1">
      <c r="A19" s="79" t="s">
        <v>16691</v>
      </c>
    </row>
    <row r="20" spans="1:1">
      <c r="A20" s="82" t="s">
        <v>16692</v>
      </c>
    </row>
    <row r="21" spans="1:1">
      <c r="A21" s="82" t="s">
        <v>16693</v>
      </c>
    </row>
    <row r="23" spans="1:1">
      <c r="A23" s="77" t="s">
        <v>16694</v>
      </c>
    </row>
    <row r="24" spans="1:1">
      <c r="A24" s="78"/>
    </row>
    <row r="25" spans="1:1">
      <c r="A25" s="79" t="s">
        <v>16695</v>
      </c>
    </row>
    <row r="26" spans="1:1">
      <c r="A26" s="79" t="s">
        <v>16696</v>
      </c>
    </row>
    <row r="27" spans="1:1">
      <c r="A27" s="79" t="s">
        <v>16697</v>
      </c>
    </row>
    <row r="28" spans="1:1">
      <c r="A28" s="79" t="s">
        <v>16698</v>
      </c>
    </row>
    <row r="30" spans="1:1">
      <c r="A30" s="38" t="s">
        <v>16699</v>
      </c>
    </row>
    <row r="32" spans="1:1">
      <c r="A32" s="38" t="s">
        <v>16700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AA71"/>
  <sheetViews>
    <sheetView workbookViewId="0">
      <selection activeCell="C9" sqref="C9"/>
    </sheetView>
  </sheetViews>
  <sheetFormatPr defaultColWidth="12.5703125" defaultRowHeight="15.75" customHeight="1"/>
  <cols>
    <col min="1" max="1" width="12.42578125" customWidth="1"/>
    <col min="2" max="2" width="31.140625" customWidth="1"/>
  </cols>
  <sheetData>
    <row r="1" spans="1:27">
      <c r="A1" s="1" t="s">
        <v>0</v>
      </c>
      <c r="B1" s="1" t="s">
        <v>1</v>
      </c>
    </row>
    <row r="2" spans="1:27">
      <c r="A2" s="174" t="s">
        <v>2</v>
      </c>
      <c r="B2" s="173"/>
      <c r="C2" s="17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1" t="s">
        <v>3</v>
      </c>
      <c r="B3" s="1" t="s">
        <v>4</v>
      </c>
      <c r="C3">
        <f>SUM('Circ Door Cnt Cards'!J18)</f>
        <v>3942</v>
      </c>
    </row>
    <row r="4" spans="1:27">
      <c r="A4" s="1" t="s">
        <v>5</v>
      </c>
      <c r="B4" s="1" t="s">
        <v>6</v>
      </c>
      <c r="C4" s="3">
        <f>SUM('Circ Door Cnt Cards'!K18)</f>
        <v>2079</v>
      </c>
    </row>
    <row r="5" spans="1:27">
      <c r="A5" s="1" t="s">
        <v>7</v>
      </c>
      <c r="B5" s="1" t="s">
        <v>8</v>
      </c>
      <c r="C5" s="3">
        <f>SUM('Circ Door Cnt Cards'!E18)</f>
        <v>635801</v>
      </c>
    </row>
    <row r="6" spans="1:27">
      <c r="A6" s="1" t="s">
        <v>9</v>
      </c>
      <c r="B6" s="1" t="s">
        <v>10</v>
      </c>
      <c r="C6" s="3">
        <f>SUM('Tech Use'!G11)</f>
        <v>19403</v>
      </c>
    </row>
    <row r="7" spans="1:27">
      <c r="A7" s="1" t="s">
        <v>11</v>
      </c>
      <c r="B7" s="1" t="s">
        <v>12</v>
      </c>
      <c r="C7" s="3">
        <f>SUM('Tech Use'!H11)</f>
        <v>42830</v>
      </c>
    </row>
    <row r="8" spans="1:27">
      <c r="A8" s="1" t="s">
        <v>13</v>
      </c>
      <c r="B8" s="1" t="s">
        <v>14</v>
      </c>
      <c r="C8" s="3">
        <f>SUM('Online use'!H14)</f>
        <v>268905</v>
      </c>
    </row>
    <row r="9" spans="1:27">
      <c r="A9" s="1" t="s">
        <v>15</v>
      </c>
      <c r="B9" s="1" t="s">
        <v>16</v>
      </c>
      <c r="C9" s="3"/>
    </row>
    <row r="10" spans="1:27">
      <c r="A10" s="175" t="s">
        <v>17</v>
      </c>
      <c r="B10" s="173"/>
      <c r="C10" s="17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>
      <c r="A11" s="1" t="s">
        <v>18</v>
      </c>
      <c r="B11" s="1" t="s">
        <v>19</v>
      </c>
      <c r="C11" s="3"/>
    </row>
    <row r="12" spans="1:27">
      <c r="A12" s="1" t="s">
        <v>20</v>
      </c>
      <c r="B12" s="1" t="s">
        <v>21</v>
      </c>
      <c r="C12" s="3"/>
    </row>
    <row r="13" spans="1:27">
      <c r="A13" s="1" t="s">
        <v>22</v>
      </c>
      <c r="B13" s="1" t="s">
        <v>23</v>
      </c>
      <c r="C13" s="3"/>
    </row>
    <row r="14" spans="1:27">
      <c r="A14" s="1" t="s">
        <v>24</v>
      </c>
      <c r="B14" s="1" t="s">
        <v>25</v>
      </c>
      <c r="C14" s="3"/>
    </row>
    <row r="15" spans="1:27">
      <c r="A15" s="1" t="s">
        <v>26</v>
      </c>
      <c r="B15" s="1" t="s">
        <v>27</v>
      </c>
      <c r="C15" s="3"/>
    </row>
    <row r="16" spans="1:27">
      <c r="A16" s="1" t="s">
        <v>28</v>
      </c>
      <c r="B16" s="1" t="s">
        <v>29</v>
      </c>
      <c r="C16" s="3"/>
    </row>
    <row r="17" spans="1:3">
      <c r="A17" s="1" t="s">
        <v>30</v>
      </c>
      <c r="B17" s="1" t="s">
        <v>31</v>
      </c>
      <c r="C17" s="3"/>
    </row>
    <row r="18" spans="1:3">
      <c r="A18" s="1" t="s">
        <v>32</v>
      </c>
      <c r="B18" s="1" t="s">
        <v>33</v>
      </c>
      <c r="C18" s="3"/>
    </row>
    <row r="19" spans="1:3">
      <c r="A19" s="1" t="s">
        <v>34</v>
      </c>
      <c r="B19" s="1" t="s">
        <v>35</v>
      </c>
      <c r="C19" s="3"/>
    </row>
    <row r="20" spans="1:3">
      <c r="A20" s="1" t="s">
        <v>36</v>
      </c>
      <c r="B20" s="1" t="s">
        <v>37</v>
      </c>
      <c r="C20" s="3"/>
    </row>
    <row r="21" spans="1:3">
      <c r="A21" s="1" t="s">
        <v>38</v>
      </c>
      <c r="B21" s="1" t="s">
        <v>39</v>
      </c>
      <c r="C21" s="3"/>
    </row>
    <row r="22" spans="1:3">
      <c r="A22" s="1" t="s">
        <v>40</v>
      </c>
      <c r="B22" s="1" t="s">
        <v>41</v>
      </c>
      <c r="C22" s="3"/>
    </row>
    <row r="23" spans="1:3">
      <c r="A23" s="1" t="s">
        <v>42</v>
      </c>
      <c r="B23" s="1" t="s">
        <v>43</v>
      </c>
      <c r="C23" s="3"/>
    </row>
    <row r="24" spans="1:3">
      <c r="A24" s="175" t="s">
        <v>44</v>
      </c>
      <c r="B24" s="173"/>
      <c r="C24" s="173"/>
    </row>
    <row r="25" spans="1:3">
      <c r="A25" s="176" t="s">
        <v>45</v>
      </c>
      <c r="B25" s="173"/>
      <c r="C25" s="173"/>
    </row>
    <row r="26" spans="1:3">
      <c r="A26" s="5" t="s">
        <v>46</v>
      </c>
      <c r="B26" s="5" t="s">
        <v>47</v>
      </c>
      <c r="C26" s="5">
        <f>SUM('Programs Month'!$B$6)</f>
        <v>151</v>
      </c>
    </row>
    <row r="27" spans="1:3">
      <c r="A27" s="5" t="s">
        <v>46</v>
      </c>
      <c r="B27" s="5" t="s">
        <v>48</v>
      </c>
      <c r="C27" s="5">
        <f>SUM('Programs Month'!$C$6)</f>
        <v>32</v>
      </c>
    </row>
    <row r="28" spans="1:3">
      <c r="A28" s="5" t="s">
        <v>46</v>
      </c>
      <c r="B28" s="5" t="s">
        <v>49</v>
      </c>
      <c r="C28" s="5">
        <f>SUM('Programs Month'!$D$6)</f>
        <v>39</v>
      </c>
    </row>
    <row r="29" spans="1:3">
      <c r="A29" s="5" t="s">
        <v>46</v>
      </c>
      <c r="B29" s="5" t="s">
        <v>50</v>
      </c>
      <c r="C29" s="5">
        <f>SUM('Programs Month'!$E$6)</f>
        <v>105</v>
      </c>
    </row>
    <row r="30" spans="1:3">
      <c r="A30" s="5" t="s">
        <v>46</v>
      </c>
      <c r="B30" s="5" t="s">
        <v>51</v>
      </c>
      <c r="C30" s="5">
        <f>SUM('Programs Month'!$F$6)</f>
        <v>17</v>
      </c>
    </row>
    <row r="31" spans="1:3">
      <c r="A31" s="6" t="s">
        <v>52</v>
      </c>
      <c r="B31" s="6" t="s">
        <v>47</v>
      </c>
      <c r="C31" s="6">
        <f>SUM(GETPIVOTDATA("Sum of OFFSITE Sessions 0-5",'Programs Month'!$A$19))</f>
        <v>0</v>
      </c>
    </row>
    <row r="32" spans="1:3">
      <c r="A32" s="6" t="s">
        <v>52</v>
      </c>
      <c r="B32" s="6" t="s">
        <v>48</v>
      </c>
      <c r="C32" s="6">
        <f>SUM(GETPIVOTDATA("Sum of OFFSITE Sessions 6-11",'Programs Month'!$A$19))</f>
        <v>56</v>
      </c>
    </row>
    <row r="33" spans="1:3">
      <c r="A33" s="6" t="s">
        <v>52</v>
      </c>
      <c r="B33" s="6" t="s">
        <v>49</v>
      </c>
      <c r="C33" s="6">
        <f>SUM(GETPIVOTDATA("Sum of OFFSITE Sessions 12-18",'Programs Month'!$A$19))</f>
        <v>0</v>
      </c>
    </row>
    <row r="34" spans="1:3">
      <c r="A34" s="6" t="s">
        <v>52</v>
      </c>
      <c r="B34" s="6" t="s">
        <v>50</v>
      </c>
      <c r="C34" s="6">
        <f>SUM(GETPIVOTDATA("Sum of OFFSITE Sessions 19+",'Programs Month'!$A$19))</f>
        <v>0</v>
      </c>
    </row>
    <row r="35" spans="1:3">
      <c r="A35" s="6" t="s">
        <v>52</v>
      </c>
      <c r="B35" s="6" t="s">
        <v>51</v>
      </c>
      <c r="C35" s="6">
        <f>SUM(GETPIVOTDATA("Sum of OFFSITE Sessions General Interest",'Programs Month'!$A$19))</f>
        <v>0</v>
      </c>
    </row>
    <row r="36" spans="1:3">
      <c r="A36" s="7" t="s">
        <v>53</v>
      </c>
      <c r="B36" s="7" t="s">
        <v>47</v>
      </c>
      <c r="C36" s="7">
        <f>SUM(GETPIVOTDATA("Sum of VIRTUAL Sessions 0-5",'Programs Month'!$A$30))</f>
        <v>0</v>
      </c>
    </row>
    <row r="37" spans="1:3">
      <c r="A37" s="7" t="s">
        <v>53</v>
      </c>
      <c r="B37" s="7" t="s">
        <v>48</v>
      </c>
      <c r="C37" s="7">
        <f>SUM(GETPIVOTDATA("Sum of VIRTUAL Sessions 6-11",'Programs Month'!$A$30))</f>
        <v>0</v>
      </c>
    </row>
    <row r="38" spans="1:3">
      <c r="A38" s="7" t="s">
        <v>53</v>
      </c>
      <c r="B38" s="7" t="s">
        <v>49</v>
      </c>
      <c r="C38" s="7">
        <f>SUM(GETPIVOTDATA("Sum of VIRTUAL Sessions 12-18",'Programs Month'!$A$30))</f>
        <v>0</v>
      </c>
    </row>
    <row r="39" spans="1:3">
      <c r="A39" s="7" t="s">
        <v>53</v>
      </c>
      <c r="B39" s="7" t="s">
        <v>50</v>
      </c>
      <c r="C39" s="7">
        <f>SUM('Programs Month'!$D$31)</f>
        <v>0</v>
      </c>
    </row>
    <row r="40" spans="1:3">
      <c r="A40" s="7" t="s">
        <v>53</v>
      </c>
      <c r="B40" s="7" t="s">
        <v>51</v>
      </c>
      <c r="C40" s="7">
        <f>SUM(GETPIVOTDATA("Sum of VIRTUAL Sessions General Interest",'Programs Month'!$A$30))</f>
        <v>0</v>
      </c>
    </row>
    <row r="42" spans="1:3">
      <c r="A42" s="177" t="s">
        <v>54</v>
      </c>
      <c r="B42" s="173"/>
      <c r="C42" s="173"/>
    </row>
    <row r="43" spans="1:3">
      <c r="A43" s="8" t="s">
        <v>46</v>
      </c>
      <c r="B43" s="8" t="s">
        <v>71</v>
      </c>
      <c r="C43" s="8">
        <f>SUM(GETPIVOTDATA("Attendance 0-5",'Programs Month'!$A$10))</f>
        <v>4455</v>
      </c>
    </row>
    <row r="44" spans="1:3">
      <c r="A44" s="8" t="s">
        <v>46</v>
      </c>
      <c r="B44" s="8" t="s">
        <v>72</v>
      </c>
      <c r="C44" s="8">
        <f>SUM(GETPIVOTDATA("Attendance 6-11",'Programs Month'!$A$10))</f>
        <v>435</v>
      </c>
    </row>
    <row r="45" spans="1:3">
      <c r="A45" s="8" t="s">
        <v>46</v>
      </c>
      <c r="B45" s="8" t="s">
        <v>73</v>
      </c>
      <c r="C45" s="8">
        <f>SUM(GETPIVOTDATA("Attendance 12-18",'Programs Month'!$A$10))</f>
        <v>384</v>
      </c>
    </row>
    <row r="46" spans="1:3">
      <c r="A46" s="8" t="s">
        <v>46</v>
      </c>
      <c r="B46" s="8" t="s">
        <v>74</v>
      </c>
      <c r="C46" s="8">
        <f>SUM(GETPIVOTDATA("Attendance 19+",'Programs Month'!$A$10))</f>
        <v>964</v>
      </c>
    </row>
    <row r="47" spans="1:3">
      <c r="A47" s="8" t="s">
        <v>46</v>
      </c>
      <c r="B47" s="8" t="s">
        <v>75</v>
      </c>
      <c r="C47" s="8">
        <f>SUM(GETPIVOTDATA("Attendance General Interest",'Programs Month'!$A$10))</f>
        <v>507</v>
      </c>
    </row>
    <row r="48" spans="1:3">
      <c r="A48" s="9" t="s">
        <v>52</v>
      </c>
      <c r="B48" s="9" t="s">
        <v>71</v>
      </c>
      <c r="C48" s="9">
        <f>SUM(GETPIVOTDATA("Sum of OFFSITE Attendance 0-5",'Programs Month'!$A$24))</f>
        <v>496</v>
      </c>
    </row>
    <row r="49" spans="1:3">
      <c r="A49" s="9" t="s">
        <v>52</v>
      </c>
      <c r="B49" s="9" t="s">
        <v>72</v>
      </c>
      <c r="C49" s="9">
        <f>SUM(GETPIVOTDATA("Sum of OFFSITE Attendance 6-11",'Programs Month'!$A$24))</f>
        <v>57</v>
      </c>
    </row>
    <row r="50" spans="1:3">
      <c r="A50" s="9" t="s">
        <v>52</v>
      </c>
      <c r="B50" s="9" t="s">
        <v>73</v>
      </c>
      <c r="C50" s="9">
        <f>SUM(GETPIVOTDATA("Sum of OFFSITE Attendance 12-18",'Programs Month'!$A$24))</f>
        <v>270</v>
      </c>
    </row>
    <row r="51" spans="1:3">
      <c r="A51" s="9" t="s">
        <v>52</v>
      </c>
      <c r="B51" s="9" t="s">
        <v>74</v>
      </c>
      <c r="C51" s="9">
        <f>SUM(GETPIVOTDATA("Sum of OFFSITE Attendance 19+",'Programs Month'!$A$24))</f>
        <v>121</v>
      </c>
    </row>
    <row r="52" spans="1:3">
      <c r="A52" s="9" t="s">
        <v>52</v>
      </c>
      <c r="B52" s="9" t="s">
        <v>75</v>
      </c>
      <c r="C52" s="9">
        <f>SUM(GETPIVOTDATA("Sum of OFFSITE Attendance General Interest",'Programs Month'!$A$24))</f>
        <v>196</v>
      </c>
    </row>
    <row r="53" spans="1:3">
      <c r="A53" s="10" t="s">
        <v>53</v>
      </c>
      <c r="B53" s="10" t="s">
        <v>71</v>
      </c>
      <c r="C53" s="10">
        <f>SUM(GETPIVOTDATA("Sum of VIRTUAL Attendance 0-5",'Programs Month'!$A$34))</f>
        <v>0</v>
      </c>
    </row>
    <row r="54" spans="1:3">
      <c r="A54" s="10" t="s">
        <v>53</v>
      </c>
      <c r="B54" s="10" t="s">
        <v>72</v>
      </c>
      <c r="C54" s="10">
        <f>SUM(GETPIVOTDATA("Sum of VIRTUAL Attendance 6-11",'Programs Month'!$A$34))</f>
        <v>0</v>
      </c>
    </row>
    <row r="55" spans="1:3">
      <c r="A55" s="10" t="s">
        <v>53</v>
      </c>
      <c r="B55" s="10" t="s">
        <v>73</v>
      </c>
      <c r="C55" s="10">
        <f>SUM(GETPIVOTDATA("Sum of VIRTUAL Attendance 12-18",'Programs Month'!$A$34))</f>
        <v>0</v>
      </c>
    </row>
    <row r="56" spans="1:3">
      <c r="A56" s="10" t="s">
        <v>53</v>
      </c>
      <c r="B56" s="10" t="s">
        <v>74</v>
      </c>
      <c r="C56" s="10">
        <f>SUM(GETPIVOTDATA("Sum of VIRTUAL Attendance 19+",'Programs Month'!$A$34))</f>
        <v>0</v>
      </c>
    </row>
    <row r="57" spans="1:3">
      <c r="A57" s="10" t="s">
        <v>53</v>
      </c>
      <c r="B57" s="10" t="s">
        <v>75</v>
      </c>
      <c r="C57" s="10">
        <f>SUM(GETPIVOTDATA("Sum of VIRTUAL Attendance General Interest",'Programs Month'!$A$34))</f>
        <v>0</v>
      </c>
    </row>
    <row r="59" spans="1:3">
      <c r="A59" s="11"/>
      <c r="B59" s="11" t="s">
        <v>59</v>
      </c>
      <c r="C59" s="11"/>
    </row>
    <row r="60" spans="1:3">
      <c r="A60" s="12"/>
      <c r="B60" s="12" t="s">
        <v>60</v>
      </c>
      <c r="C60" s="1">
        <f>SUM(Asynch!B9)</f>
        <v>98</v>
      </c>
    </row>
    <row r="62" spans="1:3">
      <c r="A62" s="11"/>
      <c r="B62" s="11" t="s">
        <v>61</v>
      </c>
      <c r="C62" s="11"/>
    </row>
    <row r="63" spans="1:3">
      <c r="A63" s="12"/>
      <c r="B63" s="12" t="s">
        <v>60</v>
      </c>
      <c r="C63">
        <f>SUM(Asynch!C9)</f>
        <v>8026</v>
      </c>
    </row>
    <row r="65" spans="1:3">
      <c r="A65" s="172" t="s">
        <v>62</v>
      </c>
      <c r="B65" s="173"/>
      <c r="C65" s="173"/>
    </row>
    <row r="66" spans="1:3">
      <c r="B66" s="13" t="s">
        <v>63</v>
      </c>
      <c r="C66" s="13">
        <f>SUM(GETPIVOTDATA("Sum of Outreach Attendance (YCL Internal)",'Outreach etc'!$A$4))</f>
        <v>0</v>
      </c>
    </row>
    <row r="67" spans="1:3">
      <c r="B67" s="13" t="s">
        <v>64</v>
      </c>
      <c r="C67" s="13">
        <f>SUM(GETPIVOTDATA("Sum of Outreach Attendance (YCL Internal)",'Outreach etc'!$A$14))</f>
        <v>0</v>
      </c>
    </row>
    <row r="69" spans="1:3">
      <c r="A69" s="14"/>
      <c r="B69" s="14" t="s">
        <v>65</v>
      </c>
      <c r="C69" s="14">
        <f>SUM(GETPIVOTDATA("Sum of I22: TOTAL # TAKE &amp; MAKES and OTHER PASSIVE PROGRAM PARTICIPANTS
",'Other 2025 Stats'!$A$3,"Year",2025))</f>
        <v>7358</v>
      </c>
    </row>
    <row r="70" spans="1:3">
      <c r="A70" s="15"/>
      <c r="B70" s="15" t="s">
        <v>66</v>
      </c>
      <c r="C70" s="15">
        <f>SUM(GETPIVOTDATA("Sum of I23: NUMBER OF STAFF TAKING TRAINING",Training!$A$4,"Year",2025))</f>
        <v>29</v>
      </c>
    </row>
    <row r="71" spans="1:3">
      <c r="A71" s="15"/>
      <c r="B71" s="15" t="s">
        <v>67</v>
      </c>
      <c r="C71" s="15">
        <f>SUM(GETPIVOTDATA("Sum of I24: NUMBER OF HOURS STAFF ATTENDED TRAINING",Training!$A$4,"Year",2025))</f>
        <v>128</v>
      </c>
    </row>
  </sheetData>
  <mergeCells count="6">
    <mergeCell ref="A65:C65"/>
    <mergeCell ref="A2:C2"/>
    <mergeCell ref="A10:C10"/>
    <mergeCell ref="A24:C24"/>
    <mergeCell ref="A25:C25"/>
    <mergeCell ref="A42:C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workbookViewId="0">
      <selection activeCell="B3" sqref="B3"/>
    </sheetView>
  </sheetViews>
  <sheetFormatPr defaultColWidth="26.7109375" defaultRowHeight="15.75" customHeight="1"/>
  <cols>
    <col min="1" max="1" width="35.5703125" bestFit="1" customWidth="1"/>
    <col min="2" max="2" width="15.7109375" bestFit="1" customWidth="1"/>
    <col min="3" max="3" width="6.5703125" bestFit="1" customWidth="1"/>
    <col min="4" max="4" width="10.5703125" bestFit="1" customWidth="1"/>
    <col min="5" max="5" width="10.42578125" bestFit="1" customWidth="1"/>
    <col min="6" max="6" width="24.7109375" bestFit="1" customWidth="1"/>
    <col min="7" max="7" width="22.5703125" bestFit="1" customWidth="1"/>
    <col min="8" max="8" width="26" bestFit="1" customWidth="1"/>
    <col min="9" max="9" width="27.28515625" bestFit="1" customWidth="1"/>
    <col min="10" max="10" width="31" bestFit="1" customWidth="1"/>
  </cols>
  <sheetData>
    <row r="1" spans="1:10" ht="15.75" customHeight="1">
      <c r="A1" s="22" t="s">
        <v>89</v>
      </c>
      <c r="B1" s="23" t="s">
        <v>221</v>
      </c>
    </row>
    <row r="3" spans="1:10" ht="90.75" customHeight="1">
      <c r="A3" s="24" t="s">
        <v>226</v>
      </c>
      <c r="B3" s="34" t="s">
        <v>16577</v>
      </c>
      <c r="C3" s="35" t="s">
        <v>16578</v>
      </c>
      <c r="D3" s="35" t="s">
        <v>16579</v>
      </c>
      <c r="E3" s="35" t="s">
        <v>16580</v>
      </c>
      <c r="F3" s="35" t="s">
        <v>16581</v>
      </c>
      <c r="G3" s="35" t="s">
        <v>16582</v>
      </c>
      <c r="H3" s="35" t="s">
        <v>16583</v>
      </c>
      <c r="I3" s="26" t="s">
        <v>16584</v>
      </c>
      <c r="J3" s="27" t="s">
        <v>16585</v>
      </c>
    </row>
    <row r="4" spans="1:10" ht="12.75">
      <c r="A4" s="30">
        <v>2024</v>
      </c>
      <c r="B4" s="83">
        <v>193</v>
      </c>
      <c r="C4" s="84">
        <v>13986</v>
      </c>
      <c r="D4" s="84"/>
      <c r="E4" s="84">
        <v>593</v>
      </c>
      <c r="F4" s="84">
        <v>2255.5</v>
      </c>
      <c r="G4" s="84"/>
      <c r="H4" s="84">
        <v>236</v>
      </c>
      <c r="I4" s="84">
        <v>178</v>
      </c>
      <c r="J4" s="85">
        <v>1227</v>
      </c>
    </row>
    <row r="5" spans="1:10" ht="12.75">
      <c r="A5" s="31">
        <v>2025</v>
      </c>
      <c r="B5" s="86">
        <v>93</v>
      </c>
      <c r="C5" s="87">
        <v>7358</v>
      </c>
      <c r="D5" s="87">
        <v>334</v>
      </c>
      <c r="E5" s="87">
        <v>463</v>
      </c>
      <c r="F5" s="87">
        <v>2060.0500000000002</v>
      </c>
      <c r="G5" s="87">
        <v>7</v>
      </c>
      <c r="H5" s="87">
        <v>200</v>
      </c>
      <c r="I5" s="87">
        <v>28</v>
      </c>
      <c r="J5" s="88">
        <v>918</v>
      </c>
    </row>
    <row r="6" spans="1:10" ht="12.75">
      <c r="A6" s="32" t="s">
        <v>227</v>
      </c>
      <c r="B6" s="89">
        <v>286</v>
      </c>
      <c r="C6" s="90">
        <v>21344</v>
      </c>
      <c r="D6" s="90">
        <v>334</v>
      </c>
      <c r="E6" s="90">
        <v>1056</v>
      </c>
      <c r="F6" s="90">
        <v>4315.55</v>
      </c>
      <c r="G6" s="90">
        <v>7</v>
      </c>
      <c r="H6" s="90">
        <v>436</v>
      </c>
      <c r="I6" s="90">
        <v>206</v>
      </c>
      <c r="J6" s="91">
        <v>2145</v>
      </c>
    </row>
    <row r="7" spans="1:10" ht="12.75"/>
    <row r="8" spans="1:10" ht="12.75">
      <c r="D8" s="16"/>
      <c r="E8" s="16"/>
    </row>
    <row r="9" spans="1:10" ht="12.75">
      <c r="D9" s="16"/>
      <c r="E9" s="16"/>
    </row>
    <row r="10" spans="1:10" ht="12.75">
      <c r="D10" s="16"/>
      <c r="E10" s="16"/>
    </row>
    <row r="11" spans="1:10" ht="12.75">
      <c r="A11" t="s">
        <v>16679</v>
      </c>
      <c r="D11" s="16"/>
      <c r="E11" s="16"/>
    </row>
    <row r="12" spans="1:10" ht="12.75">
      <c r="A12" s="25"/>
      <c r="B12" s="24" t="s">
        <v>16680</v>
      </c>
      <c r="C12" s="74"/>
      <c r="D12" s="75"/>
    </row>
    <row r="13" spans="1:10" ht="12.75">
      <c r="A13" s="33"/>
      <c r="B13" s="25">
        <v>2025</v>
      </c>
      <c r="C13" s="26" t="s">
        <v>237</v>
      </c>
      <c r="D13" s="73" t="s">
        <v>227</v>
      </c>
    </row>
    <row r="14" spans="1:10" ht="12.75">
      <c r="A14" s="28" t="s">
        <v>16583</v>
      </c>
      <c r="B14" s="89">
        <v>353</v>
      </c>
      <c r="C14" s="90"/>
      <c r="D14" s="94">
        <v>353</v>
      </c>
    </row>
    <row r="15" spans="1:10" ht="12.75">
      <c r="D15" s="16"/>
      <c r="E15" s="16"/>
    </row>
    <row r="16" spans="1:10" ht="12.75">
      <c r="D16" s="16"/>
      <c r="E16" s="16"/>
    </row>
    <row r="17" spans="1:5" ht="12.75">
      <c r="A17" t="s">
        <v>16681</v>
      </c>
      <c r="D17" s="16"/>
      <c r="E17" s="16"/>
    </row>
    <row r="18" spans="1:5" ht="12.75">
      <c r="A18" s="24" t="s">
        <v>226</v>
      </c>
      <c r="B18" s="73" t="s">
        <v>16577</v>
      </c>
      <c r="E18" s="16"/>
    </row>
    <row r="19" spans="1:5" ht="12.75">
      <c r="A19" s="30">
        <v>2024</v>
      </c>
      <c r="B19" s="92">
        <v>193</v>
      </c>
      <c r="E19" s="16"/>
    </row>
    <row r="20" spans="1:5" ht="12.75">
      <c r="A20" s="31">
        <v>2025</v>
      </c>
      <c r="B20" s="93">
        <v>157</v>
      </c>
      <c r="D20" s="16"/>
      <c r="E20" s="16"/>
    </row>
    <row r="21" spans="1:5" ht="12.75">
      <c r="A21" s="31" t="s">
        <v>237</v>
      </c>
      <c r="B21" s="93"/>
      <c r="D21" s="16"/>
      <c r="E21" s="16"/>
    </row>
    <row r="22" spans="1:5" ht="12.75">
      <c r="A22" s="31">
        <v>2026</v>
      </c>
      <c r="B22" s="93">
        <v>25</v>
      </c>
      <c r="D22" s="16"/>
      <c r="E22" s="16"/>
    </row>
    <row r="23" spans="1:5" ht="12.75">
      <c r="A23" s="32" t="s">
        <v>227</v>
      </c>
      <c r="B23" s="94">
        <v>375</v>
      </c>
      <c r="D23" s="16"/>
      <c r="E23" s="16"/>
    </row>
    <row r="24" spans="1:5" ht="12.75">
      <c r="D24" s="16"/>
      <c r="E24" s="16"/>
    </row>
    <row r="25" spans="1:5" ht="12.75">
      <c r="D25" s="16"/>
      <c r="E25" s="16"/>
    </row>
    <row r="26" spans="1:5" ht="12.75">
      <c r="D26" s="16"/>
      <c r="E26" s="16"/>
    </row>
    <row r="27" spans="1:5" ht="12.75">
      <c r="D27" s="16"/>
      <c r="E27" s="16"/>
    </row>
    <row r="28" spans="1:5" ht="12.75">
      <c r="D28" s="16"/>
      <c r="E28" s="16"/>
    </row>
    <row r="29" spans="1:5" ht="12.75">
      <c r="D29" s="16"/>
      <c r="E29" s="16"/>
    </row>
    <row r="30" spans="1:5" ht="12.75">
      <c r="D30" s="16"/>
      <c r="E30" s="16"/>
    </row>
    <row r="31" spans="1:5" ht="12.75">
      <c r="D31" s="16"/>
      <c r="E31" s="16"/>
    </row>
    <row r="32" spans="1:5" ht="12.75">
      <c r="D32" s="16"/>
      <c r="E32" s="16"/>
    </row>
    <row r="33" spans="1:5" ht="12.75">
      <c r="D33" s="16"/>
      <c r="E33" s="16"/>
    </row>
    <row r="34" spans="1:5" ht="12.75">
      <c r="D34" s="16"/>
      <c r="E34" s="16"/>
    </row>
    <row r="35" spans="1:5" ht="12.75">
      <c r="D35" s="16"/>
      <c r="E35" s="16"/>
    </row>
    <row r="36" spans="1:5" ht="12.75">
      <c r="A36" s="16"/>
      <c r="B36" s="16"/>
      <c r="C36" s="16"/>
      <c r="D36" s="16"/>
      <c r="E36" s="16"/>
    </row>
    <row r="37" spans="1:5" ht="12.75">
      <c r="A37" s="16"/>
      <c r="B37" s="16"/>
      <c r="C37" s="16"/>
      <c r="D37" s="16"/>
      <c r="E37" s="16"/>
    </row>
    <row r="38" spans="1:5" ht="12.75">
      <c r="A38" s="16"/>
      <c r="B38" s="16"/>
      <c r="C38" s="16"/>
      <c r="D38" s="16"/>
      <c r="E38" s="16"/>
    </row>
    <row r="39" spans="1:5" ht="12.75">
      <c r="A39" s="16"/>
      <c r="B39" s="16"/>
      <c r="C39" s="16"/>
      <c r="D39" s="16"/>
      <c r="E39" s="16"/>
    </row>
    <row r="40" spans="1:5" ht="12.75">
      <c r="A40" s="16"/>
      <c r="B40" s="16"/>
      <c r="C40" s="16"/>
      <c r="D40" s="16"/>
      <c r="E40" s="16"/>
    </row>
    <row r="41" spans="1:5" ht="12.75">
      <c r="A41" s="16"/>
      <c r="B41" s="16"/>
      <c r="C41" s="16"/>
      <c r="D41" s="16"/>
      <c r="E41" s="16"/>
    </row>
    <row r="42" spans="1:5" ht="12.75">
      <c r="A42" s="16"/>
      <c r="B42" s="16"/>
      <c r="C42" s="16"/>
      <c r="D42" s="16"/>
      <c r="E42" s="16"/>
    </row>
    <row r="43" spans="1:5" ht="12.75">
      <c r="A43" s="16"/>
      <c r="B43" s="16"/>
      <c r="C43" s="16"/>
      <c r="D43" s="16"/>
      <c r="E43" s="16"/>
    </row>
    <row r="44" spans="1:5" ht="12.75">
      <c r="A44" s="16"/>
      <c r="B44" s="16"/>
      <c r="C44" s="16"/>
      <c r="D44" s="16"/>
      <c r="E44" s="16"/>
    </row>
    <row r="45" spans="1:5" ht="12.75">
      <c r="A45" s="16"/>
      <c r="B45" s="16"/>
      <c r="C45" s="16"/>
      <c r="D45" s="16"/>
      <c r="E45" s="16"/>
    </row>
    <row r="46" spans="1:5" ht="12.75">
      <c r="A46" s="16"/>
      <c r="B46" s="16"/>
      <c r="C46" s="16"/>
      <c r="D46" s="16"/>
      <c r="E46" s="16"/>
    </row>
    <row r="47" spans="1:5" ht="12.75">
      <c r="A47" s="16"/>
      <c r="B47" s="16"/>
      <c r="C47" s="16"/>
      <c r="D47" s="16"/>
      <c r="E47" s="16"/>
    </row>
    <row r="48" spans="1:5" ht="12.75">
      <c r="A48" s="16"/>
      <c r="B48" s="16"/>
      <c r="C48" s="16"/>
      <c r="D48" s="16"/>
      <c r="E48" s="16"/>
    </row>
    <row r="49" spans="1:5" ht="12.75">
      <c r="A49" s="16"/>
      <c r="B49" s="16"/>
      <c r="C49" s="16"/>
      <c r="D49" s="16"/>
      <c r="E49" s="16"/>
    </row>
    <row r="50" spans="1:5" ht="12.75">
      <c r="A50" s="16"/>
      <c r="B50" s="16"/>
      <c r="C50" s="16"/>
      <c r="D50" s="16"/>
      <c r="E50" s="16"/>
    </row>
    <row r="51" spans="1:5" ht="12.75">
      <c r="A51" s="16"/>
      <c r="B51" s="16"/>
      <c r="C51" s="16"/>
      <c r="D51" s="16"/>
      <c r="E51" s="16"/>
    </row>
    <row r="52" spans="1:5" ht="12.75">
      <c r="A52" s="16"/>
      <c r="B52" s="16"/>
      <c r="C52" s="16"/>
      <c r="D52" s="16"/>
      <c r="E52" s="16"/>
    </row>
    <row r="53" spans="1:5" ht="12.75">
      <c r="A53" s="16"/>
      <c r="B53" s="16"/>
      <c r="C53" s="16"/>
      <c r="D53" s="16"/>
      <c r="E53" s="16"/>
    </row>
    <row r="54" spans="1:5" ht="12.75">
      <c r="A54" s="16"/>
      <c r="B54" s="16"/>
      <c r="C54" s="16"/>
      <c r="D54" s="16"/>
      <c r="E54" s="16"/>
    </row>
    <row r="55" spans="1:5" ht="12.75">
      <c r="A55" s="16"/>
      <c r="B55" s="16"/>
      <c r="C55" s="16"/>
      <c r="D55" s="16"/>
      <c r="E55" s="16"/>
    </row>
    <row r="56" spans="1:5" ht="12.75">
      <c r="A56" s="16"/>
      <c r="B56" s="16"/>
      <c r="C56" s="16"/>
      <c r="D56" s="16"/>
      <c r="E56" s="16"/>
    </row>
    <row r="57" spans="1:5" ht="12.75">
      <c r="A57" s="16"/>
      <c r="B57" s="16"/>
      <c r="C57" s="16"/>
      <c r="D57" s="16"/>
      <c r="E57" s="16"/>
    </row>
    <row r="58" spans="1:5" ht="12.75">
      <c r="A58" s="16"/>
      <c r="B58" s="16"/>
      <c r="C58" s="16"/>
      <c r="D58" s="16"/>
      <c r="E58" s="16"/>
    </row>
    <row r="59" spans="1:5" ht="12.75">
      <c r="A59" s="16"/>
      <c r="B59" s="16"/>
      <c r="C59" s="16"/>
      <c r="D59" s="16"/>
      <c r="E59" s="16"/>
    </row>
    <row r="60" spans="1:5" ht="12.75">
      <c r="A60" s="16"/>
      <c r="B60" s="16"/>
      <c r="C60" s="16"/>
      <c r="D60" s="16"/>
      <c r="E60" s="16"/>
    </row>
    <row r="61" spans="1:5" ht="12.75">
      <c r="A61" s="16"/>
      <c r="B61" s="16"/>
      <c r="C61" s="16"/>
      <c r="D61" s="16"/>
      <c r="E61" s="16"/>
    </row>
    <row r="62" spans="1:5" ht="12.75">
      <c r="A62" s="16"/>
      <c r="B62" s="16"/>
      <c r="C62" s="16"/>
      <c r="D62" s="16"/>
      <c r="E62" s="16"/>
    </row>
    <row r="63" spans="1:5" ht="12.75">
      <c r="A63" s="16"/>
      <c r="B63" s="16"/>
      <c r="C63" s="16"/>
      <c r="D63" s="16"/>
      <c r="E63" s="16"/>
    </row>
    <row r="64" spans="1:5" ht="12.75">
      <c r="A64" s="16"/>
      <c r="B64" s="16"/>
      <c r="C64" s="16"/>
      <c r="D64" s="16"/>
      <c r="E64" s="16"/>
    </row>
    <row r="65" spans="1:5" ht="12.75">
      <c r="A65" s="16"/>
      <c r="B65" s="16"/>
      <c r="C65" s="16"/>
      <c r="D65" s="16"/>
      <c r="E65" s="16"/>
    </row>
    <row r="66" spans="1:5" ht="12.75">
      <c r="A66" s="16"/>
      <c r="B66" s="16"/>
      <c r="C66" s="16"/>
      <c r="D66" s="16"/>
      <c r="E66" s="16"/>
    </row>
    <row r="67" spans="1:5" ht="12.75">
      <c r="A67" s="16"/>
      <c r="B67" s="16"/>
      <c r="C67" s="16"/>
      <c r="D67" s="16"/>
      <c r="E67" s="16"/>
    </row>
    <row r="68" spans="1:5" ht="12.75">
      <c r="A68" s="16"/>
      <c r="B68" s="16"/>
      <c r="C68" s="16"/>
      <c r="D68" s="16"/>
      <c r="E68" s="16"/>
    </row>
    <row r="69" spans="1:5" ht="12.75">
      <c r="A69" s="16"/>
      <c r="B69" s="16"/>
      <c r="C69" s="16"/>
      <c r="D69" s="16"/>
      <c r="E69" s="16"/>
    </row>
    <row r="70" spans="1:5" ht="12.75">
      <c r="A70" s="16"/>
      <c r="B70" s="16"/>
      <c r="C70" s="16"/>
      <c r="D70" s="16"/>
      <c r="E70" s="16"/>
    </row>
    <row r="71" spans="1:5" ht="12.75">
      <c r="A71" s="16"/>
      <c r="B71" s="16"/>
      <c r="C71" s="16"/>
      <c r="D71" s="16"/>
      <c r="E71" s="16"/>
    </row>
    <row r="72" spans="1:5" ht="12.75">
      <c r="A72" s="16"/>
      <c r="B72" s="16"/>
      <c r="C72" s="16"/>
      <c r="D72" s="16"/>
      <c r="E72" s="16"/>
    </row>
    <row r="73" spans="1:5" ht="12.75">
      <c r="A73" s="16"/>
      <c r="B73" s="16"/>
      <c r="C73" s="16"/>
      <c r="D73" s="16"/>
      <c r="E73" s="16"/>
    </row>
    <row r="74" spans="1:5" ht="12.75">
      <c r="A74" s="16"/>
      <c r="B74" s="16"/>
      <c r="C74" s="16"/>
      <c r="D74" s="16"/>
      <c r="E74" s="16"/>
    </row>
    <row r="75" spans="1:5" ht="12.75">
      <c r="A75" s="16"/>
      <c r="B75" s="16"/>
      <c r="C75" s="16"/>
      <c r="D75" s="16"/>
      <c r="E75" s="16"/>
    </row>
    <row r="76" spans="1:5" ht="12.75">
      <c r="A76" s="16"/>
      <c r="B76" s="16"/>
      <c r="C76" s="16"/>
      <c r="D76" s="16"/>
      <c r="E76" s="16"/>
    </row>
    <row r="77" spans="1:5" ht="12.75">
      <c r="A77" s="16"/>
      <c r="B77" s="16"/>
      <c r="C77" s="16"/>
      <c r="D77" s="16"/>
      <c r="E77" s="16"/>
    </row>
    <row r="78" spans="1:5" ht="12.75">
      <c r="A78" s="16"/>
      <c r="B78" s="16"/>
      <c r="C78" s="16"/>
      <c r="D78" s="16"/>
      <c r="E78" s="16"/>
    </row>
    <row r="79" spans="1:5" ht="12.75">
      <c r="A79" s="16"/>
      <c r="B79" s="16"/>
      <c r="C79" s="16"/>
      <c r="D79" s="16"/>
      <c r="E79" s="16"/>
    </row>
    <row r="80" spans="1:5" ht="12.75">
      <c r="A80" s="16"/>
      <c r="B80" s="16"/>
      <c r="C80" s="16"/>
      <c r="D80" s="16"/>
      <c r="E80" s="16"/>
    </row>
    <row r="81" spans="1:5" ht="12.75">
      <c r="A81" s="16"/>
      <c r="B81" s="16"/>
      <c r="C81" s="16"/>
      <c r="D81" s="16"/>
      <c r="E81" s="16"/>
    </row>
    <row r="82" spans="1:5" ht="12.75">
      <c r="A82" s="16"/>
      <c r="B82" s="16"/>
      <c r="C82" s="16"/>
      <c r="D82" s="16"/>
      <c r="E82" s="16"/>
    </row>
    <row r="83" spans="1:5" ht="12.75">
      <c r="A83" s="16"/>
      <c r="B83" s="16"/>
      <c r="C83" s="16"/>
      <c r="D83" s="16"/>
      <c r="E83" s="16"/>
    </row>
    <row r="84" spans="1:5" ht="12.75">
      <c r="A84" s="16"/>
      <c r="B84" s="16"/>
      <c r="C84" s="16"/>
      <c r="D84" s="16"/>
      <c r="E84" s="16"/>
    </row>
    <row r="85" spans="1:5" ht="12.75">
      <c r="A85" s="16"/>
      <c r="B85" s="16"/>
      <c r="C85" s="16"/>
      <c r="D85" s="16"/>
      <c r="E85" s="16"/>
    </row>
    <row r="86" spans="1:5" ht="12.75">
      <c r="A86" s="16"/>
      <c r="B86" s="16"/>
      <c r="C86" s="16"/>
      <c r="D86" s="16"/>
      <c r="E86" s="16"/>
    </row>
    <row r="87" spans="1:5" ht="12.75">
      <c r="A87" s="16"/>
      <c r="B87" s="16"/>
      <c r="C87" s="16"/>
      <c r="D87" s="16"/>
      <c r="E87" s="16"/>
    </row>
    <row r="88" spans="1:5" ht="12.75">
      <c r="A88" s="16"/>
      <c r="B88" s="16"/>
      <c r="C88" s="16"/>
      <c r="D88" s="16"/>
      <c r="E88" s="16"/>
    </row>
    <row r="89" spans="1:5" ht="12.75">
      <c r="A89" s="16"/>
      <c r="B89" s="16"/>
      <c r="C89" s="16"/>
      <c r="D89" s="16"/>
      <c r="E89" s="16"/>
    </row>
    <row r="90" spans="1:5" ht="12.75">
      <c r="A90" s="16"/>
      <c r="B90" s="16"/>
      <c r="C90" s="16"/>
      <c r="D90" s="16"/>
      <c r="E90" s="16"/>
    </row>
    <row r="91" spans="1:5" ht="12.75">
      <c r="A91" s="16"/>
      <c r="B91" s="16"/>
      <c r="C91" s="16"/>
      <c r="D91" s="16"/>
      <c r="E91" s="16"/>
    </row>
    <row r="92" spans="1:5" ht="12.75">
      <c r="A92" s="16"/>
      <c r="B92" s="16"/>
      <c r="C92" s="16"/>
      <c r="D92" s="16"/>
      <c r="E92" s="16"/>
    </row>
    <row r="93" spans="1:5" ht="12.75">
      <c r="A93" s="16"/>
      <c r="B93" s="16"/>
      <c r="C93" s="16"/>
      <c r="D93" s="16"/>
      <c r="E93" s="16"/>
    </row>
    <row r="94" spans="1:5" ht="12.75">
      <c r="A94" s="16"/>
      <c r="B94" s="16"/>
      <c r="C94" s="16"/>
      <c r="D94" s="16"/>
      <c r="E94" s="16"/>
    </row>
    <row r="95" spans="1:5" ht="12.75">
      <c r="A95" s="16"/>
      <c r="B95" s="16"/>
      <c r="C95" s="16"/>
      <c r="D95" s="16"/>
      <c r="E95" s="16"/>
    </row>
    <row r="96" spans="1:5" ht="12.75">
      <c r="A96" s="16"/>
      <c r="B96" s="16"/>
      <c r="C96" s="16"/>
      <c r="D96" s="16"/>
      <c r="E96" s="16"/>
    </row>
    <row r="97" spans="1:5" ht="12.75">
      <c r="A97" s="16"/>
      <c r="B97" s="16"/>
      <c r="C97" s="16"/>
      <c r="D97" s="16"/>
      <c r="E97" s="16"/>
    </row>
    <row r="98" spans="1:5" ht="12.75">
      <c r="A98" s="16"/>
      <c r="B98" s="16"/>
      <c r="C98" s="16"/>
      <c r="D98" s="16"/>
      <c r="E98" s="16"/>
    </row>
    <row r="99" spans="1:5" ht="12.75">
      <c r="A99" s="16"/>
      <c r="B99" s="16"/>
      <c r="C99" s="16"/>
      <c r="D99" s="16"/>
      <c r="E99" s="16"/>
    </row>
    <row r="100" spans="1:5" ht="12.75">
      <c r="A100" s="16"/>
      <c r="B100" s="16"/>
      <c r="C100" s="16"/>
      <c r="D100" s="16"/>
      <c r="E100" s="16"/>
    </row>
    <row r="101" spans="1:5" ht="12.75">
      <c r="A101" s="16"/>
      <c r="B101" s="16"/>
      <c r="C101" s="16"/>
      <c r="D101" s="16"/>
      <c r="E101" s="16"/>
    </row>
    <row r="102" spans="1:5" ht="12.75">
      <c r="A102" s="16"/>
      <c r="B102" s="16"/>
      <c r="C102" s="16"/>
      <c r="D102" s="16"/>
      <c r="E102" s="16"/>
    </row>
    <row r="103" spans="1:5" ht="12.75">
      <c r="A103" s="16"/>
      <c r="B103" s="16"/>
      <c r="C103" s="16"/>
      <c r="D103" s="16"/>
      <c r="E103" s="16"/>
    </row>
    <row r="104" spans="1:5" ht="12.75">
      <c r="A104" s="16"/>
      <c r="B104" s="16"/>
      <c r="C104" s="16"/>
      <c r="D104" s="16"/>
      <c r="E104" s="16"/>
    </row>
    <row r="105" spans="1:5" ht="12.75">
      <c r="A105" s="16"/>
      <c r="B105" s="16"/>
      <c r="C105" s="16"/>
      <c r="D105" s="16"/>
      <c r="E105" s="16"/>
    </row>
    <row r="106" spans="1:5" ht="12.75">
      <c r="A106" s="16"/>
      <c r="B106" s="16"/>
      <c r="C106" s="16"/>
      <c r="D106" s="16"/>
      <c r="E106" s="16"/>
    </row>
    <row r="107" spans="1:5" ht="12.75">
      <c r="A107" s="16"/>
      <c r="B107" s="16"/>
      <c r="C107" s="16"/>
      <c r="D107" s="16"/>
      <c r="E107" s="16"/>
    </row>
    <row r="108" spans="1:5" ht="12.75">
      <c r="A108" s="16"/>
      <c r="B108" s="16"/>
      <c r="C108" s="16"/>
      <c r="D108" s="16"/>
      <c r="E108" s="16"/>
    </row>
    <row r="109" spans="1:5" ht="12.75">
      <c r="A109" s="16"/>
      <c r="B109" s="16"/>
      <c r="C109" s="16"/>
      <c r="D109" s="16"/>
      <c r="E109" s="16"/>
    </row>
    <row r="110" spans="1:5" ht="12.75">
      <c r="A110" s="16"/>
      <c r="B110" s="16"/>
      <c r="C110" s="16"/>
      <c r="D110" s="16"/>
      <c r="E110" s="16"/>
    </row>
    <row r="111" spans="1:5" ht="12.75">
      <c r="A111" s="16"/>
      <c r="B111" s="16"/>
      <c r="C111" s="16"/>
      <c r="D111" s="16"/>
      <c r="E111" s="16"/>
    </row>
    <row r="112" spans="1:5" ht="12.75">
      <c r="A112" s="16"/>
      <c r="B112" s="16"/>
      <c r="C112" s="16"/>
      <c r="D112" s="16"/>
      <c r="E112" s="16"/>
    </row>
    <row r="113" spans="1:5" ht="12.75">
      <c r="A113" s="16"/>
      <c r="B113" s="16"/>
      <c r="C113" s="16"/>
      <c r="D113" s="16"/>
      <c r="E113" s="16"/>
    </row>
    <row r="114" spans="1:5" ht="12.75">
      <c r="A114" s="16"/>
      <c r="B114" s="16"/>
      <c r="C114" s="16"/>
      <c r="D114" s="16"/>
      <c r="E114" s="16"/>
    </row>
    <row r="115" spans="1:5" ht="12.75">
      <c r="A115" s="16"/>
      <c r="B115" s="16"/>
      <c r="C115" s="16"/>
      <c r="D115" s="16"/>
      <c r="E115" s="16"/>
    </row>
    <row r="116" spans="1:5" ht="12.75">
      <c r="A116" s="16"/>
      <c r="B116" s="16"/>
      <c r="C116" s="16"/>
      <c r="D116" s="16"/>
      <c r="E116" s="16"/>
    </row>
    <row r="117" spans="1:5" ht="12.75">
      <c r="A117" s="16"/>
      <c r="B117" s="16"/>
      <c r="C117" s="16"/>
      <c r="D117" s="16"/>
      <c r="E117" s="16"/>
    </row>
    <row r="118" spans="1:5" ht="12.75">
      <c r="A118" s="16"/>
      <c r="B118" s="16"/>
      <c r="C118" s="16"/>
      <c r="D118" s="16"/>
      <c r="E118" s="16"/>
    </row>
    <row r="119" spans="1:5" ht="12.75">
      <c r="A119" s="16"/>
      <c r="B119" s="16"/>
      <c r="C119" s="16"/>
      <c r="D119" s="16"/>
      <c r="E119" s="16"/>
    </row>
    <row r="120" spans="1:5" ht="12.75">
      <c r="A120" s="16"/>
      <c r="B120" s="16"/>
      <c r="C120" s="16"/>
      <c r="D120" s="16"/>
      <c r="E120" s="16"/>
    </row>
    <row r="121" spans="1:5" ht="12.75">
      <c r="A121" s="16"/>
      <c r="B121" s="16"/>
      <c r="C121" s="16"/>
      <c r="D121" s="16"/>
      <c r="E121" s="16"/>
    </row>
    <row r="122" spans="1:5" ht="12.75">
      <c r="A122" s="16"/>
      <c r="B122" s="16"/>
      <c r="C122" s="16"/>
      <c r="D122" s="16"/>
      <c r="E122" s="16"/>
    </row>
    <row r="123" spans="1:5" ht="12.75">
      <c r="A123" s="16"/>
      <c r="B123" s="16"/>
      <c r="C123" s="16"/>
      <c r="D123" s="16"/>
      <c r="E123" s="16"/>
    </row>
    <row r="124" spans="1:5" ht="12.75">
      <c r="A124" s="16"/>
      <c r="B124" s="16"/>
      <c r="C124" s="16"/>
      <c r="D124" s="16"/>
      <c r="E124" s="16"/>
    </row>
    <row r="125" spans="1:5" ht="12.75">
      <c r="A125" s="16"/>
      <c r="B125" s="16"/>
      <c r="C125" s="16"/>
      <c r="D125" s="16"/>
      <c r="E125" s="16"/>
    </row>
    <row r="126" spans="1:5" ht="12.75">
      <c r="A126" s="16"/>
      <c r="B126" s="16"/>
      <c r="C126" s="16"/>
      <c r="D126" s="16"/>
      <c r="E126" s="16"/>
    </row>
    <row r="127" spans="1:5" ht="12.75">
      <c r="A127" s="16"/>
      <c r="B127" s="16"/>
      <c r="C127" s="16"/>
      <c r="D127" s="16"/>
      <c r="E127" s="16"/>
    </row>
    <row r="128" spans="1:5" ht="12.75">
      <c r="A128" s="16"/>
      <c r="B128" s="16"/>
      <c r="C128" s="16"/>
      <c r="D128" s="16"/>
      <c r="E128" s="16"/>
    </row>
    <row r="129" spans="1:5" ht="12.75">
      <c r="A129" s="16"/>
      <c r="B129" s="16"/>
      <c r="C129" s="16"/>
      <c r="D129" s="16"/>
      <c r="E129" s="16"/>
    </row>
    <row r="130" spans="1:5" ht="12.75">
      <c r="A130" s="16"/>
      <c r="B130" s="16"/>
      <c r="C130" s="16"/>
      <c r="D130" s="16"/>
      <c r="E130" s="16"/>
    </row>
    <row r="131" spans="1:5" ht="12.75">
      <c r="A131" s="16"/>
      <c r="B131" s="16"/>
      <c r="C131" s="16"/>
      <c r="D131" s="16"/>
      <c r="E131" s="16"/>
    </row>
    <row r="132" spans="1:5" ht="12.75">
      <c r="A132" s="16"/>
      <c r="B132" s="16"/>
      <c r="C132" s="16"/>
      <c r="D132" s="16"/>
      <c r="E132" s="16"/>
    </row>
    <row r="133" spans="1:5" ht="12.75">
      <c r="A133" s="16"/>
      <c r="B133" s="16"/>
      <c r="C133" s="16"/>
      <c r="D133" s="16"/>
      <c r="E133" s="16"/>
    </row>
    <row r="134" spans="1:5" ht="12.75">
      <c r="A134" s="16"/>
      <c r="B134" s="16"/>
      <c r="C134" s="16"/>
      <c r="D134" s="16"/>
      <c r="E134" s="16"/>
    </row>
    <row r="135" spans="1:5" ht="12.75">
      <c r="A135" s="16"/>
      <c r="B135" s="16"/>
      <c r="C135" s="16"/>
      <c r="D135" s="16"/>
      <c r="E135" s="16"/>
    </row>
    <row r="136" spans="1:5" ht="12.75">
      <c r="A136" s="16"/>
      <c r="B136" s="16"/>
      <c r="C136" s="16"/>
      <c r="D136" s="16"/>
      <c r="E136" s="16"/>
    </row>
    <row r="137" spans="1:5" ht="12.75">
      <c r="A137" s="16"/>
      <c r="B137" s="16"/>
      <c r="C137" s="16"/>
      <c r="D137" s="16"/>
      <c r="E137" s="16"/>
    </row>
    <row r="138" spans="1:5" ht="12.75">
      <c r="A138" s="16"/>
      <c r="B138" s="16"/>
      <c r="C138" s="16"/>
      <c r="D138" s="16"/>
      <c r="E138" s="16"/>
    </row>
    <row r="139" spans="1:5" ht="12.75">
      <c r="A139" s="16"/>
      <c r="B139" s="16"/>
      <c r="C139" s="16"/>
      <c r="D139" s="16"/>
      <c r="E139" s="16"/>
    </row>
    <row r="140" spans="1:5" ht="12.75">
      <c r="A140" s="16"/>
      <c r="B140" s="16"/>
      <c r="C140" s="16"/>
      <c r="D140" s="16"/>
      <c r="E140" s="16"/>
    </row>
    <row r="141" spans="1:5" ht="12.75">
      <c r="A141" s="16"/>
      <c r="B141" s="16"/>
      <c r="C141" s="16"/>
      <c r="D141" s="16"/>
      <c r="E141" s="16"/>
    </row>
    <row r="142" spans="1:5" ht="12.75">
      <c r="A142" s="16"/>
      <c r="B142" s="16"/>
      <c r="C142" s="16"/>
      <c r="D142" s="16"/>
      <c r="E142" s="16"/>
    </row>
    <row r="143" spans="1:5" ht="12.75">
      <c r="A143" s="16"/>
      <c r="B143" s="16"/>
      <c r="C143" s="16"/>
      <c r="D143" s="16"/>
      <c r="E143" s="16"/>
    </row>
    <row r="144" spans="1:5" ht="12.75">
      <c r="A144" s="16"/>
      <c r="B144" s="16"/>
      <c r="C144" s="16"/>
      <c r="D144" s="16"/>
      <c r="E144" s="16"/>
    </row>
    <row r="145" spans="1:5" ht="12.75">
      <c r="A145" s="16"/>
      <c r="B145" s="16"/>
      <c r="C145" s="16"/>
      <c r="D145" s="16"/>
      <c r="E145" s="16"/>
    </row>
    <row r="146" spans="1:5" ht="12.75">
      <c r="A146" s="16"/>
      <c r="B146" s="16"/>
      <c r="C146" s="16"/>
      <c r="D146" s="16"/>
      <c r="E146" s="16"/>
    </row>
    <row r="147" spans="1:5" ht="12.75">
      <c r="A147" s="16"/>
      <c r="B147" s="16"/>
      <c r="C147" s="16"/>
      <c r="D147" s="16"/>
      <c r="E147" s="16"/>
    </row>
    <row r="148" spans="1:5" ht="12.75">
      <c r="A148" s="16"/>
      <c r="B148" s="16"/>
      <c r="C148" s="16"/>
      <c r="D148" s="16"/>
      <c r="E148" s="16"/>
    </row>
    <row r="149" spans="1:5" ht="12.75">
      <c r="A149" s="16"/>
      <c r="B149" s="16"/>
      <c r="C149" s="16"/>
      <c r="D149" s="16"/>
      <c r="E149" s="16"/>
    </row>
    <row r="150" spans="1:5" ht="12.75">
      <c r="A150" s="16"/>
      <c r="B150" s="16"/>
      <c r="C150" s="16"/>
      <c r="D150" s="16"/>
      <c r="E150" s="16"/>
    </row>
    <row r="151" spans="1:5" ht="12.75">
      <c r="A151" s="16"/>
      <c r="B151" s="16"/>
      <c r="C151" s="16"/>
      <c r="D151" s="16"/>
      <c r="E151" s="16"/>
    </row>
    <row r="152" spans="1:5" ht="12.75">
      <c r="A152" s="16"/>
      <c r="B152" s="16"/>
      <c r="C152" s="16"/>
      <c r="D152" s="16"/>
      <c r="E152" s="16"/>
    </row>
    <row r="153" spans="1:5" ht="12.75">
      <c r="A153" s="16"/>
      <c r="B153" s="16"/>
      <c r="C153" s="16"/>
      <c r="D153" s="16"/>
      <c r="E153" s="16"/>
    </row>
    <row r="154" spans="1:5" ht="12.75">
      <c r="A154" s="16"/>
      <c r="B154" s="16"/>
      <c r="C154" s="16"/>
      <c r="D154" s="16"/>
      <c r="E154" s="16"/>
    </row>
    <row r="155" spans="1:5" ht="12.75">
      <c r="A155" s="16"/>
      <c r="B155" s="16"/>
      <c r="C155" s="16"/>
      <c r="D155" s="16"/>
      <c r="E155" s="16"/>
    </row>
    <row r="156" spans="1:5" ht="12.75">
      <c r="A156" s="16"/>
      <c r="B156" s="16"/>
      <c r="C156" s="16"/>
      <c r="D156" s="16"/>
      <c r="E156" s="16"/>
    </row>
    <row r="157" spans="1:5" ht="12.75">
      <c r="A157" s="16"/>
      <c r="B157" s="16"/>
      <c r="C157" s="16"/>
      <c r="D157" s="16"/>
      <c r="E157" s="16"/>
    </row>
    <row r="158" spans="1:5" ht="12.75">
      <c r="A158" s="16"/>
      <c r="B158" s="16"/>
      <c r="C158" s="16"/>
      <c r="D158" s="16"/>
      <c r="E158" s="16"/>
    </row>
    <row r="159" spans="1:5" ht="12.75">
      <c r="A159" s="16"/>
      <c r="B159" s="16"/>
      <c r="C159" s="16"/>
      <c r="D159" s="16"/>
      <c r="E159" s="16"/>
    </row>
    <row r="160" spans="1:5" ht="12.75">
      <c r="A160" s="16"/>
      <c r="B160" s="16"/>
      <c r="C160" s="16"/>
      <c r="D160" s="16"/>
      <c r="E160" s="16"/>
    </row>
    <row r="161" spans="1:5" ht="12.75">
      <c r="A161" s="16"/>
      <c r="B161" s="16"/>
      <c r="C161" s="16"/>
      <c r="D161" s="16"/>
      <c r="E161" s="16"/>
    </row>
    <row r="162" spans="1:5" ht="12.75">
      <c r="A162" s="16"/>
      <c r="B162" s="16"/>
      <c r="C162" s="16"/>
      <c r="D162" s="16"/>
      <c r="E162" s="16"/>
    </row>
    <row r="163" spans="1:5" ht="12.75">
      <c r="A163" s="16"/>
      <c r="B163" s="16"/>
      <c r="C163" s="16"/>
      <c r="D163" s="16"/>
      <c r="E163" s="16"/>
    </row>
    <row r="164" spans="1:5" ht="12.75">
      <c r="A164" s="16"/>
      <c r="B164" s="16"/>
      <c r="C164" s="16"/>
      <c r="D164" s="16"/>
      <c r="E164" s="16"/>
    </row>
    <row r="165" spans="1:5" ht="12.75">
      <c r="A165" s="16"/>
      <c r="B165" s="16"/>
      <c r="C165" s="16"/>
      <c r="D165" s="16"/>
      <c r="E165" s="16"/>
    </row>
    <row r="166" spans="1:5" ht="12.75">
      <c r="A166" s="16"/>
      <c r="B166" s="16"/>
      <c r="C166" s="16"/>
      <c r="D166" s="16"/>
      <c r="E166" s="16"/>
    </row>
    <row r="167" spans="1:5" ht="12.75">
      <c r="A167" s="16"/>
      <c r="B167" s="16"/>
      <c r="C167" s="16"/>
      <c r="D167" s="16"/>
      <c r="E167" s="16"/>
    </row>
    <row r="168" spans="1:5" ht="12.75">
      <c r="A168" s="16"/>
      <c r="B168" s="16"/>
      <c r="C168" s="16"/>
      <c r="D168" s="16"/>
      <c r="E168" s="16"/>
    </row>
    <row r="169" spans="1:5" ht="12.75">
      <c r="A169" s="16"/>
      <c r="B169" s="16"/>
      <c r="C169" s="16"/>
      <c r="D169" s="16"/>
      <c r="E169" s="16"/>
    </row>
    <row r="170" spans="1:5" ht="12.75">
      <c r="A170" s="16"/>
      <c r="B170" s="16"/>
      <c r="C170" s="16"/>
      <c r="D170" s="16"/>
      <c r="E170" s="16"/>
    </row>
    <row r="171" spans="1:5" ht="12.75">
      <c r="A171" s="16"/>
      <c r="B171" s="16"/>
      <c r="C171" s="16"/>
      <c r="D171" s="16"/>
      <c r="E171" s="16"/>
    </row>
    <row r="172" spans="1:5" ht="12.75">
      <c r="A172" s="16"/>
      <c r="B172" s="16"/>
      <c r="C172" s="16"/>
      <c r="D172" s="16"/>
      <c r="E172" s="16"/>
    </row>
    <row r="173" spans="1:5" ht="12.75">
      <c r="A173" s="16"/>
      <c r="B173" s="16"/>
      <c r="C173" s="16"/>
      <c r="D173" s="16"/>
      <c r="E173" s="16"/>
    </row>
    <row r="174" spans="1:5" ht="12.75">
      <c r="A174" s="16"/>
      <c r="B174" s="16"/>
      <c r="C174" s="16"/>
      <c r="D174" s="16"/>
      <c r="E174" s="16"/>
    </row>
    <row r="175" spans="1:5" ht="12.75">
      <c r="A175" s="16"/>
      <c r="B175" s="16"/>
      <c r="C175" s="16"/>
      <c r="D175" s="16"/>
      <c r="E175" s="16"/>
    </row>
    <row r="176" spans="1:5" ht="12.75">
      <c r="A176" s="16"/>
      <c r="B176" s="16"/>
      <c r="C176" s="16"/>
      <c r="D176" s="16"/>
      <c r="E176" s="16"/>
    </row>
    <row r="177" spans="1:5" ht="12.75">
      <c r="A177" s="16"/>
      <c r="B177" s="16"/>
      <c r="C177" s="16"/>
      <c r="D177" s="16"/>
      <c r="E177" s="16"/>
    </row>
    <row r="178" spans="1:5" ht="12.75">
      <c r="A178" s="16"/>
      <c r="B178" s="16"/>
      <c r="C178" s="16"/>
      <c r="D178" s="16"/>
      <c r="E178" s="16"/>
    </row>
    <row r="179" spans="1:5" ht="12.75">
      <c r="A179" s="16"/>
      <c r="B179" s="16"/>
      <c r="C179" s="16"/>
      <c r="D179" s="16"/>
      <c r="E179" s="16"/>
    </row>
    <row r="180" spans="1:5" ht="12.75">
      <c r="A180" s="16"/>
      <c r="B180" s="16"/>
      <c r="C180" s="16"/>
      <c r="D180" s="16"/>
      <c r="E180" s="16"/>
    </row>
    <row r="181" spans="1:5" ht="12.75">
      <c r="A181" s="16"/>
      <c r="B181" s="16"/>
      <c r="C181" s="16"/>
      <c r="D181" s="16"/>
      <c r="E181" s="16"/>
    </row>
    <row r="182" spans="1:5" ht="12.75">
      <c r="A182" s="16"/>
      <c r="B182" s="16"/>
      <c r="C182" s="16"/>
      <c r="D182" s="16"/>
      <c r="E182" s="16"/>
    </row>
    <row r="183" spans="1:5" ht="12.75">
      <c r="A183" s="16"/>
      <c r="B183" s="16"/>
      <c r="C183" s="16"/>
      <c r="D183" s="16"/>
      <c r="E183" s="16"/>
    </row>
    <row r="184" spans="1:5" ht="12.75">
      <c r="A184" s="16"/>
      <c r="B184" s="16"/>
      <c r="C184" s="16"/>
      <c r="D184" s="16"/>
      <c r="E184" s="16"/>
    </row>
    <row r="185" spans="1:5" ht="12.75">
      <c r="A185" s="16"/>
      <c r="B185" s="16"/>
      <c r="C185" s="16"/>
      <c r="D185" s="16"/>
      <c r="E185" s="16"/>
    </row>
    <row r="186" spans="1:5" ht="12.75">
      <c r="A186" s="16"/>
      <c r="B186" s="16"/>
      <c r="C186" s="16"/>
      <c r="D186" s="16"/>
      <c r="E186" s="16"/>
    </row>
    <row r="187" spans="1:5" ht="12.75">
      <c r="A187" s="16"/>
      <c r="B187" s="16"/>
      <c r="C187" s="16"/>
      <c r="D187" s="16"/>
      <c r="E187" s="16"/>
    </row>
    <row r="188" spans="1:5" ht="12.75">
      <c r="A188" s="16"/>
      <c r="B188" s="16"/>
      <c r="C188" s="16"/>
      <c r="D188" s="16"/>
      <c r="E188" s="16"/>
    </row>
    <row r="189" spans="1:5" ht="12.75">
      <c r="A189" s="16"/>
      <c r="B189" s="16"/>
      <c r="C189" s="16"/>
      <c r="D189" s="16"/>
      <c r="E189" s="16"/>
    </row>
    <row r="190" spans="1:5" ht="12.75">
      <c r="A190" s="16"/>
      <c r="B190" s="16"/>
      <c r="C190" s="16"/>
      <c r="D190" s="16"/>
      <c r="E190" s="16"/>
    </row>
    <row r="191" spans="1:5" ht="12.75">
      <c r="A191" s="16"/>
      <c r="B191" s="16"/>
      <c r="C191" s="16"/>
      <c r="D191" s="16"/>
      <c r="E191" s="16"/>
    </row>
    <row r="192" spans="1:5" ht="12.75">
      <c r="A192" s="16"/>
      <c r="B192" s="16"/>
      <c r="C192" s="16"/>
      <c r="D192" s="16"/>
      <c r="E192" s="16"/>
    </row>
    <row r="193" spans="1:5" ht="12.75">
      <c r="A193" s="16"/>
      <c r="B193" s="16"/>
      <c r="C193" s="16"/>
      <c r="D193" s="16"/>
      <c r="E193" s="16"/>
    </row>
    <row r="194" spans="1:5" ht="12.75">
      <c r="A194" s="16"/>
      <c r="B194" s="16"/>
      <c r="C194" s="16"/>
      <c r="D194" s="16"/>
      <c r="E194" s="16"/>
    </row>
    <row r="195" spans="1:5" ht="12.75">
      <c r="A195" s="16"/>
      <c r="B195" s="16"/>
      <c r="C195" s="16"/>
      <c r="D195" s="16"/>
      <c r="E195" s="16"/>
    </row>
    <row r="196" spans="1:5" ht="12.75">
      <c r="A196" s="16"/>
      <c r="B196" s="16"/>
      <c r="C196" s="16"/>
      <c r="D196" s="16"/>
      <c r="E196" s="16"/>
    </row>
    <row r="197" spans="1:5" ht="12.75">
      <c r="A197" s="16"/>
      <c r="B197" s="16"/>
      <c r="C197" s="16"/>
      <c r="D197" s="16"/>
      <c r="E197" s="16"/>
    </row>
    <row r="198" spans="1:5" ht="12.75">
      <c r="A198" s="16"/>
      <c r="B198" s="16"/>
      <c r="C198" s="16"/>
      <c r="D198" s="16"/>
      <c r="E198" s="16"/>
    </row>
    <row r="199" spans="1:5" ht="12.75">
      <c r="A199" s="16"/>
      <c r="B199" s="16"/>
      <c r="C199" s="16"/>
      <c r="D199" s="16"/>
      <c r="E199" s="16"/>
    </row>
    <row r="200" spans="1:5" ht="12.75">
      <c r="A200" s="16"/>
      <c r="B200" s="16"/>
      <c r="C200" s="16"/>
      <c r="D200" s="16"/>
      <c r="E200" s="16"/>
    </row>
    <row r="201" spans="1:5" ht="12.75">
      <c r="A201" s="16"/>
      <c r="B201" s="16"/>
      <c r="C201" s="16"/>
      <c r="D201" s="16"/>
      <c r="E201" s="16"/>
    </row>
    <row r="202" spans="1:5" ht="12.75">
      <c r="A202" s="16"/>
      <c r="B202" s="16"/>
      <c r="C202" s="16"/>
      <c r="D202" s="16"/>
      <c r="E202" s="16"/>
    </row>
    <row r="203" spans="1:5" ht="12.75">
      <c r="A203" s="16"/>
      <c r="B203" s="16"/>
      <c r="C203" s="16"/>
      <c r="D203" s="16"/>
      <c r="E203" s="16"/>
    </row>
    <row r="204" spans="1:5" ht="12.75">
      <c r="A204" s="16"/>
      <c r="B204" s="16"/>
      <c r="C204" s="16"/>
      <c r="D204" s="16"/>
      <c r="E204" s="16"/>
    </row>
    <row r="205" spans="1:5" ht="12.75">
      <c r="A205" s="16"/>
      <c r="B205" s="16"/>
      <c r="C205" s="16"/>
      <c r="D205" s="16"/>
      <c r="E205" s="16"/>
    </row>
    <row r="206" spans="1:5" ht="12.75">
      <c r="A206" s="16"/>
      <c r="B206" s="16"/>
      <c r="C206" s="16"/>
      <c r="D206" s="16"/>
      <c r="E206" s="16"/>
    </row>
    <row r="207" spans="1:5" ht="12.75">
      <c r="A207" s="16"/>
      <c r="B207" s="16"/>
      <c r="C207" s="16"/>
      <c r="D207" s="16"/>
      <c r="E207" s="16"/>
    </row>
    <row r="208" spans="1:5" ht="12.75">
      <c r="A208" s="16"/>
      <c r="B208" s="16"/>
      <c r="C208" s="16"/>
      <c r="D208" s="16"/>
      <c r="E208" s="16"/>
    </row>
    <row r="209" spans="1:5" ht="12.75">
      <c r="A209" s="16"/>
      <c r="B209" s="16"/>
      <c r="C209" s="16"/>
      <c r="D209" s="16"/>
      <c r="E209" s="16"/>
    </row>
    <row r="210" spans="1:5" ht="12.75">
      <c r="A210" s="16"/>
      <c r="B210" s="16"/>
      <c r="C210" s="16"/>
      <c r="D210" s="16"/>
      <c r="E210" s="16"/>
    </row>
    <row r="211" spans="1:5" ht="12.75">
      <c r="A211" s="16"/>
      <c r="B211" s="16"/>
      <c r="C211" s="16"/>
      <c r="D211" s="16"/>
      <c r="E211" s="16"/>
    </row>
    <row r="212" spans="1:5" ht="12.75">
      <c r="A212" s="16"/>
      <c r="B212" s="16"/>
      <c r="C212" s="16"/>
      <c r="D212" s="16"/>
      <c r="E212" s="16"/>
    </row>
    <row r="213" spans="1:5" ht="12.75">
      <c r="A213" s="16"/>
      <c r="B213" s="16"/>
      <c r="C213" s="16"/>
      <c r="D213" s="16"/>
      <c r="E213" s="16"/>
    </row>
    <row r="214" spans="1:5" ht="12.75">
      <c r="A214" s="16"/>
      <c r="B214" s="16"/>
      <c r="C214" s="16"/>
      <c r="D214" s="16"/>
      <c r="E214" s="16"/>
    </row>
    <row r="215" spans="1:5" ht="12.75">
      <c r="A215" s="16"/>
      <c r="B215" s="16"/>
      <c r="C215" s="16"/>
      <c r="D215" s="16"/>
      <c r="E215" s="16"/>
    </row>
    <row r="216" spans="1:5" ht="12.75">
      <c r="A216" s="16"/>
      <c r="B216" s="16"/>
      <c r="C216" s="16"/>
      <c r="D216" s="16"/>
      <c r="E216" s="16"/>
    </row>
    <row r="217" spans="1:5" ht="12.75">
      <c r="A217" s="16"/>
      <c r="B217" s="16"/>
      <c r="C217" s="16"/>
      <c r="D217" s="16"/>
      <c r="E217" s="16"/>
    </row>
    <row r="218" spans="1:5" ht="12.75">
      <c r="A218" s="16"/>
      <c r="B218" s="16"/>
      <c r="C218" s="16"/>
      <c r="D218" s="16"/>
      <c r="E218" s="16"/>
    </row>
    <row r="219" spans="1:5" ht="12.75">
      <c r="A219" s="16"/>
      <c r="B219" s="16"/>
      <c r="C219" s="16"/>
      <c r="D219" s="16"/>
      <c r="E219" s="16"/>
    </row>
    <row r="220" spans="1:5" ht="12.75">
      <c r="A220" s="16"/>
      <c r="B220" s="16"/>
      <c r="C220" s="16"/>
      <c r="D220" s="16"/>
      <c r="E220" s="16"/>
    </row>
    <row r="221" spans="1:5" ht="12.75">
      <c r="A221" s="16"/>
      <c r="B221" s="16"/>
      <c r="C221" s="16"/>
      <c r="D221" s="16"/>
      <c r="E221" s="16"/>
    </row>
    <row r="222" spans="1:5" ht="12.75">
      <c r="A222" s="16"/>
      <c r="B222" s="16"/>
      <c r="C222" s="16"/>
      <c r="D222" s="16"/>
      <c r="E222" s="16"/>
    </row>
    <row r="223" spans="1:5" ht="12.75">
      <c r="A223" s="16"/>
      <c r="B223" s="16"/>
      <c r="C223" s="16"/>
      <c r="D223" s="16"/>
      <c r="E223" s="16"/>
    </row>
    <row r="224" spans="1:5" ht="12.75">
      <c r="A224" s="16"/>
      <c r="B224" s="16"/>
      <c r="C224" s="16"/>
      <c r="D224" s="16"/>
      <c r="E224" s="16"/>
    </row>
    <row r="225" spans="1:5" ht="12.75">
      <c r="A225" s="16"/>
      <c r="B225" s="16"/>
      <c r="C225" s="16"/>
      <c r="D225" s="16"/>
      <c r="E225" s="16"/>
    </row>
    <row r="226" spans="1:5" ht="12.75">
      <c r="A226" s="16"/>
      <c r="B226" s="16"/>
      <c r="C226" s="16"/>
      <c r="D226" s="16"/>
      <c r="E226" s="16"/>
    </row>
    <row r="227" spans="1:5" ht="12.75">
      <c r="A227" s="16"/>
      <c r="B227" s="16"/>
      <c r="C227" s="16"/>
      <c r="D227" s="16"/>
      <c r="E227" s="16"/>
    </row>
    <row r="228" spans="1:5" ht="12.75">
      <c r="A228" s="16"/>
      <c r="B228" s="16"/>
      <c r="C228" s="16"/>
      <c r="D228" s="16"/>
      <c r="E228" s="16"/>
    </row>
    <row r="229" spans="1:5" ht="12.75">
      <c r="A229" s="16"/>
      <c r="B229" s="16"/>
      <c r="C229" s="16"/>
      <c r="D229" s="16"/>
      <c r="E229" s="16"/>
    </row>
    <row r="230" spans="1:5" ht="12.75">
      <c r="A230" s="16"/>
      <c r="B230" s="16"/>
      <c r="C230" s="16"/>
      <c r="D230" s="16"/>
      <c r="E230" s="16"/>
    </row>
    <row r="231" spans="1:5" ht="12.75">
      <c r="A231" s="16"/>
      <c r="B231" s="16"/>
      <c r="C231" s="16"/>
      <c r="D231" s="16"/>
      <c r="E231" s="16"/>
    </row>
    <row r="232" spans="1:5" ht="12.75">
      <c r="A232" s="16"/>
      <c r="B232" s="16"/>
      <c r="C232" s="16"/>
      <c r="D232" s="16"/>
      <c r="E232" s="16"/>
    </row>
    <row r="233" spans="1:5" ht="12.75">
      <c r="A233" s="16"/>
      <c r="B233" s="16"/>
      <c r="C233" s="16"/>
      <c r="D233" s="16"/>
      <c r="E233" s="16"/>
    </row>
    <row r="234" spans="1:5" ht="12.75">
      <c r="A234" s="16"/>
      <c r="B234" s="16"/>
      <c r="C234" s="16"/>
      <c r="D234" s="16"/>
      <c r="E234" s="16"/>
    </row>
    <row r="235" spans="1:5" ht="12.75">
      <c r="A235" s="16"/>
      <c r="B235" s="16"/>
      <c r="C235" s="16"/>
      <c r="D235" s="16"/>
      <c r="E235" s="16"/>
    </row>
    <row r="236" spans="1:5" ht="12.75">
      <c r="A236" s="16"/>
      <c r="B236" s="16"/>
      <c r="C236" s="16"/>
      <c r="D236" s="16"/>
      <c r="E236" s="16"/>
    </row>
    <row r="237" spans="1:5" ht="12.75">
      <c r="A237" s="16"/>
      <c r="B237" s="16"/>
      <c r="C237" s="16"/>
      <c r="D237" s="16"/>
      <c r="E237" s="16"/>
    </row>
    <row r="238" spans="1:5" ht="12.75">
      <c r="A238" s="16"/>
      <c r="B238" s="16"/>
      <c r="C238" s="16"/>
      <c r="D238" s="16"/>
      <c r="E238" s="16"/>
    </row>
    <row r="239" spans="1:5" ht="12.75">
      <c r="A239" s="16"/>
      <c r="B239" s="16"/>
      <c r="C239" s="16"/>
      <c r="D239" s="16"/>
      <c r="E239" s="16"/>
    </row>
    <row r="240" spans="1:5" ht="12.75">
      <c r="A240" s="16"/>
      <c r="B240" s="16"/>
      <c r="C240" s="16"/>
      <c r="D240" s="16"/>
      <c r="E240" s="16"/>
    </row>
    <row r="241" spans="1:5" ht="12.75">
      <c r="A241" s="16"/>
      <c r="B241" s="16"/>
      <c r="C241" s="16"/>
      <c r="D241" s="16"/>
      <c r="E241" s="16"/>
    </row>
    <row r="242" spans="1:5" ht="12.75">
      <c r="A242" s="16"/>
      <c r="B242" s="16"/>
      <c r="C242" s="16"/>
      <c r="D242" s="16"/>
      <c r="E242" s="16"/>
    </row>
    <row r="243" spans="1:5" ht="12.75">
      <c r="A243" s="16"/>
      <c r="B243" s="16"/>
      <c r="C243" s="16"/>
      <c r="D243" s="16"/>
      <c r="E243" s="16"/>
    </row>
    <row r="244" spans="1:5" ht="12.75">
      <c r="A244" s="16"/>
      <c r="B244" s="16"/>
      <c r="C244" s="16"/>
      <c r="D244" s="16"/>
      <c r="E244" s="16"/>
    </row>
    <row r="245" spans="1:5" ht="12.75">
      <c r="A245" s="16"/>
      <c r="B245" s="16"/>
      <c r="C245" s="16"/>
      <c r="D245" s="16"/>
      <c r="E245" s="16"/>
    </row>
    <row r="246" spans="1:5" ht="12.75">
      <c r="A246" s="16"/>
      <c r="B246" s="16"/>
      <c r="C246" s="16"/>
      <c r="D246" s="16"/>
      <c r="E246" s="16"/>
    </row>
    <row r="247" spans="1:5" ht="12.75">
      <c r="A247" s="16"/>
      <c r="B247" s="16"/>
      <c r="C247" s="16"/>
      <c r="D247" s="16"/>
      <c r="E247" s="16"/>
    </row>
    <row r="248" spans="1:5" ht="12.75">
      <c r="A248" s="16"/>
      <c r="B248" s="16"/>
      <c r="C248" s="16"/>
      <c r="D248" s="16"/>
      <c r="E248" s="16"/>
    </row>
    <row r="249" spans="1:5" ht="12.75">
      <c r="A249" s="16"/>
      <c r="B249" s="16"/>
      <c r="C249" s="16"/>
      <c r="D249" s="16"/>
      <c r="E249" s="16"/>
    </row>
    <row r="250" spans="1:5" ht="12.75">
      <c r="A250" s="16"/>
      <c r="B250" s="16"/>
      <c r="C250" s="16"/>
      <c r="D250" s="16"/>
      <c r="E250" s="16"/>
    </row>
    <row r="251" spans="1:5" ht="12.75">
      <c r="A251" s="16"/>
      <c r="B251" s="16"/>
      <c r="C251" s="16"/>
      <c r="D251" s="16"/>
      <c r="E251" s="16"/>
    </row>
    <row r="252" spans="1:5" ht="12.75">
      <c r="A252" s="16"/>
      <c r="B252" s="16"/>
      <c r="C252" s="16"/>
      <c r="D252" s="16"/>
      <c r="E252" s="16"/>
    </row>
    <row r="253" spans="1:5" ht="12.75">
      <c r="A253" s="16"/>
      <c r="B253" s="16"/>
      <c r="C253" s="16"/>
      <c r="D253" s="16"/>
      <c r="E253" s="16"/>
    </row>
    <row r="254" spans="1:5" ht="12.75">
      <c r="A254" s="16"/>
      <c r="B254" s="16"/>
      <c r="C254" s="16"/>
      <c r="D254" s="16"/>
      <c r="E254" s="16"/>
    </row>
    <row r="255" spans="1:5" ht="12.75">
      <c r="A255" s="16"/>
      <c r="B255" s="16"/>
      <c r="C255" s="16"/>
      <c r="D255" s="16"/>
      <c r="E255" s="16"/>
    </row>
    <row r="256" spans="1:5" ht="12.75">
      <c r="A256" s="16"/>
      <c r="B256" s="16"/>
      <c r="C256" s="16"/>
      <c r="D256" s="16"/>
      <c r="E256" s="16"/>
    </row>
    <row r="257" spans="1:5" ht="12.75">
      <c r="A257" s="16"/>
      <c r="B257" s="16"/>
      <c r="C257" s="16"/>
      <c r="D257" s="16"/>
      <c r="E257" s="16"/>
    </row>
    <row r="258" spans="1:5" ht="12.75">
      <c r="A258" s="16"/>
      <c r="B258" s="16"/>
      <c r="C258" s="16"/>
      <c r="D258" s="16"/>
      <c r="E258" s="16"/>
    </row>
    <row r="259" spans="1:5" ht="12.75">
      <c r="A259" s="16"/>
      <c r="B259" s="16"/>
      <c r="C259" s="16"/>
      <c r="D259" s="16"/>
      <c r="E259" s="16"/>
    </row>
    <row r="260" spans="1:5" ht="12.75">
      <c r="A260" s="16"/>
      <c r="B260" s="16"/>
      <c r="C260" s="16"/>
      <c r="D260" s="16"/>
      <c r="E260" s="16"/>
    </row>
    <row r="261" spans="1:5" ht="12.75">
      <c r="A261" s="16"/>
      <c r="B261" s="16"/>
      <c r="C261" s="16"/>
      <c r="D261" s="16"/>
      <c r="E261" s="16"/>
    </row>
    <row r="262" spans="1:5" ht="12.75">
      <c r="A262" s="16"/>
      <c r="B262" s="16"/>
      <c r="C262" s="16"/>
      <c r="D262" s="16"/>
      <c r="E262" s="16"/>
    </row>
    <row r="263" spans="1:5" ht="12.75">
      <c r="A263" s="16"/>
      <c r="B263" s="16"/>
      <c r="C263" s="16"/>
      <c r="D263" s="16"/>
      <c r="E263" s="16"/>
    </row>
    <row r="264" spans="1:5" ht="12.75">
      <c r="A264" s="16"/>
      <c r="B264" s="16"/>
      <c r="C264" s="16"/>
      <c r="D264" s="16"/>
      <c r="E264" s="16"/>
    </row>
    <row r="265" spans="1:5" ht="12.75">
      <c r="A265" s="16"/>
      <c r="B265" s="16"/>
      <c r="C265" s="16"/>
      <c r="D265" s="16"/>
      <c r="E265" s="16"/>
    </row>
    <row r="266" spans="1:5" ht="12.75">
      <c r="A266" s="16"/>
      <c r="B266" s="16"/>
      <c r="C266" s="16"/>
      <c r="D266" s="16"/>
      <c r="E266" s="16"/>
    </row>
    <row r="267" spans="1:5" ht="12.75">
      <c r="A267" s="16"/>
      <c r="B267" s="16"/>
      <c r="C267" s="16"/>
      <c r="D267" s="16"/>
      <c r="E267" s="16"/>
    </row>
    <row r="268" spans="1:5" ht="12.75">
      <c r="A268" s="16"/>
      <c r="B268" s="16"/>
      <c r="C268" s="16"/>
      <c r="D268" s="16"/>
      <c r="E268" s="16"/>
    </row>
    <row r="269" spans="1:5" ht="12.75">
      <c r="A269" s="16"/>
      <c r="B269" s="16"/>
      <c r="C269" s="16"/>
      <c r="D269" s="16"/>
      <c r="E269" s="16"/>
    </row>
    <row r="270" spans="1:5" ht="12.75">
      <c r="A270" s="16"/>
      <c r="B270" s="16"/>
      <c r="C270" s="16"/>
      <c r="D270" s="16"/>
      <c r="E270" s="16"/>
    </row>
    <row r="271" spans="1:5" ht="12.75">
      <c r="A271" s="16"/>
      <c r="B271" s="16"/>
      <c r="C271" s="16"/>
      <c r="D271" s="16"/>
      <c r="E271" s="16"/>
    </row>
    <row r="272" spans="1:5" ht="12.75">
      <c r="A272" s="16"/>
      <c r="B272" s="16"/>
      <c r="C272" s="16"/>
      <c r="D272" s="16"/>
      <c r="E272" s="16"/>
    </row>
    <row r="273" spans="1:5" ht="12.75">
      <c r="A273" s="16"/>
      <c r="B273" s="16"/>
      <c r="C273" s="16"/>
      <c r="D273" s="16"/>
      <c r="E273" s="16"/>
    </row>
    <row r="274" spans="1:5" ht="12.75">
      <c r="A274" s="16"/>
      <c r="B274" s="16"/>
      <c r="C274" s="16"/>
      <c r="D274" s="16"/>
      <c r="E274" s="16"/>
    </row>
    <row r="275" spans="1:5" ht="12.75">
      <c r="A275" s="16"/>
      <c r="B275" s="16"/>
      <c r="C275" s="16"/>
      <c r="D275" s="16"/>
      <c r="E275" s="16"/>
    </row>
    <row r="276" spans="1:5" ht="12.75">
      <c r="A276" s="16"/>
      <c r="B276" s="16"/>
      <c r="C276" s="16"/>
      <c r="D276" s="16"/>
      <c r="E276" s="16"/>
    </row>
    <row r="277" spans="1:5" ht="12.75">
      <c r="A277" s="16"/>
      <c r="B277" s="16"/>
      <c r="C277" s="16"/>
      <c r="D277" s="16"/>
      <c r="E277" s="16"/>
    </row>
    <row r="278" spans="1:5" ht="12.75">
      <c r="A278" s="16"/>
      <c r="B278" s="16"/>
      <c r="C278" s="16"/>
      <c r="D278" s="16"/>
      <c r="E278" s="16"/>
    </row>
    <row r="279" spans="1:5" ht="12.75">
      <c r="A279" s="16"/>
      <c r="B279" s="16"/>
      <c r="C279" s="16"/>
      <c r="D279" s="16"/>
      <c r="E279" s="16"/>
    </row>
    <row r="280" spans="1:5" ht="12.75">
      <c r="A280" s="16"/>
      <c r="B280" s="16"/>
      <c r="C280" s="16"/>
      <c r="D280" s="16"/>
      <c r="E280" s="16"/>
    </row>
    <row r="281" spans="1:5" ht="12.75">
      <c r="A281" s="16"/>
      <c r="B281" s="16"/>
      <c r="C281" s="16"/>
      <c r="D281" s="16"/>
      <c r="E281" s="16"/>
    </row>
    <row r="282" spans="1:5" ht="12.75">
      <c r="A282" s="16"/>
      <c r="B282" s="16"/>
      <c r="C282" s="16"/>
      <c r="D282" s="16"/>
      <c r="E282" s="16"/>
    </row>
    <row r="283" spans="1:5" ht="12.75">
      <c r="A283" s="16"/>
      <c r="B283" s="16"/>
      <c r="C283" s="16"/>
      <c r="D283" s="16"/>
      <c r="E283" s="16"/>
    </row>
    <row r="284" spans="1:5" ht="12.75">
      <c r="A284" s="16"/>
      <c r="B284" s="16"/>
      <c r="C284" s="16"/>
      <c r="D284" s="16"/>
      <c r="E284" s="16"/>
    </row>
    <row r="285" spans="1:5" ht="12.75">
      <c r="A285" s="16"/>
      <c r="B285" s="16"/>
      <c r="C285" s="16"/>
      <c r="D285" s="16"/>
      <c r="E285" s="16"/>
    </row>
    <row r="286" spans="1:5" ht="12.75">
      <c r="A286" s="16"/>
      <c r="B286" s="16"/>
      <c r="C286" s="16"/>
      <c r="D286" s="16"/>
      <c r="E286" s="16"/>
    </row>
    <row r="287" spans="1:5" ht="12.75">
      <c r="A287" s="16"/>
      <c r="B287" s="16"/>
      <c r="C287" s="16"/>
      <c r="D287" s="16"/>
      <c r="E287" s="16"/>
    </row>
    <row r="288" spans="1:5" ht="12.75">
      <c r="A288" s="16"/>
      <c r="B288" s="16"/>
      <c r="C288" s="16"/>
      <c r="D288" s="16"/>
      <c r="E288" s="16"/>
    </row>
    <row r="289" spans="1:5" ht="12.75">
      <c r="A289" s="16"/>
      <c r="B289" s="16"/>
      <c r="C289" s="16"/>
      <c r="D289" s="16"/>
      <c r="E289" s="16"/>
    </row>
    <row r="290" spans="1:5" ht="12.75">
      <c r="A290" s="16"/>
      <c r="B290" s="16"/>
      <c r="C290" s="16"/>
      <c r="D290" s="16"/>
      <c r="E290" s="16"/>
    </row>
    <row r="291" spans="1:5" ht="12.75">
      <c r="A291" s="16"/>
      <c r="B291" s="16"/>
      <c r="C291" s="16"/>
      <c r="D291" s="16"/>
      <c r="E291" s="16"/>
    </row>
    <row r="292" spans="1:5" ht="12.75">
      <c r="A292" s="16"/>
      <c r="B292" s="16"/>
      <c r="C292" s="16"/>
      <c r="D292" s="16"/>
      <c r="E292" s="16"/>
    </row>
    <row r="293" spans="1:5" ht="12.75">
      <c r="A293" s="16"/>
      <c r="B293" s="16"/>
      <c r="C293" s="16"/>
      <c r="D293" s="16"/>
      <c r="E293" s="16"/>
    </row>
    <row r="294" spans="1:5" ht="12.75">
      <c r="A294" s="16"/>
      <c r="B294" s="16"/>
      <c r="C294" s="16"/>
      <c r="D294" s="16"/>
      <c r="E294" s="16"/>
    </row>
    <row r="295" spans="1:5" ht="12.75">
      <c r="A295" s="16"/>
      <c r="B295" s="16"/>
      <c r="C295" s="16"/>
      <c r="D295" s="16"/>
      <c r="E295" s="16"/>
    </row>
    <row r="296" spans="1:5" ht="12.75">
      <c r="A296" s="16"/>
      <c r="B296" s="16"/>
      <c r="C296" s="16"/>
      <c r="D296" s="16"/>
      <c r="E296" s="16"/>
    </row>
    <row r="297" spans="1:5" ht="12.75">
      <c r="A297" s="16"/>
      <c r="B297" s="16"/>
      <c r="C297" s="16"/>
      <c r="D297" s="16"/>
      <c r="E297" s="16"/>
    </row>
    <row r="298" spans="1:5" ht="12.75">
      <c r="A298" s="16"/>
      <c r="B298" s="16"/>
      <c r="C298" s="16"/>
      <c r="D298" s="16"/>
      <c r="E298" s="16"/>
    </row>
    <row r="299" spans="1:5" ht="12.75">
      <c r="A299" s="16"/>
      <c r="B299" s="16"/>
      <c r="C299" s="16"/>
      <c r="D299" s="16"/>
      <c r="E299" s="16"/>
    </row>
    <row r="300" spans="1:5" ht="12.75">
      <c r="A300" s="16"/>
      <c r="B300" s="16"/>
      <c r="C300" s="16"/>
      <c r="D300" s="16"/>
      <c r="E300" s="16"/>
    </row>
    <row r="301" spans="1:5" ht="12.75">
      <c r="A301" s="16"/>
      <c r="B301" s="16"/>
      <c r="C301" s="16"/>
      <c r="D301" s="16"/>
      <c r="E301" s="16"/>
    </row>
    <row r="302" spans="1:5" ht="12.75">
      <c r="A302" s="16"/>
      <c r="B302" s="16"/>
      <c r="C302" s="16"/>
      <c r="D302" s="16"/>
      <c r="E302" s="16"/>
    </row>
    <row r="303" spans="1:5" ht="12.75">
      <c r="A303" s="16"/>
      <c r="B303" s="16"/>
      <c r="C303" s="16"/>
      <c r="D303" s="16"/>
      <c r="E303" s="16"/>
    </row>
    <row r="304" spans="1:5" ht="12.75">
      <c r="A304" s="16"/>
      <c r="B304" s="16"/>
      <c r="C304" s="16"/>
      <c r="D304" s="16"/>
      <c r="E304" s="16"/>
    </row>
    <row r="305" spans="1:5" ht="12.75">
      <c r="A305" s="16"/>
      <c r="B305" s="16"/>
      <c r="C305" s="16"/>
      <c r="D305" s="16"/>
      <c r="E305" s="16"/>
    </row>
    <row r="306" spans="1:5" ht="12.75">
      <c r="A306" s="16"/>
      <c r="B306" s="16"/>
      <c r="C306" s="16"/>
      <c r="D306" s="16"/>
      <c r="E306" s="16"/>
    </row>
    <row r="307" spans="1:5" ht="12.75">
      <c r="A307" s="16"/>
      <c r="B307" s="16"/>
      <c r="C307" s="16"/>
      <c r="D307" s="16"/>
      <c r="E307" s="16"/>
    </row>
    <row r="308" spans="1:5" ht="12.75">
      <c r="A308" s="16"/>
      <c r="B308" s="16"/>
      <c r="C308" s="16"/>
      <c r="D308" s="16"/>
      <c r="E308" s="16"/>
    </row>
    <row r="309" spans="1:5" ht="12.75">
      <c r="A309" s="16"/>
      <c r="B309" s="16"/>
      <c r="C309" s="16"/>
      <c r="D309" s="16"/>
      <c r="E309" s="16"/>
    </row>
    <row r="310" spans="1:5" ht="12.75">
      <c r="A310" s="16"/>
      <c r="B310" s="16"/>
      <c r="C310" s="16"/>
      <c r="D310" s="16"/>
      <c r="E310" s="16"/>
    </row>
    <row r="311" spans="1:5" ht="12.75">
      <c r="A311" s="16"/>
      <c r="B311" s="16"/>
      <c r="C311" s="16"/>
      <c r="D311" s="16"/>
      <c r="E311" s="16"/>
    </row>
    <row r="312" spans="1:5" ht="12.75">
      <c r="A312" s="16"/>
      <c r="B312" s="16"/>
      <c r="C312" s="16"/>
      <c r="D312" s="16"/>
      <c r="E312" s="16"/>
    </row>
    <row r="313" spans="1:5" ht="12.75">
      <c r="A313" s="16"/>
      <c r="B313" s="16"/>
      <c r="C313" s="16"/>
      <c r="D313" s="16"/>
      <c r="E313" s="16"/>
    </row>
    <row r="314" spans="1:5" ht="12.75">
      <c r="A314" s="16"/>
      <c r="B314" s="16"/>
      <c r="C314" s="16"/>
      <c r="D314" s="16"/>
      <c r="E314" s="16"/>
    </row>
    <row r="315" spans="1:5" ht="12.75">
      <c r="A315" s="16"/>
      <c r="B315" s="16"/>
      <c r="C315" s="16"/>
      <c r="D315" s="16"/>
      <c r="E315" s="16"/>
    </row>
    <row r="316" spans="1:5" ht="12.75">
      <c r="A316" s="16"/>
      <c r="B316" s="16"/>
      <c r="C316" s="16"/>
      <c r="D316" s="16"/>
      <c r="E316" s="16"/>
    </row>
    <row r="317" spans="1:5" ht="12.75">
      <c r="A317" s="16"/>
      <c r="B317" s="16"/>
      <c r="C317" s="16"/>
      <c r="D317" s="16"/>
      <c r="E317" s="16"/>
    </row>
    <row r="318" spans="1:5" ht="12.75">
      <c r="A318" s="16"/>
      <c r="B318" s="16"/>
      <c r="C318" s="16"/>
      <c r="D318" s="16"/>
      <c r="E318" s="16"/>
    </row>
    <row r="319" spans="1:5" ht="12.75">
      <c r="A319" s="16"/>
      <c r="B319" s="16"/>
      <c r="C319" s="16"/>
      <c r="D319" s="16"/>
      <c r="E319" s="16"/>
    </row>
    <row r="320" spans="1:5" ht="12.75">
      <c r="A320" s="16"/>
      <c r="B320" s="16"/>
      <c r="C320" s="16"/>
      <c r="D320" s="16"/>
      <c r="E320" s="16"/>
    </row>
    <row r="321" spans="1:5" ht="12.75">
      <c r="A321" s="16"/>
      <c r="B321" s="16"/>
      <c r="C321" s="16"/>
      <c r="D321" s="16"/>
      <c r="E321" s="16"/>
    </row>
    <row r="322" spans="1:5" ht="12.75">
      <c r="A322" s="16"/>
      <c r="B322" s="16"/>
      <c r="C322" s="16"/>
      <c r="D322" s="16"/>
      <c r="E322" s="16"/>
    </row>
    <row r="323" spans="1:5" ht="12.75">
      <c r="A323" s="16"/>
      <c r="B323" s="16"/>
      <c r="C323" s="16"/>
      <c r="D323" s="16"/>
      <c r="E323" s="16"/>
    </row>
    <row r="324" spans="1:5" ht="12.75">
      <c r="A324" s="16"/>
      <c r="B324" s="16"/>
      <c r="C324" s="16"/>
      <c r="D324" s="16"/>
      <c r="E324" s="16"/>
    </row>
    <row r="325" spans="1:5" ht="12.75">
      <c r="A325" s="16"/>
      <c r="B325" s="16"/>
      <c r="C325" s="16"/>
      <c r="D325" s="16"/>
      <c r="E325" s="16"/>
    </row>
    <row r="326" spans="1:5" ht="12.75">
      <c r="A326" s="16"/>
      <c r="B326" s="16"/>
      <c r="C326" s="16"/>
      <c r="D326" s="16"/>
      <c r="E326" s="16"/>
    </row>
    <row r="327" spans="1:5" ht="12.75">
      <c r="A327" s="16"/>
      <c r="B327" s="16"/>
      <c r="C327" s="16"/>
      <c r="D327" s="16"/>
      <c r="E327" s="16"/>
    </row>
    <row r="328" spans="1:5" ht="12.75">
      <c r="A328" s="16"/>
      <c r="B328" s="16"/>
      <c r="C328" s="16"/>
      <c r="D328" s="16"/>
      <c r="E328" s="16"/>
    </row>
    <row r="329" spans="1:5" ht="12.75">
      <c r="A329" s="16"/>
      <c r="B329" s="16"/>
      <c r="C329" s="16"/>
      <c r="D329" s="16"/>
      <c r="E329" s="16"/>
    </row>
    <row r="330" spans="1:5" ht="12.75">
      <c r="A330" s="16"/>
      <c r="B330" s="16"/>
      <c r="C330" s="16"/>
      <c r="D330" s="16"/>
      <c r="E330" s="16"/>
    </row>
    <row r="331" spans="1:5" ht="12.75">
      <c r="A331" s="16"/>
      <c r="B331" s="16"/>
      <c r="C331" s="16"/>
      <c r="D331" s="16"/>
      <c r="E331" s="16"/>
    </row>
    <row r="332" spans="1:5" ht="12.75">
      <c r="A332" s="16"/>
      <c r="B332" s="16"/>
      <c r="C332" s="16"/>
      <c r="D332" s="16"/>
      <c r="E332" s="16"/>
    </row>
    <row r="333" spans="1:5" ht="12.75">
      <c r="A333" s="16"/>
      <c r="B333" s="16"/>
      <c r="C333" s="16"/>
      <c r="D333" s="16"/>
      <c r="E333" s="16"/>
    </row>
    <row r="334" spans="1:5" ht="12.75">
      <c r="A334" s="16"/>
      <c r="B334" s="16"/>
      <c r="C334" s="16"/>
      <c r="D334" s="16"/>
      <c r="E334" s="16"/>
    </row>
    <row r="335" spans="1:5" ht="12.75">
      <c r="A335" s="16"/>
      <c r="B335" s="16"/>
      <c r="C335" s="16"/>
      <c r="D335" s="16"/>
      <c r="E335" s="16"/>
    </row>
    <row r="336" spans="1:5" ht="12.75">
      <c r="A336" s="16"/>
      <c r="B336" s="16"/>
      <c r="C336" s="16"/>
      <c r="D336" s="16"/>
      <c r="E336" s="16"/>
    </row>
    <row r="337" spans="1:5" ht="12.75">
      <c r="A337" s="16"/>
      <c r="B337" s="16"/>
      <c r="C337" s="16"/>
      <c r="D337" s="16"/>
      <c r="E337" s="16"/>
    </row>
    <row r="338" spans="1:5" ht="12.75">
      <c r="A338" s="16"/>
      <c r="B338" s="16"/>
      <c r="C338" s="16"/>
      <c r="D338" s="16"/>
      <c r="E338" s="16"/>
    </row>
    <row r="339" spans="1:5" ht="12.75">
      <c r="A339" s="16"/>
      <c r="B339" s="16"/>
      <c r="C339" s="16"/>
      <c r="D339" s="16"/>
      <c r="E339" s="16"/>
    </row>
    <row r="340" spans="1:5" ht="12.75">
      <c r="A340" s="16"/>
      <c r="B340" s="16"/>
      <c r="C340" s="16"/>
      <c r="D340" s="16"/>
      <c r="E340" s="16"/>
    </row>
    <row r="341" spans="1:5" ht="12.75">
      <c r="A341" s="16"/>
      <c r="B341" s="16"/>
      <c r="C341" s="16"/>
      <c r="D341" s="16"/>
      <c r="E341" s="16"/>
    </row>
    <row r="342" spans="1:5" ht="12.75">
      <c r="A342" s="16"/>
      <c r="B342" s="16"/>
      <c r="C342" s="16"/>
      <c r="D342" s="16"/>
      <c r="E342" s="16"/>
    </row>
    <row r="343" spans="1:5" ht="12.75">
      <c r="A343" s="16"/>
      <c r="B343" s="16"/>
      <c r="C343" s="16"/>
      <c r="D343" s="16"/>
      <c r="E343" s="16"/>
    </row>
    <row r="344" spans="1:5" ht="12.75">
      <c r="A344" s="16"/>
      <c r="B344" s="16"/>
      <c r="C344" s="16"/>
      <c r="D344" s="16"/>
      <c r="E344" s="16"/>
    </row>
    <row r="345" spans="1:5" ht="12.75">
      <c r="A345" s="16"/>
      <c r="B345" s="16"/>
      <c r="C345" s="16"/>
      <c r="D345" s="16"/>
      <c r="E345" s="16"/>
    </row>
    <row r="346" spans="1:5" ht="12.75">
      <c r="A346" s="16"/>
      <c r="B346" s="16"/>
      <c r="C346" s="16"/>
      <c r="D346" s="16"/>
      <c r="E346" s="16"/>
    </row>
    <row r="347" spans="1:5" ht="12.75">
      <c r="A347" s="16"/>
      <c r="B347" s="16"/>
      <c r="C347" s="16"/>
      <c r="D347" s="16"/>
      <c r="E347" s="16"/>
    </row>
    <row r="348" spans="1:5" ht="12.75">
      <c r="A348" s="16"/>
      <c r="B348" s="16"/>
      <c r="C348" s="16"/>
      <c r="D348" s="16"/>
      <c r="E348" s="16"/>
    </row>
    <row r="349" spans="1:5" ht="12.75">
      <c r="A349" s="16"/>
      <c r="B349" s="16"/>
      <c r="C349" s="16"/>
      <c r="D349" s="16"/>
      <c r="E349" s="16"/>
    </row>
    <row r="350" spans="1:5" ht="12.75">
      <c r="A350" s="16"/>
      <c r="B350" s="16"/>
      <c r="C350" s="16"/>
      <c r="D350" s="16"/>
      <c r="E350" s="16"/>
    </row>
    <row r="351" spans="1:5" ht="12.75">
      <c r="A351" s="16"/>
      <c r="B351" s="16"/>
      <c r="C351" s="16"/>
      <c r="D351" s="16"/>
      <c r="E351" s="16"/>
    </row>
    <row r="352" spans="1:5" ht="12.75">
      <c r="A352" s="16"/>
      <c r="B352" s="16"/>
      <c r="C352" s="16"/>
      <c r="D352" s="16"/>
      <c r="E352" s="16"/>
    </row>
    <row r="353" spans="1:5" ht="12.75">
      <c r="A353" s="16"/>
      <c r="B353" s="16"/>
      <c r="C353" s="16"/>
      <c r="D353" s="16"/>
      <c r="E353" s="16"/>
    </row>
    <row r="354" spans="1:5" ht="12.75">
      <c r="A354" s="16"/>
      <c r="B354" s="16"/>
      <c r="C354" s="16"/>
      <c r="D354" s="16"/>
      <c r="E354" s="16"/>
    </row>
    <row r="355" spans="1:5" ht="12.75">
      <c r="A355" s="16"/>
      <c r="B355" s="16"/>
      <c r="C355" s="16"/>
      <c r="D355" s="16"/>
      <c r="E355" s="16"/>
    </row>
    <row r="356" spans="1:5" ht="12.75">
      <c r="A356" s="16"/>
      <c r="B356" s="16"/>
      <c r="C356" s="16"/>
      <c r="D356" s="16"/>
      <c r="E356" s="16"/>
    </row>
    <row r="357" spans="1:5" ht="12.75">
      <c r="A357" s="16"/>
      <c r="B357" s="16"/>
      <c r="C357" s="16"/>
      <c r="D357" s="16"/>
      <c r="E357" s="16"/>
    </row>
    <row r="358" spans="1:5" ht="12.75">
      <c r="A358" s="16"/>
      <c r="B358" s="16"/>
      <c r="C358" s="16"/>
      <c r="D358" s="16"/>
      <c r="E358" s="16"/>
    </row>
    <row r="359" spans="1:5" ht="12.75">
      <c r="A359" s="16"/>
      <c r="B359" s="16"/>
      <c r="C359" s="16"/>
      <c r="D359" s="16"/>
      <c r="E359" s="16"/>
    </row>
    <row r="360" spans="1:5" ht="12.75">
      <c r="A360" s="16"/>
      <c r="B360" s="16"/>
      <c r="C360" s="16"/>
      <c r="D360" s="16"/>
      <c r="E360" s="16"/>
    </row>
    <row r="361" spans="1:5" ht="12.75">
      <c r="A361" s="16"/>
      <c r="B361" s="16"/>
      <c r="C361" s="16"/>
      <c r="D361" s="16"/>
      <c r="E361" s="16"/>
    </row>
    <row r="362" spans="1:5" ht="12.75">
      <c r="A362" s="16"/>
      <c r="B362" s="16"/>
      <c r="C362" s="16"/>
      <c r="D362" s="16"/>
      <c r="E362" s="16"/>
    </row>
    <row r="363" spans="1:5" ht="12.75">
      <c r="A363" s="16"/>
      <c r="B363" s="16"/>
      <c r="C363" s="16"/>
      <c r="D363" s="16"/>
      <c r="E363" s="16"/>
    </row>
    <row r="364" spans="1:5" ht="12.75">
      <c r="A364" s="16"/>
      <c r="B364" s="16"/>
      <c r="C364" s="16"/>
      <c r="D364" s="16"/>
      <c r="E364" s="16"/>
    </row>
    <row r="365" spans="1:5" ht="12.75">
      <c r="A365" s="16"/>
      <c r="B365" s="16"/>
      <c r="C365" s="16"/>
      <c r="D365" s="16"/>
      <c r="E365" s="16"/>
    </row>
    <row r="366" spans="1:5" ht="12.75">
      <c r="A366" s="16"/>
      <c r="B366" s="16"/>
      <c r="C366" s="16"/>
      <c r="D366" s="16"/>
      <c r="E366" s="16"/>
    </row>
    <row r="367" spans="1:5" ht="12.75">
      <c r="A367" s="16"/>
      <c r="B367" s="16"/>
      <c r="C367" s="16"/>
      <c r="D367" s="16"/>
      <c r="E367" s="16"/>
    </row>
    <row r="368" spans="1:5" ht="12.75">
      <c r="A368" s="16"/>
      <c r="B368" s="16"/>
      <c r="C368" s="16"/>
      <c r="D368" s="16"/>
      <c r="E368" s="16"/>
    </row>
    <row r="369" spans="1:5" ht="12.75">
      <c r="A369" s="16"/>
      <c r="B369" s="16"/>
      <c r="C369" s="16"/>
      <c r="D369" s="16"/>
      <c r="E369" s="16"/>
    </row>
    <row r="370" spans="1:5" ht="12.75">
      <c r="A370" s="16"/>
      <c r="B370" s="16"/>
      <c r="C370" s="16"/>
      <c r="D370" s="16"/>
      <c r="E370" s="16"/>
    </row>
    <row r="371" spans="1:5" ht="12.75">
      <c r="A371" s="16"/>
      <c r="B371" s="16"/>
      <c r="C371" s="16"/>
      <c r="D371" s="16"/>
      <c r="E371" s="16"/>
    </row>
    <row r="372" spans="1:5" ht="12.75">
      <c r="A372" s="16"/>
      <c r="B372" s="16"/>
      <c r="C372" s="16"/>
      <c r="D372" s="16"/>
      <c r="E372" s="16"/>
    </row>
    <row r="373" spans="1:5" ht="12.75">
      <c r="A373" s="16"/>
      <c r="B373" s="16"/>
      <c r="C373" s="16"/>
      <c r="D373" s="16"/>
      <c r="E373" s="16"/>
    </row>
    <row r="374" spans="1:5" ht="12.75">
      <c r="A374" s="16"/>
      <c r="B374" s="16"/>
      <c r="C374" s="16"/>
      <c r="D374" s="16"/>
      <c r="E374" s="16"/>
    </row>
    <row r="375" spans="1:5" ht="12.75">
      <c r="A375" s="16"/>
      <c r="B375" s="16"/>
      <c r="C375" s="16"/>
      <c r="D375" s="16"/>
      <c r="E375" s="16"/>
    </row>
    <row r="376" spans="1:5" ht="12.75">
      <c r="A376" s="16"/>
      <c r="B376" s="16"/>
      <c r="C376" s="16"/>
      <c r="D376" s="16"/>
      <c r="E376" s="16"/>
    </row>
    <row r="377" spans="1:5" ht="12.75">
      <c r="A377" s="16"/>
      <c r="B377" s="16"/>
      <c r="C377" s="16"/>
      <c r="D377" s="16"/>
      <c r="E377" s="16"/>
    </row>
    <row r="378" spans="1:5" ht="12.75">
      <c r="A378" s="16"/>
      <c r="B378" s="16"/>
      <c r="C378" s="16"/>
      <c r="D378" s="16"/>
      <c r="E378" s="16"/>
    </row>
    <row r="379" spans="1:5" ht="12.75">
      <c r="A379" s="16"/>
      <c r="B379" s="16"/>
      <c r="C379" s="16"/>
      <c r="D379" s="16"/>
      <c r="E379" s="16"/>
    </row>
    <row r="380" spans="1:5" ht="12.75">
      <c r="A380" s="16"/>
      <c r="B380" s="16"/>
      <c r="C380" s="16"/>
      <c r="D380" s="16"/>
      <c r="E380" s="16"/>
    </row>
    <row r="381" spans="1:5" ht="12.75">
      <c r="A381" s="16"/>
      <c r="B381" s="16"/>
      <c r="C381" s="16"/>
      <c r="D381" s="16"/>
      <c r="E381" s="16"/>
    </row>
    <row r="382" spans="1:5" ht="12.75">
      <c r="A382" s="16"/>
      <c r="B382" s="16"/>
      <c r="C382" s="16"/>
      <c r="D382" s="16"/>
      <c r="E382" s="16"/>
    </row>
    <row r="383" spans="1:5" ht="12.75">
      <c r="A383" s="16"/>
      <c r="B383" s="16"/>
      <c r="C383" s="16"/>
      <c r="D383" s="16"/>
      <c r="E383" s="16"/>
    </row>
    <row r="384" spans="1:5" ht="12.75">
      <c r="A384" s="16"/>
      <c r="B384" s="16"/>
      <c r="C384" s="16"/>
      <c r="D384" s="16"/>
      <c r="E384" s="16"/>
    </row>
    <row r="385" spans="1:5" ht="12.75">
      <c r="A385" s="16"/>
      <c r="B385" s="16"/>
      <c r="C385" s="16"/>
      <c r="D385" s="16"/>
      <c r="E385" s="16"/>
    </row>
    <row r="386" spans="1:5" ht="12.75">
      <c r="A386" s="16"/>
      <c r="B386" s="16"/>
      <c r="C386" s="16"/>
      <c r="D386" s="16"/>
      <c r="E386" s="16"/>
    </row>
    <row r="387" spans="1:5" ht="12.75">
      <c r="A387" s="16"/>
      <c r="B387" s="16"/>
      <c r="C387" s="16"/>
      <c r="D387" s="16"/>
      <c r="E387" s="16"/>
    </row>
    <row r="388" spans="1:5" ht="12.75">
      <c r="A388" s="16"/>
      <c r="B388" s="16"/>
      <c r="C388" s="16"/>
      <c r="D388" s="16"/>
      <c r="E388" s="16"/>
    </row>
    <row r="389" spans="1:5" ht="12.75">
      <c r="A389" s="16"/>
      <c r="B389" s="16"/>
      <c r="C389" s="16"/>
      <c r="D389" s="16"/>
      <c r="E389" s="16"/>
    </row>
    <row r="390" spans="1:5" ht="12.75">
      <c r="A390" s="16"/>
      <c r="B390" s="16"/>
      <c r="C390" s="16"/>
      <c r="D390" s="16"/>
      <c r="E390" s="16"/>
    </row>
    <row r="391" spans="1:5" ht="12.75">
      <c r="A391" s="16"/>
      <c r="B391" s="16"/>
      <c r="C391" s="16"/>
      <c r="D391" s="16"/>
      <c r="E391" s="16"/>
    </row>
    <row r="392" spans="1:5" ht="12.75">
      <c r="A392" s="16"/>
      <c r="B392" s="16"/>
      <c r="C392" s="16"/>
      <c r="D392" s="16"/>
      <c r="E392" s="16"/>
    </row>
    <row r="393" spans="1:5" ht="12.75">
      <c r="A393" s="16"/>
      <c r="B393" s="16"/>
      <c r="C393" s="16"/>
      <c r="D393" s="16"/>
      <c r="E393" s="16"/>
    </row>
    <row r="394" spans="1:5" ht="12.75">
      <c r="A394" s="16"/>
      <c r="B394" s="16"/>
      <c r="C394" s="16"/>
      <c r="D394" s="16"/>
      <c r="E394" s="16"/>
    </row>
    <row r="395" spans="1:5" ht="12.75">
      <c r="A395" s="16"/>
      <c r="B395" s="16"/>
      <c r="C395" s="16"/>
      <c r="D395" s="16"/>
      <c r="E395" s="16"/>
    </row>
    <row r="396" spans="1:5" ht="12.75">
      <c r="A396" s="16"/>
      <c r="B396" s="16"/>
      <c r="C396" s="16"/>
      <c r="D396" s="16"/>
      <c r="E396" s="16"/>
    </row>
    <row r="397" spans="1:5" ht="12.75">
      <c r="A397" s="16"/>
      <c r="B397" s="16"/>
      <c r="C397" s="16"/>
      <c r="D397" s="16"/>
      <c r="E397" s="16"/>
    </row>
    <row r="398" spans="1:5" ht="12.75">
      <c r="A398" s="16"/>
      <c r="B398" s="16"/>
      <c r="C398" s="16"/>
      <c r="D398" s="16"/>
      <c r="E398" s="16"/>
    </row>
    <row r="399" spans="1:5" ht="12.75">
      <c r="A399" s="16"/>
      <c r="B399" s="16"/>
      <c r="C399" s="16"/>
      <c r="D399" s="16"/>
      <c r="E399" s="16"/>
    </row>
    <row r="400" spans="1:5" ht="12.75">
      <c r="A400" s="16"/>
      <c r="B400" s="16"/>
      <c r="C400" s="16"/>
      <c r="D400" s="16"/>
      <c r="E400" s="16"/>
    </row>
    <row r="401" spans="1:5" ht="12.75">
      <c r="A401" s="16"/>
      <c r="B401" s="16"/>
      <c r="C401" s="16"/>
      <c r="D401" s="16"/>
      <c r="E401" s="16"/>
    </row>
    <row r="402" spans="1:5" ht="12.75">
      <c r="A402" s="16"/>
      <c r="B402" s="16"/>
      <c r="C402" s="16"/>
      <c r="D402" s="16"/>
      <c r="E402" s="16"/>
    </row>
    <row r="403" spans="1:5" ht="12.75">
      <c r="A403" s="16"/>
      <c r="B403" s="16"/>
      <c r="C403" s="16"/>
      <c r="D403" s="16"/>
      <c r="E403" s="16"/>
    </row>
    <row r="404" spans="1:5" ht="12.75">
      <c r="A404" s="16"/>
      <c r="B404" s="16"/>
      <c r="C404" s="16"/>
      <c r="D404" s="16"/>
      <c r="E404" s="16"/>
    </row>
    <row r="405" spans="1:5" ht="12.75">
      <c r="A405" s="16"/>
      <c r="B405" s="16"/>
      <c r="C405" s="16"/>
      <c r="D405" s="16"/>
      <c r="E405" s="16"/>
    </row>
    <row r="406" spans="1:5" ht="12.75">
      <c r="A406" s="16"/>
      <c r="B406" s="16"/>
      <c r="C406" s="16"/>
      <c r="D406" s="16"/>
      <c r="E406" s="16"/>
    </row>
    <row r="407" spans="1:5" ht="12.75">
      <c r="A407" s="16"/>
      <c r="B407" s="16"/>
      <c r="C407" s="16"/>
      <c r="D407" s="16"/>
      <c r="E407" s="16"/>
    </row>
    <row r="408" spans="1:5" ht="12.75">
      <c r="A408" s="16"/>
      <c r="B408" s="16"/>
      <c r="C408" s="16"/>
      <c r="D408" s="16"/>
      <c r="E408" s="16"/>
    </row>
    <row r="409" spans="1:5" ht="12.75">
      <c r="A409" s="16"/>
      <c r="B409" s="16"/>
      <c r="C409" s="16"/>
      <c r="D409" s="16"/>
      <c r="E409" s="16"/>
    </row>
    <row r="410" spans="1:5" ht="12.75">
      <c r="A410" s="16"/>
      <c r="B410" s="16"/>
      <c r="C410" s="16"/>
      <c r="D410" s="16"/>
      <c r="E410" s="16"/>
    </row>
    <row r="411" spans="1:5" ht="12.75">
      <c r="A411" s="16"/>
      <c r="B411" s="16"/>
      <c r="C411" s="16"/>
      <c r="D411" s="16"/>
      <c r="E411" s="16"/>
    </row>
    <row r="412" spans="1:5" ht="12.75">
      <c r="A412" s="16"/>
      <c r="B412" s="16"/>
      <c r="C412" s="16"/>
      <c r="D412" s="16"/>
      <c r="E412" s="16"/>
    </row>
    <row r="413" spans="1:5" ht="12.75">
      <c r="A413" s="16"/>
      <c r="B413" s="16"/>
      <c r="C413" s="16"/>
      <c r="D413" s="16"/>
      <c r="E413" s="16"/>
    </row>
    <row r="414" spans="1:5" ht="12.75">
      <c r="A414" s="16"/>
      <c r="B414" s="16"/>
      <c r="C414" s="16"/>
      <c r="D414" s="16"/>
      <c r="E414" s="16"/>
    </row>
    <row r="415" spans="1:5" ht="12.75">
      <c r="A415" s="16"/>
      <c r="B415" s="16"/>
      <c r="C415" s="16"/>
      <c r="D415" s="16"/>
      <c r="E415" s="16"/>
    </row>
    <row r="416" spans="1:5" ht="12.75">
      <c r="A416" s="16"/>
      <c r="B416" s="16"/>
      <c r="C416" s="16"/>
      <c r="D416" s="16"/>
      <c r="E416" s="16"/>
    </row>
    <row r="417" spans="1:5" ht="12.75">
      <c r="A417" s="16"/>
      <c r="B417" s="16"/>
      <c r="C417" s="16"/>
      <c r="D417" s="16"/>
      <c r="E417" s="16"/>
    </row>
    <row r="418" spans="1:5" ht="12.75">
      <c r="A418" s="16"/>
      <c r="B418" s="16"/>
      <c r="C418" s="16"/>
      <c r="D418" s="16"/>
      <c r="E418" s="16"/>
    </row>
    <row r="419" spans="1:5" ht="12.75">
      <c r="A419" s="16"/>
      <c r="B419" s="16"/>
      <c r="C419" s="16"/>
      <c r="D419" s="16"/>
      <c r="E419" s="16"/>
    </row>
    <row r="420" spans="1:5" ht="12.75">
      <c r="A420" s="16"/>
      <c r="B420" s="16"/>
      <c r="C420" s="16"/>
      <c r="D420" s="16"/>
      <c r="E420" s="16"/>
    </row>
    <row r="421" spans="1:5" ht="12.75">
      <c r="A421" s="16"/>
      <c r="B421" s="16"/>
      <c r="C421" s="16"/>
      <c r="D421" s="16"/>
      <c r="E421" s="16"/>
    </row>
    <row r="422" spans="1:5" ht="12.75">
      <c r="A422" s="16"/>
      <c r="B422" s="16"/>
      <c r="C422" s="16"/>
      <c r="D422" s="16"/>
      <c r="E422" s="16"/>
    </row>
    <row r="423" spans="1:5" ht="12.75">
      <c r="A423" s="16"/>
      <c r="B423" s="16"/>
      <c r="C423" s="16"/>
      <c r="D423" s="16"/>
      <c r="E423" s="16"/>
    </row>
    <row r="424" spans="1:5" ht="12.75">
      <c r="A424" s="16"/>
      <c r="B424" s="16"/>
      <c r="C424" s="16"/>
      <c r="D424" s="16"/>
      <c r="E424" s="16"/>
    </row>
    <row r="425" spans="1:5" ht="12.75">
      <c r="A425" s="16"/>
      <c r="B425" s="16"/>
      <c r="C425" s="16"/>
      <c r="D425" s="16"/>
      <c r="E425" s="16"/>
    </row>
    <row r="426" spans="1:5" ht="12.75">
      <c r="A426" s="16"/>
      <c r="B426" s="16"/>
      <c r="C426" s="16"/>
      <c r="D426" s="16"/>
      <c r="E426" s="16"/>
    </row>
    <row r="427" spans="1:5" ht="12.75">
      <c r="A427" s="16"/>
      <c r="B427" s="16"/>
      <c r="C427" s="16"/>
      <c r="D427" s="16"/>
      <c r="E427" s="16"/>
    </row>
    <row r="428" spans="1:5" ht="12.75">
      <c r="A428" s="16"/>
      <c r="B428" s="16"/>
      <c r="C428" s="16"/>
      <c r="D428" s="16"/>
      <c r="E428" s="16"/>
    </row>
    <row r="429" spans="1:5" ht="12.75">
      <c r="A429" s="16"/>
      <c r="B429" s="16"/>
      <c r="C429" s="16"/>
      <c r="D429" s="16"/>
      <c r="E429" s="16"/>
    </row>
    <row r="430" spans="1:5" ht="12.75">
      <c r="A430" s="16"/>
      <c r="B430" s="16"/>
      <c r="C430" s="16"/>
      <c r="D430" s="16"/>
      <c r="E430" s="16"/>
    </row>
    <row r="431" spans="1:5" ht="12.75">
      <c r="A431" s="16"/>
      <c r="B431" s="16"/>
      <c r="C431" s="16"/>
      <c r="D431" s="16"/>
      <c r="E431" s="16"/>
    </row>
    <row r="432" spans="1:5" ht="12.75">
      <c r="A432" s="16"/>
      <c r="B432" s="16"/>
      <c r="C432" s="16"/>
      <c r="D432" s="16"/>
      <c r="E432" s="16"/>
    </row>
    <row r="433" spans="1:5" ht="12.75">
      <c r="A433" s="16"/>
      <c r="B433" s="16"/>
      <c r="C433" s="16"/>
      <c r="D433" s="16"/>
      <c r="E433" s="16"/>
    </row>
    <row r="434" spans="1:5" ht="12.75">
      <c r="A434" s="16"/>
      <c r="B434" s="16"/>
      <c r="C434" s="16"/>
      <c r="D434" s="16"/>
      <c r="E434" s="16"/>
    </row>
    <row r="435" spans="1:5" ht="12.75">
      <c r="A435" s="16"/>
      <c r="B435" s="16"/>
      <c r="C435" s="16"/>
      <c r="D435" s="16"/>
      <c r="E435" s="16"/>
    </row>
    <row r="436" spans="1:5" ht="12.75">
      <c r="A436" s="16"/>
      <c r="B436" s="16"/>
      <c r="C436" s="16"/>
      <c r="D436" s="16"/>
      <c r="E436" s="16"/>
    </row>
    <row r="437" spans="1:5" ht="12.75">
      <c r="A437" s="16"/>
      <c r="B437" s="16"/>
      <c r="C437" s="16"/>
      <c r="D437" s="16"/>
      <c r="E437" s="16"/>
    </row>
    <row r="438" spans="1:5" ht="12.75">
      <c r="A438" s="16"/>
      <c r="B438" s="16"/>
      <c r="C438" s="16"/>
      <c r="D438" s="16"/>
      <c r="E438" s="16"/>
    </row>
    <row r="439" spans="1:5" ht="12.75">
      <c r="A439" s="16"/>
      <c r="B439" s="16"/>
      <c r="C439" s="16"/>
      <c r="D439" s="16"/>
      <c r="E439" s="16"/>
    </row>
    <row r="440" spans="1:5" ht="12.75">
      <c r="A440" s="16"/>
      <c r="B440" s="16"/>
      <c r="C440" s="16"/>
      <c r="D440" s="16"/>
      <c r="E440" s="16"/>
    </row>
    <row r="441" spans="1:5" ht="12.75">
      <c r="A441" s="16"/>
      <c r="B441" s="16"/>
      <c r="C441" s="16"/>
      <c r="D441" s="16"/>
      <c r="E441" s="16"/>
    </row>
    <row r="442" spans="1:5" ht="12.75">
      <c r="A442" s="16"/>
      <c r="B442" s="16"/>
      <c r="C442" s="16"/>
      <c r="D442" s="16"/>
      <c r="E442" s="16"/>
    </row>
    <row r="443" spans="1:5" ht="12.75">
      <c r="A443" s="16"/>
      <c r="B443" s="16"/>
      <c r="C443" s="16"/>
      <c r="D443" s="16"/>
      <c r="E443" s="16"/>
    </row>
    <row r="444" spans="1:5" ht="12.75">
      <c r="A444" s="16"/>
      <c r="B444" s="16"/>
      <c r="C444" s="16"/>
      <c r="D444" s="16"/>
      <c r="E444" s="16"/>
    </row>
    <row r="445" spans="1:5" ht="12.75">
      <c r="A445" s="16"/>
      <c r="B445" s="16"/>
      <c r="C445" s="16"/>
      <c r="D445" s="16"/>
      <c r="E445" s="16"/>
    </row>
    <row r="446" spans="1:5" ht="12.75">
      <c r="A446" s="16"/>
      <c r="B446" s="16"/>
      <c r="C446" s="16"/>
      <c r="D446" s="16"/>
      <c r="E446" s="16"/>
    </row>
    <row r="447" spans="1:5" ht="12.75">
      <c r="A447" s="16"/>
      <c r="B447" s="16"/>
      <c r="C447" s="16"/>
      <c r="D447" s="16"/>
      <c r="E447" s="16"/>
    </row>
    <row r="448" spans="1:5" ht="12.75">
      <c r="A448" s="16"/>
      <c r="B448" s="16"/>
      <c r="C448" s="16"/>
      <c r="D448" s="16"/>
      <c r="E448" s="16"/>
    </row>
    <row r="449" spans="1:5" ht="12.75">
      <c r="A449" s="16"/>
      <c r="B449" s="16"/>
      <c r="C449" s="16"/>
      <c r="D449" s="16"/>
      <c r="E449" s="16"/>
    </row>
    <row r="450" spans="1:5" ht="12.75">
      <c r="A450" s="16"/>
      <c r="B450" s="16"/>
      <c r="C450" s="16"/>
      <c r="D450" s="16"/>
      <c r="E450" s="16"/>
    </row>
    <row r="451" spans="1:5" ht="12.75">
      <c r="A451" s="16"/>
      <c r="B451" s="16"/>
      <c r="C451" s="16"/>
      <c r="D451" s="16"/>
      <c r="E451" s="16"/>
    </row>
    <row r="452" spans="1:5" ht="12.75">
      <c r="A452" s="16"/>
      <c r="B452" s="16"/>
      <c r="C452" s="16"/>
      <c r="D452" s="16"/>
      <c r="E452" s="16"/>
    </row>
    <row r="453" spans="1:5" ht="12.75">
      <c r="A453" s="16"/>
      <c r="B453" s="16"/>
      <c r="C453" s="16"/>
      <c r="D453" s="16"/>
      <c r="E453" s="16"/>
    </row>
    <row r="454" spans="1:5" ht="12.75">
      <c r="A454" s="16"/>
      <c r="B454" s="16"/>
      <c r="C454" s="16"/>
      <c r="D454" s="16"/>
      <c r="E454" s="16"/>
    </row>
    <row r="455" spans="1:5" ht="12.75">
      <c r="A455" s="16"/>
      <c r="B455" s="16"/>
      <c r="C455" s="16"/>
      <c r="D455" s="16"/>
      <c r="E455" s="16"/>
    </row>
    <row r="456" spans="1:5" ht="12.75">
      <c r="A456" s="16"/>
      <c r="B456" s="16"/>
      <c r="C456" s="16"/>
      <c r="D456" s="16"/>
      <c r="E456" s="16"/>
    </row>
    <row r="457" spans="1:5" ht="12.75">
      <c r="A457" s="16"/>
      <c r="B457" s="16"/>
      <c r="C457" s="16"/>
      <c r="D457" s="16"/>
      <c r="E457" s="16"/>
    </row>
    <row r="458" spans="1:5" ht="12.75">
      <c r="A458" s="16"/>
      <c r="B458" s="16"/>
      <c r="C458" s="16"/>
      <c r="D458" s="16"/>
      <c r="E458" s="16"/>
    </row>
    <row r="459" spans="1:5" ht="12.75">
      <c r="A459" s="16"/>
      <c r="B459" s="16"/>
      <c r="C459" s="16"/>
      <c r="D459" s="16"/>
      <c r="E459" s="16"/>
    </row>
    <row r="460" spans="1:5" ht="12.75">
      <c r="A460" s="16"/>
      <c r="B460" s="16"/>
      <c r="C460" s="16"/>
      <c r="D460" s="16"/>
      <c r="E460" s="16"/>
    </row>
    <row r="461" spans="1:5" ht="12.75">
      <c r="A461" s="16"/>
      <c r="B461" s="16"/>
      <c r="C461" s="16"/>
      <c r="D461" s="16"/>
      <c r="E461" s="16"/>
    </row>
    <row r="462" spans="1:5" ht="12.75">
      <c r="A462" s="16"/>
      <c r="B462" s="16"/>
      <c r="C462" s="16"/>
      <c r="D462" s="16"/>
      <c r="E462" s="16"/>
    </row>
    <row r="463" spans="1:5" ht="12.75">
      <c r="A463" s="16"/>
      <c r="B463" s="16"/>
      <c r="C463" s="16"/>
      <c r="D463" s="16"/>
      <c r="E463" s="16"/>
    </row>
    <row r="464" spans="1:5" ht="12.75">
      <c r="A464" s="16"/>
      <c r="B464" s="16"/>
      <c r="C464" s="16"/>
      <c r="D464" s="16"/>
      <c r="E464" s="16"/>
    </row>
    <row r="465" spans="1:5" ht="12.75">
      <c r="A465" s="16"/>
      <c r="B465" s="16"/>
      <c r="C465" s="16"/>
      <c r="D465" s="16"/>
      <c r="E465" s="16"/>
    </row>
    <row r="466" spans="1:5" ht="12.75">
      <c r="A466" s="16"/>
      <c r="B466" s="16"/>
      <c r="C466" s="16"/>
      <c r="D466" s="16"/>
      <c r="E466" s="16"/>
    </row>
    <row r="467" spans="1:5" ht="12.75">
      <c r="A467" s="16"/>
      <c r="B467" s="16"/>
      <c r="C467" s="16"/>
      <c r="D467" s="16"/>
      <c r="E467" s="16"/>
    </row>
    <row r="468" spans="1:5" ht="12.75">
      <c r="A468" s="16"/>
      <c r="B468" s="16"/>
      <c r="C468" s="16"/>
      <c r="D468" s="16"/>
      <c r="E468" s="16"/>
    </row>
    <row r="469" spans="1:5" ht="12.75">
      <c r="A469" s="16"/>
      <c r="B469" s="16"/>
      <c r="C469" s="16"/>
      <c r="D469" s="16"/>
      <c r="E469" s="16"/>
    </row>
    <row r="470" spans="1:5" ht="12.75">
      <c r="A470" s="16"/>
      <c r="B470" s="16"/>
      <c r="C470" s="16"/>
      <c r="D470" s="16"/>
      <c r="E470" s="16"/>
    </row>
    <row r="471" spans="1:5" ht="12.75">
      <c r="A471" s="16"/>
      <c r="B471" s="16"/>
      <c r="C471" s="16"/>
      <c r="D471" s="16"/>
      <c r="E471" s="16"/>
    </row>
    <row r="472" spans="1:5" ht="12.75">
      <c r="A472" s="16"/>
      <c r="B472" s="16"/>
      <c r="C472" s="16"/>
      <c r="D472" s="16"/>
      <c r="E472" s="16"/>
    </row>
    <row r="473" spans="1:5" ht="12.75">
      <c r="A473" s="16"/>
      <c r="B473" s="16"/>
      <c r="C473" s="16"/>
      <c r="D473" s="16"/>
      <c r="E473" s="16"/>
    </row>
    <row r="474" spans="1:5" ht="12.75">
      <c r="A474" s="16"/>
      <c r="B474" s="16"/>
      <c r="C474" s="16"/>
      <c r="D474" s="16"/>
      <c r="E474" s="16"/>
    </row>
    <row r="475" spans="1:5" ht="12.75">
      <c r="A475" s="16"/>
      <c r="B475" s="16"/>
      <c r="C475" s="16"/>
      <c r="D475" s="16"/>
      <c r="E475" s="16"/>
    </row>
    <row r="476" spans="1:5" ht="12.75">
      <c r="A476" s="16"/>
      <c r="B476" s="16"/>
      <c r="C476" s="16"/>
      <c r="D476" s="16"/>
      <c r="E476" s="16"/>
    </row>
    <row r="477" spans="1:5" ht="12.75">
      <c r="A477" s="16"/>
      <c r="B477" s="16"/>
      <c r="C477" s="16"/>
      <c r="D477" s="16"/>
      <c r="E477" s="16"/>
    </row>
    <row r="478" spans="1:5" ht="12.75">
      <c r="A478" s="16"/>
      <c r="B478" s="16"/>
      <c r="C478" s="16"/>
      <c r="D478" s="16"/>
      <c r="E478" s="16"/>
    </row>
    <row r="479" spans="1:5" ht="12.75">
      <c r="A479" s="16"/>
      <c r="B479" s="16"/>
      <c r="C479" s="16"/>
      <c r="D479" s="16"/>
      <c r="E479" s="16"/>
    </row>
    <row r="480" spans="1:5" ht="12.75">
      <c r="A480" s="16"/>
      <c r="B480" s="16"/>
      <c r="C480" s="16"/>
      <c r="D480" s="16"/>
      <c r="E480" s="16"/>
    </row>
    <row r="481" spans="1:5" ht="12.75">
      <c r="A481" s="16"/>
      <c r="B481" s="16"/>
      <c r="C481" s="16"/>
      <c r="D481" s="16"/>
      <c r="E481" s="16"/>
    </row>
    <row r="482" spans="1:5" ht="12.75">
      <c r="A482" s="16"/>
      <c r="B482" s="16"/>
      <c r="C482" s="16"/>
      <c r="D482" s="16"/>
      <c r="E482" s="16"/>
    </row>
    <row r="483" spans="1:5" ht="12.75">
      <c r="A483" s="16"/>
      <c r="B483" s="16"/>
      <c r="C483" s="16"/>
      <c r="D483" s="16"/>
      <c r="E483" s="16"/>
    </row>
    <row r="484" spans="1:5" ht="12.75">
      <c r="A484" s="16"/>
      <c r="B484" s="16"/>
      <c r="C484" s="16"/>
      <c r="D484" s="16"/>
      <c r="E484" s="16"/>
    </row>
    <row r="485" spans="1:5" ht="12.75">
      <c r="A485" s="16"/>
      <c r="B485" s="16"/>
      <c r="C485" s="16"/>
      <c r="D485" s="16"/>
      <c r="E485" s="16"/>
    </row>
    <row r="486" spans="1:5" ht="12.75">
      <c r="A486" s="16"/>
      <c r="B486" s="16"/>
      <c r="C486" s="16"/>
      <c r="D486" s="16"/>
      <c r="E486" s="16"/>
    </row>
    <row r="487" spans="1:5" ht="12.75">
      <c r="A487" s="16"/>
      <c r="B487" s="16"/>
      <c r="C487" s="16"/>
      <c r="D487" s="16"/>
      <c r="E487" s="16"/>
    </row>
    <row r="488" spans="1:5" ht="12.75">
      <c r="A488" s="16"/>
      <c r="B488" s="16"/>
      <c r="C488" s="16"/>
      <c r="D488" s="16"/>
      <c r="E488" s="16"/>
    </row>
    <row r="489" spans="1:5" ht="12.75">
      <c r="A489" s="16"/>
      <c r="B489" s="16"/>
      <c r="C489" s="16"/>
      <c r="D489" s="16"/>
      <c r="E489" s="16"/>
    </row>
    <row r="490" spans="1:5" ht="12.75">
      <c r="A490" s="16"/>
      <c r="B490" s="16"/>
      <c r="C490" s="16"/>
      <c r="D490" s="16"/>
      <c r="E490" s="16"/>
    </row>
    <row r="491" spans="1:5" ht="12.75">
      <c r="A491" s="16"/>
      <c r="B491" s="16"/>
      <c r="C491" s="16"/>
      <c r="D491" s="16"/>
      <c r="E491" s="16"/>
    </row>
    <row r="492" spans="1:5" ht="12.75">
      <c r="A492" s="16"/>
      <c r="B492" s="16"/>
      <c r="C492" s="16"/>
      <c r="D492" s="16"/>
      <c r="E492" s="16"/>
    </row>
    <row r="493" spans="1:5" ht="12.75">
      <c r="A493" s="16"/>
      <c r="B493" s="16"/>
      <c r="C493" s="16"/>
      <c r="D493" s="16"/>
      <c r="E493" s="16"/>
    </row>
    <row r="494" spans="1:5" ht="12.75">
      <c r="A494" s="16"/>
      <c r="B494" s="16"/>
      <c r="C494" s="16"/>
      <c r="D494" s="16"/>
      <c r="E494" s="16"/>
    </row>
    <row r="495" spans="1:5" ht="12.75">
      <c r="A495" s="16"/>
      <c r="B495" s="16"/>
      <c r="C495" s="16"/>
      <c r="D495" s="16"/>
      <c r="E495" s="16"/>
    </row>
    <row r="496" spans="1:5" ht="12.75">
      <c r="A496" s="16"/>
      <c r="B496" s="16"/>
      <c r="C496" s="16"/>
      <c r="D496" s="16"/>
      <c r="E496" s="16"/>
    </row>
    <row r="497" spans="1:5" ht="12.75">
      <c r="A497" s="16"/>
      <c r="B497" s="16"/>
      <c r="C497" s="16"/>
      <c r="D497" s="16"/>
      <c r="E497" s="16"/>
    </row>
    <row r="498" spans="1:5" ht="12.75">
      <c r="A498" s="16"/>
      <c r="B498" s="16"/>
      <c r="C498" s="16"/>
      <c r="D498" s="16"/>
      <c r="E498" s="16"/>
    </row>
    <row r="499" spans="1:5" ht="12.75">
      <c r="A499" s="16"/>
      <c r="B499" s="16"/>
      <c r="C499" s="16"/>
      <c r="D499" s="16"/>
      <c r="E499" s="16"/>
    </row>
    <row r="500" spans="1:5" ht="12.75">
      <c r="A500" s="16"/>
      <c r="B500" s="16"/>
      <c r="C500" s="16"/>
      <c r="D500" s="16"/>
      <c r="E500" s="16"/>
    </row>
    <row r="501" spans="1:5" ht="12.75">
      <c r="A501" s="16"/>
      <c r="B501" s="16"/>
      <c r="C501" s="16"/>
      <c r="D501" s="16"/>
      <c r="E501" s="16"/>
    </row>
    <row r="502" spans="1:5" ht="12.75">
      <c r="A502" s="16"/>
      <c r="B502" s="16"/>
      <c r="C502" s="16"/>
      <c r="D502" s="16"/>
      <c r="E502" s="16"/>
    </row>
    <row r="503" spans="1:5" ht="12.75">
      <c r="A503" s="16"/>
      <c r="B503" s="16"/>
      <c r="C503" s="16"/>
      <c r="D503" s="16"/>
      <c r="E503" s="16"/>
    </row>
    <row r="504" spans="1:5" ht="12.75">
      <c r="A504" s="16"/>
      <c r="B504" s="16"/>
      <c r="C504" s="16"/>
      <c r="D504" s="16"/>
      <c r="E504" s="16"/>
    </row>
    <row r="505" spans="1:5" ht="12.75">
      <c r="A505" s="16"/>
      <c r="B505" s="16"/>
      <c r="C505" s="16"/>
      <c r="D505" s="16"/>
      <c r="E505" s="16"/>
    </row>
    <row r="506" spans="1:5" ht="12.75">
      <c r="A506" s="16"/>
      <c r="B506" s="16"/>
      <c r="C506" s="16"/>
      <c r="D506" s="16"/>
      <c r="E506" s="16"/>
    </row>
    <row r="507" spans="1:5" ht="12.75">
      <c r="A507" s="16"/>
      <c r="B507" s="16"/>
      <c r="C507" s="16"/>
      <c r="D507" s="16"/>
      <c r="E507" s="16"/>
    </row>
    <row r="508" spans="1:5" ht="12.75">
      <c r="A508" s="16"/>
      <c r="B508" s="16"/>
      <c r="C508" s="16"/>
      <c r="D508" s="16"/>
      <c r="E508" s="16"/>
    </row>
    <row r="509" spans="1:5" ht="12.75">
      <c r="A509" s="16"/>
      <c r="B509" s="16"/>
      <c r="C509" s="16"/>
      <c r="D509" s="16"/>
      <c r="E509" s="16"/>
    </row>
    <row r="510" spans="1:5" ht="12.75">
      <c r="A510" s="16"/>
      <c r="B510" s="16"/>
      <c r="C510" s="16"/>
      <c r="D510" s="16"/>
      <c r="E510" s="16"/>
    </row>
    <row r="511" spans="1:5" ht="12.75">
      <c r="A511" s="16"/>
      <c r="B511" s="16"/>
      <c r="C511" s="16"/>
      <c r="D511" s="16"/>
      <c r="E511" s="16"/>
    </row>
    <row r="512" spans="1:5" ht="12.75">
      <c r="A512" s="16"/>
      <c r="B512" s="16"/>
      <c r="C512" s="16"/>
      <c r="D512" s="16"/>
      <c r="E512" s="16"/>
    </row>
    <row r="513" spans="1:5" ht="12.75">
      <c r="A513" s="16"/>
      <c r="B513" s="16"/>
      <c r="C513" s="16"/>
      <c r="D513" s="16"/>
      <c r="E513" s="16"/>
    </row>
    <row r="514" spans="1:5" ht="12.75">
      <c r="A514" s="16"/>
      <c r="B514" s="16"/>
      <c r="C514" s="16"/>
      <c r="D514" s="16"/>
      <c r="E514" s="16"/>
    </row>
    <row r="515" spans="1:5" ht="12.75">
      <c r="A515" s="16"/>
      <c r="B515" s="16"/>
      <c r="C515" s="16"/>
      <c r="D515" s="16"/>
      <c r="E515" s="16"/>
    </row>
    <row r="516" spans="1:5" ht="12.75">
      <c r="A516" s="16"/>
      <c r="B516" s="16"/>
      <c r="C516" s="16"/>
      <c r="D516" s="16"/>
      <c r="E516" s="16"/>
    </row>
    <row r="517" spans="1:5" ht="12.75">
      <c r="A517" s="16"/>
      <c r="B517" s="16"/>
      <c r="C517" s="16"/>
      <c r="D517" s="16"/>
      <c r="E517" s="16"/>
    </row>
    <row r="518" spans="1:5" ht="12.75">
      <c r="A518" s="16"/>
      <c r="B518" s="16"/>
      <c r="C518" s="16"/>
      <c r="D518" s="16"/>
      <c r="E518" s="16"/>
    </row>
    <row r="519" spans="1:5" ht="12.75">
      <c r="A519" s="16"/>
      <c r="B519" s="16"/>
      <c r="C519" s="16"/>
      <c r="D519" s="16"/>
      <c r="E519" s="16"/>
    </row>
    <row r="520" spans="1:5" ht="12.75">
      <c r="A520" s="16"/>
      <c r="B520" s="16"/>
      <c r="C520" s="16"/>
      <c r="D520" s="16"/>
      <c r="E520" s="16"/>
    </row>
    <row r="521" spans="1:5" ht="12.75">
      <c r="A521" s="16"/>
      <c r="B521" s="16"/>
      <c r="C521" s="16"/>
      <c r="D521" s="16"/>
      <c r="E521" s="16"/>
    </row>
    <row r="522" spans="1:5" ht="12.75">
      <c r="A522" s="16"/>
      <c r="B522" s="16"/>
      <c r="C522" s="16"/>
      <c r="D522" s="16"/>
      <c r="E522" s="16"/>
    </row>
    <row r="523" spans="1:5" ht="12.75">
      <c r="A523" s="16"/>
      <c r="B523" s="16"/>
      <c r="C523" s="16"/>
      <c r="D523" s="16"/>
      <c r="E523" s="16"/>
    </row>
    <row r="524" spans="1:5" ht="12.75">
      <c r="A524" s="16"/>
      <c r="B524" s="16"/>
      <c r="C524" s="16"/>
      <c r="D524" s="16"/>
      <c r="E524" s="16"/>
    </row>
    <row r="525" spans="1:5" ht="12.75">
      <c r="A525" s="16"/>
      <c r="B525" s="16"/>
      <c r="C525" s="16"/>
      <c r="D525" s="16"/>
      <c r="E525" s="16"/>
    </row>
    <row r="526" spans="1:5" ht="12.75">
      <c r="A526" s="16"/>
      <c r="B526" s="16"/>
      <c r="C526" s="16"/>
      <c r="D526" s="16"/>
      <c r="E526" s="16"/>
    </row>
    <row r="527" spans="1:5" ht="12.75">
      <c r="A527" s="16"/>
      <c r="B527" s="16"/>
      <c r="C527" s="16"/>
      <c r="D527" s="16"/>
      <c r="E527" s="16"/>
    </row>
    <row r="528" spans="1:5" ht="12.75">
      <c r="A528" s="16"/>
      <c r="B528" s="16"/>
      <c r="C528" s="16"/>
      <c r="D528" s="16"/>
      <c r="E528" s="16"/>
    </row>
    <row r="529" spans="1:5" ht="12.75">
      <c r="A529" s="16"/>
      <c r="B529" s="16"/>
      <c r="C529" s="16"/>
      <c r="D529" s="16"/>
      <c r="E529" s="16"/>
    </row>
    <row r="530" spans="1:5" ht="12.75">
      <c r="A530" s="16"/>
      <c r="B530" s="16"/>
      <c r="C530" s="16"/>
      <c r="D530" s="16"/>
      <c r="E530" s="16"/>
    </row>
    <row r="531" spans="1:5" ht="12.75">
      <c r="A531" s="16"/>
      <c r="B531" s="16"/>
      <c r="C531" s="16"/>
      <c r="D531" s="16"/>
      <c r="E531" s="16"/>
    </row>
    <row r="532" spans="1:5" ht="12.75">
      <c r="A532" s="16"/>
      <c r="B532" s="16"/>
      <c r="C532" s="16"/>
      <c r="D532" s="16"/>
      <c r="E532" s="16"/>
    </row>
    <row r="533" spans="1:5" ht="12.75">
      <c r="A533" s="16"/>
      <c r="B533" s="16"/>
      <c r="C533" s="16"/>
      <c r="D533" s="16"/>
      <c r="E533" s="16"/>
    </row>
    <row r="534" spans="1:5" ht="12.75">
      <c r="A534" s="16"/>
      <c r="B534" s="16"/>
      <c r="C534" s="16"/>
      <c r="D534" s="16"/>
      <c r="E534" s="16"/>
    </row>
    <row r="535" spans="1:5" ht="12.75">
      <c r="A535" s="16"/>
      <c r="B535" s="16"/>
      <c r="C535" s="16"/>
      <c r="D535" s="16"/>
      <c r="E535" s="16"/>
    </row>
    <row r="536" spans="1:5" ht="12.75">
      <c r="A536" s="16"/>
      <c r="B536" s="16"/>
      <c r="C536" s="16"/>
      <c r="D536" s="16"/>
      <c r="E536" s="16"/>
    </row>
    <row r="537" spans="1:5" ht="12.75">
      <c r="A537" s="16"/>
      <c r="B537" s="16"/>
      <c r="C537" s="16"/>
      <c r="D537" s="16"/>
      <c r="E537" s="16"/>
    </row>
    <row r="538" spans="1:5" ht="12.75">
      <c r="A538" s="16"/>
      <c r="B538" s="16"/>
      <c r="C538" s="16"/>
      <c r="D538" s="16"/>
      <c r="E538" s="16"/>
    </row>
    <row r="539" spans="1:5" ht="12.75">
      <c r="A539" s="16"/>
      <c r="B539" s="16"/>
      <c r="C539" s="16"/>
      <c r="D539" s="16"/>
      <c r="E539" s="16"/>
    </row>
    <row r="540" spans="1:5" ht="12.75">
      <c r="A540" s="16"/>
      <c r="B540" s="16"/>
      <c r="C540" s="16"/>
      <c r="D540" s="16"/>
      <c r="E540" s="16"/>
    </row>
    <row r="541" spans="1:5" ht="12.75">
      <c r="A541" s="16"/>
      <c r="B541" s="16"/>
      <c r="C541" s="16"/>
      <c r="D541" s="16"/>
      <c r="E541" s="16"/>
    </row>
    <row r="542" spans="1:5" ht="12.75">
      <c r="A542" s="16"/>
      <c r="B542" s="16"/>
      <c r="C542" s="16"/>
      <c r="D542" s="16"/>
      <c r="E542" s="16"/>
    </row>
    <row r="543" spans="1:5" ht="12.75">
      <c r="A543" s="16"/>
      <c r="B543" s="16"/>
      <c r="C543" s="16"/>
      <c r="D543" s="16"/>
      <c r="E543" s="16"/>
    </row>
    <row r="544" spans="1:5" ht="12.75">
      <c r="A544" s="16"/>
      <c r="B544" s="16"/>
      <c r="C544" s="16"/>
      <c r="D544" s="16"/>
      <c r="E544" s="16"/>
    </row>
    <row r="545" spans="1:5" ht="12.75">
      <c r="A545" s="16"/>
      <c r="B545" s="16"/>
      <c r="C545" s="16"/>
      <c r="D545" s="16"/>
      <c r="E545" s="16"/>
    </row>
    <row r="546" spans="1:5" ht="12.75">
      <c r="A546" s="16"/>
      <c r="B546" s="16"/>
      <c r="C546" s="16"/>
      <c r="D546" s="16"/>
      <c r="E546" s="16"/>
    </row>
    <row r="547" spans="1:5" ht="12.75">
      <c r="A547" s="16"/>
      <c r="B547" s="16"/>
      <c r="C547" s="16"/>
      <c r="D547" s="16"/>
      <c r="E547" s="16"/>
    </row>
    <row r="548" spans="1:5" ht="12.75">
      <c r="A548" s="16"/>
      <c r="B548" s="16"/>
      <c r="C548" s="16"/>
      <c r="D548" s="16"/>
      <c r="E548" s="16"/>
    </row>
    <row r="549" spans="1:5" ht="12.75">
      <c r="A549" s="16"/>
      <c r="B549" s="16"/>
      <c r="C549" s="16"/>
      <c r="D549" s="16"/>
      <c r="E549" s="16"/>
    </row>
    <row r="550" spans="1:5" ht="12.75">
      <c r="A550" s="16"/>
      <c r="B550" s="16"/>
      <c r="C550" s="16"/>
      <c r="D550" s="16"/>
      <c r="E550" s="16"/>
    </row>
    <row r="551" spans="1:5" ht="12.75">
      <c r="A551" s="16"/>
      <c r="B551" s="16"/>
      <c r="C551" s="16"/>
      <c r="D551" s="16"/>
      <c r="E551" s="16"/>
    </row>
    <row r="552" spans="1:5" ht="12.75">
      <c r="A552" s="16"/>
      <c r="B552" s="16"/>
      <c r="C552" s="16"/>
      <c r="D552" s="16"/>
      <c r="E552" s="16"/>
    </row>
    <row r="553" spans="1:5" ht="12.75">
      <c r="A553" s="16"/>
      <c r="B553" s="16"/>
      <c r="C553" s="16"/>
      <c r="D553" s="16"/>
      <c r="E553" s="16"/>
    </row>
    <row r="554" spans="1:5" ht="12.75">
      <c r="A554" s="16"/>
      <c r="B554" s="16"/>
      <c r="C554" s="16"/>
      <c r="D554" s="16"/>
      <c r="E554" s="16"/>
    </row>
    <row r="555" spans="1:5" ht="12.75">
      <c r="A555" s="16"/>
      <c r="B555" s="16"/>
      <c r="C555" s="16"/>
      <c r="D555" s="16"/>
      <c r="E555" s="16"/>
    </row>
    <row r="556" spans="1:5" ht="12.75">
      <c r="A556" s="16"/>
      <c r="B556" s="16"/>
      <c r="C556" s="16"/>
      <c r="D556" s="16"/>
      <c r="E556" s="16"/>
    </row>
    <row r="557" spans="1:5" ht="12.75">
      <c r="A557" s="16"/>
      <c r="B557" s="16"/>
      <c r="C557" s="16"/>
      <c r="D557" s="16"/>
      <c r="E557" s="16"/>
    </row>
    <row r="558" spans="1:5" ht="12.75">
      <c r="A558" s="16"/>
      <c r="B558" s="16"/>
      <c r="C558" s="16"/>
      <c r="D558" s="16"/>
      <c r="E558" s="16"/>
    </row>
    <row r="559" spans="1:5" ht="12.75">
      <c r="A559" s="16"/>
      <c r="B559" s="16"/>
      <c r="C559" s="16"/>
      <c r="D559" s="16"/>
      <c r="E559" s="16"/>
    </row>
    <row r="560" spans="1:5" ht="12.75">
      <c r="A560" s="16"/>
      <c r="B560" s="16"/>
      <c r="C560" s="16"/>
      <c r="D560" s="16"/>
      <c r="E560" s="16"/>
    </row>
    <row r="561" spans="1:5" ht="12.75">
      <c r="A561" s="16"/>
      <c r="B561" s="16"/>
      <c r="C561" s="16"/>
      <c r="D561" s="16"/>
      <c r="E561" s="16"/>
    </row>
    <row r="562" spans="1:5" ht="12.75">
      <c r="A562" s="16"/>
      <c r="B562" s="16"/>
      <c r="C562" s="16"/>
      <c r="D562" s="16"/>
      <c r="E562" s="16"/>
    </row>
    <row r="563" spans="1:5" ht="12.75">
      <c r="A563" s="16"/>
      <c r="B563" s="16"/>
      <c r="C563" s="16"/>
      <c r="D563" s="16"/>
      <c r="E563" s="16"/>
    </row>
    <row r="564" spans="1:5" ht="12.75">
      <c r="A564" s="16"/>
      <c r="B564" s="16"/>
      <c r="C564" s="16"/>
      <c r="D564" s="16"/>
      <c r="E564" s="16"/>
    </row>
    <row r="565" spans="1:5" ht="12.75">
      <c r="A565" s="16"/>
      <c r="B565" s="16"/>
      <c r="C565" s="16"/>
      <c r="D565" s="16"/>
      <c r="E565" s="16"/>
    </row>
    <row r="566" spans="1:5" ht="12.75">
      <c r="A566" s="16"/>
      <c r="B566" s="16"/>
      <c r="C566" s="16"/>
      <c r="D566" s="16"/>
      <c r="E566" s="16"/>
    </row>
    <row r="567" spans="1:5" ht="12.75">
      <c r="A567" s="16"/>
      <c r="B567" s="16"/>
      <c r="C567" s="16"/>
      <c r="D567" s="16"/>
      <c r="E567" s="16"/>
    </row>
    <row r="568" spans="1:5" ht="12.75">
      <c r="A568" s="16"/>
      <c r="B568" s="16"/>
      <c r="C568" s="16"/>
      <c r="D568" s="16"/>
      <c r="E568" s="16"/>
    </row>
    <row r="569" spans="1:5" ht="12.75">
      <c r="A569" s="16"/>
      <c r="B569" s="16"/>
      <c r="C569" s="16"/>
      <c r="D569" s="16"/>
      <c r="E569" s="16"/>
    </row>
    <row r="570" spans="1:5" ht="12.75">
      <c r="A570" s="16"/>
      <c r="B570" s="16"/>
      <c r="C570" s="16"/>
      <c r="D570" s="16"/>
      <c r="E570" s="16"/>
    </row>
    <row r="571" spans="1:5" ht="12.75">
      <c r="A571" s="16"/>
      <c r="B571" s="16"/>
      <c r="C571" s="16"/>
      <c r="D571" s="16"/>
      <c r="E571" s="16"/>
    </row>
    <row r="572" spans="1:5" ht="12.75">
      <c r="A572" s="16"/>
      <c r="B572" s="16"/>
      <c r="C572" s="16"/>
      <c r="D572" s="16"/>
      <c r="E572" s="16"/>
    </row>
    <row r="573" spans="1:5" ht="12.75">
      <c r="A573" s="16"/>
      <c r="B573" s="16"/>
      <c r="C573" s="16"/>
      <c r="D573" s="16"/>
      <c r="E573" s="16"/>
    </row>
    <row r="574" spans="1:5" ht="12.75">
      <c r="A574" s="16"/>
      <c r="B574" s="16"/>
      <c r="C574" s="16"/>
      <c r="D574" s="16"/>
      <c r="E574" s="16"/>
    </row>
    <row r="575" spans="1:5" ht="12.75">
      <c r="A575" s="16"/>
      <c r="B575" s="16"/>
      <c r="C575" s="16"/>
      <c r="D575" s="16"/>
      <c r="E575" s="16"/>
    </row>
    <row r="576" spans="1:5" ht="12.75">
      <c r="A576" s="16"/>
      <c r="B576" s="16"/>
      <c r="C576" s="16"/>
      <c r="D576" s="16"/>
      <c r="E576" s="16"/>
    </row>
    <row r="577" spans="1:5" ht="12.75">
      <c r="A577" s="16"/>
      <c r="B577" s="16"/>
      <c r="C577" s="16"/>
      <c r="D577" s="16"/>
      <c r="E577" s="16"/>
    </row>
    <row r="578" spans="1:5" ht="12.75">
      <c r="A578" s="16"/>
      <c r="B578" s="16"/>
      <c r="C578" s="16"/>
      <c r="D578" s="16"/>
      <c r="E578" s="16"/>
    </row>
    <row r="579" spans="1:5" ht="12.75">
      <c r="A579" s="16"/>
      <c r="B579" s="16"/>
      <c r="C579" s="16"/>
      <c r="D579" s="16"/>
      <c r="E579" s="16"/>
    </row>
    <row r="580" spans="1:5" ht="12.75">
      <c r="A580" s="16"/>
      <c r="B580" s="16"/>
      <c r="C580" s="16"/>
      <c r="D580" s="16"/>
      <c r="E580" s="16"/>
    </row>
    <row r="581" spans="1:5" ht="12.75">
      <c r="A581" s="16"/>
      <c r="B581" s="16"/>
      <c r="C581" s="16"/>
      <c r="D581" s="16"/>
      <c r="E581" s="16"/>
    </row>
    <row r="582" spans="1:5" ht="12.75">
      <c r="A582" s="16"/>
      <c r="B582" s="16"/>
      <c r="C582" s="16"/>
      <c r="D582" s="16"/>
      <c r="E582" s="16"/>
    </row>
    <row r="583" spans="1:5" ht="12.75">
      <c r="A583" s="16"/>
      <c r="B583" s="16"/>
      <c r="C583" s="16"/>
      <c r="D583" s="16"/>
      <c r="E583" s="16"/>
    </row>
    <row r="584" spans="1:5" ht="12.75">
      <c r="A584" s="16"/>
      <c r="B584" s="16"/>
      <c r="C584" s="16"/>
      <c r="D584" s="16"/>
      <c r="E584" s="16"/>
    </row>
    <row r="585" spans="1:5" ht="12.75">
      <c r="A585" s="16"/>
      <c r="B585" s="16"/>
      <c r="C585" s="16"/>
      <c r="D585" s="16"/>
      <c r="E585" s="16"/>
    </row>
    <row r="586" spans="1:5" ht="12.75">
      <c r="A586" s="16"/>
      <c r="B586" s="16"/>
      <c r="C586" s="16"/>
      <c r="D586" s="16"/>
      <c r="E586" s="16"/>
    </row>
    <row r="587" spans="1:5" ht="12.75">
      <c r="A587" s="16"/>
      <c r="B587" s="16"/>
      <c r="C587" s="16"/>
      <c r="D587" s="16"/>
      <c r="E587" s="16"/>
    </row>
    <row r="588" spans="1:5" ht="12.75">
      <c r="A588" s="16"/>
      <c r="B588" s="16"/>
      <c r="C588" s="16"/>
      <c r="D588" s="16"/>
      <c r="E588" s="16"/>
    </row>
    <row r="589" spans="1:5" ht="12.75">
      <c r="A589" s="16"/>
      <c r="B589" s="16"/>
      <c r="C589" s="16"/>
      <c r="D589" s="16"/>
      <c r="E589" s="16"/>
    </row>
    <row r="590" spans="1:5" ht="12.75">
      <c r="A590" s="16"/>
      <c r="B590" s="16"/>
      <c r="C590" s="16"/>
      <c r="D590" s="16"/>
      <c r="E590" s="16"/>
    </row>
    <row r="591" spans="1:5" ht="12.75">
      <c r="A591" s="16"/>
      <c r="B591" s="16"/>
      <c r="C591" s="16"/>
      <c r="D591" s="16"/>
      <c r="E591" s="16"/>
    </row>
    <row r="592" spans="1:5" ht="12.75">
      <c r="A592" s="16"/>
      <c r="B592" s="16"/>
      <c r="C592" s="16"/>
      <c r="D592" s="16"/>
      <c r="E592" s="16"/>
    </row>
    <row r="593" spans="1:5" ht="12.75">
      <c r="A593" s="16"/>
      <c r="B593" s="16"/>
      <c r="C593" s="16"/>
      <c r="D593" s="16"/>
      <c r="E593" s="16"/>
    </row>
    <row r="594" spans="1:5" ht="12.75">
      <c r="A594" s="16"/>
      <c r="B594" s="16"/>
      <c r="C594" s="16"/>
      <c r="D594" s="16"/>
      <c r="E594" s="16"/>
    </row>
    <row r="595" spans="1:5" ht="12.75">
      <c r="A595" s="16"/>
      <c r="B595" s="16"/>
      <c r="C595" s="16"/>
      <c r="D595" s="16"/>
      <c r="E595" s="16"/>
    </row>
    <row r="596" spans="1:5" ht="12.75">
      <c r="A596" s="16"/>
      <c r="B596" s="16"/>
      <c r="C596" s="16"/>
      <c r="D596" s="16"/>
      <c r="E596" s="16"/>
    </row>
    <row r="597" spans="1:5" ht="12.75">
      <c r="A597" s="16"/>
      <c r="B597" s="16"/>
      <c r="C597" s="16"/>
      <c r="D597" s="16"/>
      <c r="E597" s="16"/>
    </row>
    <row r="598" spans="1:5" ht="12.75">
      <c r="A598" s="16"/>
      <c r="B598" s="16"/>
      <c r="C598" s="16"/>
      <c r="D598" s="16"/>
      <c r="E598" s="16"/>
    </row>
    <row r="599" spans="1:5" ht="12.75">
      <c r="A599" s="16"/>
      <c r="B599" s="16"/>
      <c r="C599" s="16"/>
      <c r="D599" s="16"/>
      <c r="E599" s="16"/>
    </row>
    <row r="600" spans="1:5" ht="12.75">
      <c r="A600" s="16"/>
      <c r="B600" s="16"/>
      <c r="C600" s="16"/>
      <c r="D600" s="16"/>
      <c r="E600" s="16"/>
    </row>
    <row r="601" spans="1:5" ht="12.75">
      <c r="A601" s="16"/>
      <c r="B601" s="16"/>
      <c r="C601" s="16"/>
      <c r="D601" s="16"/>
      <c r="E601" s="16"/>
    </row>
    <row r="602" spans="1:5" ht="12.75">
      <c r="A602" s="16"/>
      <c r="B602" s="16"/>
      <c r="C602" s="16"/>
      <c r="D602" s="16"/>
      <c r="E602" s="16"/>
    </row>
    <row r="603" spans="1:5" ht="12.75">
      <c r="A603" s="16"/>
      <c r="B603" s="16"/>
      <c r="C603" s="16"/>
      <c r="D603" s="16"/>
      <c r="E603" s="16"/>
    </row>
    <row r="604" spans="1:5" ht="12.75">
      <c r="A604" s="16"/>
      <c r="B604" s="16"/>
      <c r="C604" s="16"/>
      <c r="D604" s="16"/>
      <c r="E604" s="16"/>
    </row>
    <row r="605" spans="1:5" ht="12.75">
      <c r="A605" s="16"/>
      <c r="B605" s="16"/>
      <c r="C605" s="16"/>
      <c r="D605" s="16"/>
      <c r="E605" s="16"/>
    </row>
    <row r="606" spans="1:5" ht="12.75">
      <c r="A606" s="16"/>
      <c r="B606" s="16"/>
      <c r="C606" s="16"/>
      <c r="D606" s="16"/>
      <c r="E606" s="16"/>
    </row>
    <row r="607" spans="1:5" ht="12.75">
      <c r="A607" s="16"/>
      <c r="B607" s="16"/>
      <c r="C607" s="16"/>
      <c r="D607" s="16"/>
      <c r="E607" s="16"/>
    </row>
    <row r="608" spans="1:5" ht="12.75">
      <c r="A608" s="16"/>
      <c r="B608" s="16"/>
      <c r="C608" s="16"/>
      <c r="D608" s="16"/>
      <c r="E608" s="16"/>
    </row>
    <row r="609" spans="1:5" ht="12.75">
      <c r="A609" s="16"/>
      <c r="B609" s="16"/>
      <c r="C609" s="16"/>
      <c r="D609" s="16"/>
      <c r="E609" s="16"/>
    </row>
    <row r="610" spans="1:5" ht="12.75">
      <c r="A610" s="16"/>
      <c r="B610" s="16"/>
      <c r="C610" s="16"/>
      <c r="D610" s="16"/>
      <c r="E610" s="16"/>
    </row>
    <row r="611" spans="1:5" ht="12.75">
      <c r="A611" s="16"/>
      <c r="B611" s="16"/>
      <c r="C611" s="16"/>
      <c r="D611" s="16"/>
      <c r="E611" s="16"/>
    </row>
    <row r="612" spans="1:5" ht="12.75">
      <c r="A612" s="16"/>
      <c r="B612" s="16"/>
      <c r="C612" s="16"/>
      <c r="D612" s="16"/>
      <c r="E612" s="16"/>
    </row>
    <row r="613" spans="1:5" ht="12.75">
      <c r="A613" s="16"/>
      <c r="B613" s="16"/>
      <c r="C613" s="16"/>
      <c r="D613" s="16"/>
      <c r="E613" s="16"/>
    </row>
    <row r="614" spans="1:5" ht="12.75">
      <c r="A614" s="16"/>
      <c r="B614" s="16"/>
      <c r="C614" s="16"/>
      <c r="D614" s="16"/>
      <c r="E614" s="16"/>
    </row>
    <row r="615" spans="1:5" ht="12.75">
      <c r="A615" s="16"/>
      <c r="B615" s="16"/>
      <c r="C615" s="16"/>
      <c r="D615" s="16"/>
      <c r="E615" s="16"/>
    </row>
    <row r="616" spans="1:5" ht="12.75">
      <c r="A616" s="16"/>
      <c r="B616" s="16"/>
      <c r="C616" s="16"/>
      <c r="D616" s="16"/>
      <c r="E616" s="16"/>
    </row>
    <row r="617" spans="1:5" ht="12.75">
      <c r="A617" s="16"/>
      <c r="B617" s="16"/>
      <c r="C617" s="16"/>
      <c r="D617" s="16"/>
      <c r="E617" s="16"/>
    </row>
    <row r="618" spans="1:5" ht="12.75">
      <c r="A618" s="16"/>
      <c r="B618" s="16"/>
      <c r="C618" s="16"/>
      <c r="D618" s="16"/>
      <c r="E618" s="16"/>
    </row>
    <row r="619" spans="1:5" ht="12.75">
      <c r="A619" s="16"/>
      <c r="B619" s="16"/>
      <c r="C619" s="16"/>
      <c r="D619" s="16"/>
      <c r="E619" s="16"/>
    </row>
    <row r="620" spans="1:5" ht="12.75">
      <c r="A620" s="16"/>
      <c r="B620" s="16"/>
      <c r="C620" s="16"/>
      <c r="D620" s="16"/>
      <c r="E620" s="16"/>
    </row>
    <row r="621" spans="1:5" ht="12.75">
      <c r="A621" s="16"/>
      <c r="B621" s="16"/>
      <c r="C621" s="16"/>
      <c r="D621" s="16"/>
      <c r="E621" s="16"/>
    </row>
    <row r="622" spans="1:5" ht="12.75">
      <c r="A622" s="16"/>
      <c r="B622" s="16"/>
      <c r="C622" s="16"/>
      <c r="D622" s="16"/>
      <c r="E622" s="16"/>
    </row>
    <row r="623" spans="1:5" ht="12.75">
      <c r="A623" s="16"/>
      <c r="B623" s="16"/>
      <c r="C623" s="16"/>
      <c r="D623" s="16"/>
      <c r="E623" s="16"/>
    </row>
    <row r="624" spans="1:5" ht="12.75">
      <c r="A624" s="16"/>
      <c r="B624" s="16"/>
      <c r="C624" s="16"/>
      <c r="D624" s="16"/>
      <c r="E624" s="16"/>
    </row>
    <row r="625" spans="1:5" ht="12.75">
      <c r="A625" s="16"/>
      <c r="B625" s="16"/>
      <c r="C625" s="16"/>
      <c r="D625" s="16"/>
      <c r="E625" s="16"/>
    </row>
    <row r="626" spans="1:5" ht="12.75">
      <c r="A626" s="16"/>
      <c r="B626" s="16"/>
      <c r="C626" s="16"/>
      <c r="D626" s="16"/>
      <c r="E626" s="16"/>
    </row>
    <row r="627" spans="1:5" ht="12.75">
      <c r="A627" s="16"/>
      <c r="B627" s="16"/>
      <c r="C627" s="16"/>
      <c r="D627" s="16"/>
      <c r="E627" s="16"/>
    </row>
    <row r="628" spans="1:5" ht="12.75">
      <c r="A628" s="16"/>
      <c r="B628" s="16"/>
      <c r="C628" s="16"/>
      <c r="D628" s="16"/>
      <c r="E628" s="16"/>
    </row>
    <row r="629" spans="1:5" ht="12.75">
      <c r="A629" s="16"/>
      <c r="B629" s="16"/>
      <c r="C629" s="16"/>
      <c r="D629" s="16"/>
      <c r="E629" s="16"/>
    </row>
    <row r="630" spans="1:5" ht="12.75">
      <c r="A630" s="16"/>
      <c r="B630" s="16"/>
      <c r="C630" s="16"/>
      <c r="D630" s="16"/>
      <c r="E630" s="16"/>
    </row>
    <row r="631" spans="1:5" ht="12.75">
      <c r="A631" s="16"/>
      <c r="B631" s="16"/>
      <c r="C631" s="16"/>
      <c r="D631" s="16"/>
      <c r="E631" s="16"/>
    </row>
    <row r="632" spans="1:5" ht="12.75">
      <c r="A632" s="16"/>
      <c r="B632" s="16"/>
      <c r="C632" s="16"/>
      <c r="D632" s="16"/>
      <c r="E632" s="16"/>
    </row>
    <row r="633" spans="1:5" ht="12.75">
      <c r="A633" s="16"/>
      <c r="B633" s="16"/>
      <c r="C633" s="16"/>
      <c r="D633" s="16"/>
      <c r="E633" s="16"/>
    </row>
    <row r="634" spans="1:5" ht="12.75">
      <c r="A634" s="16"/>
      <c r="B634" s="16"/>
      <c r="C634" s="16"/>
      <c r="D634" s="16"/>
      <c r="E634" s="16"/>
    </row>
    <row r="635" spans="1:5" ht="12.75">
      <c r="A635" s="16"/>
      <c r="B635" s="16"/>
      <c r="C635" s="16"/>
      <c r="D635" s="16"/>
      <c r="E635" s="16"/>
    </row>
    <row r="636" spans="1:5" ht="12.75">
      <c r="A636" s="16"/>
      <c r="B636" s="16"/>
      <c r="C636" s="16"/>
      <c r="D636" s="16"/>
      <c r="E636" s="16"/>
    </row>
    <row r="637" spans="1:5" ht="12.75">
      <c r="A637" s="16"/>
      <c r="B637" s="16"/>
      <c r="C637" s="16"/>
      <c r="D637" s="16"/>
      <c r="E637" s="16"/>
    </row>
    <row r="638" spans="1:5" ht="12.75">
      <c r="A638" s="16"/>
      <c r="B638" s="16"/>
      <c r="C638" s="16"/>
      <c r="D638" s="16"/>
      <c r="E638" s="16"/>
    </row>
    <row r="639" spans="1:5" ht="12.75">
      <c r="A639" s="16"/>
      <c r="B639" s="16"/>
      <c r="C639" s="16"/>
      <c r="D639" s="16"/>
      <c r="E639" s="16"/>
    </row>
    <row r="640" spans="1:5" ht="12.75">
      <c r="A640" s="16"/>
      <c r="B640" s="16"/>
      <c r="C640" s="16"/>
      <c r="D640" s="16"/>
      <c r="E640" s="16"/>
    </row>
    <row r="641" spans="1:5" ht="12.75">
      <c r="A641" s="16"/>
      <c r="B641" s="16"/>
      <c r="C641" s="16"/>
      <c r="D641" s="16"/>
      <c r="E641" s="16"/>
    </row>
    <row r="642" spans="1:5" ht="12.75">
      <c r="A642" s="16"/>
      <c r="B642" s="16"/>
      <c r="C642" s="16"/>
      <c r="D642" s="16"/>
      <c r="E642" s="16"/>
    </row>
    <row r="643" spans="1:5" ht="12.75">
      <c r="A643" s="16"/>
      <c r="B643" s="16"/>
      <c r="C643" s="16"/>
      <c r="D643" s="16"/>
      <c r="E643" s="16"/>
    </row>
    <row r="644" spans="1:5" ht="12.75">
      <c r="A644" s="16"/>
      <c r="B644" s="16"/>
      <c r="C644" s="16"/>
      <c r="D644" s="16"/>
      <c r="E644" s="16"/>
    </row>
    <row r="645" spans="1:5" ht="12.75">
      <c r="A645" s="16"/>
      <c r="B645" s="16"/>
      <c r="C645" s="16"/>
      <c r="D645" s="16"/>
      <c r="E645" s="16"/>
    </row>
    <row r="646" spans="1:5" ht="12.75">
      <c r="A646" s="16"/>
      <c r="B646" s="16"/>
      <c r="C646" s="16"/>
      <c r="D646" s="16"/>
      <c r="E646" s="16"/>
    </row>
    <row r="647" spans="1:5" ht="12.75">
      <c r="A647" s="16"/>
      <c r="B647" s="16"/>
      <c r="C647" s="16"/>
      <c r="D647" s="16"/>
      <c r="E647" s="16"/>
    </row>
    <row r="648" spans="1:5" ht="12.75">
      <c r="A648" s="16"/>
      <c r="B648" s="16"/>
      <c r="C648" s="16"/>
      <c r="D648" s="16"/>
      <c r="E648" s="16"/>
    </row>
    <row r="649" spans="1:5" ht="12.75">
      <c r="A649" s="16"/>
      <c r="B649" s="16"/>
      <c r="C649" s="16"/>
      <c r="D649" s="16"/>
      <c r="E649" s="16"/>
    </row>
    <row r="650" spans="1:5" ht="12.75">
      <c r="A650" s="16"/>
      <c r="B650" s="16"/>
      <c r="C650" s="16"/>
      <c r="D650" s="16"/>
      <c r="E650" s="16"/>
    </row>
    <row r="651" spans="1:5" ht="12.75">
      <c r="A651" s="16"/>
      <c r="B651" s="16"/>
      <c r="C651" s="16"/>
      <c r="D651" s="16"/>
      <c r="E651" s="16"/>
    </row>
    <row r="652" spans="1:5" ht="12.75">
      <c r="A652" s="16"/>
      <c r="B652" s="16"/>
      <c r="C652" s="16"/>
      <c r="D652" s="16"/>
      <c r="E652" s="16"/>
    </row>
    <row r="653" spans="1:5" ht="12.75">
      <c r="A653" s="16"/>
      <c r="B653" s="16"/>
      <c r="C653" s="16"/>
      <c r="D653" s="16"/>
      <c r="E653" s="16"/>
    </row>
    <row r="654" spans="1:5" ht="12.75">
      <c r="A654" s="16"/>
      <c r="B654" s="16"/>
      <c r="C654" s="16"/>
      <c r="D654" s="16"/>
      <c r="E654" s="16"/>
    </row>
    <row r="655" spans="1:5" ht="12.75">
      <c r="A655" s="16"/>
      <c r="B655" s="16"/>
      <c r="C655" s="16"/>
      <c r="D655" s="16"/>
      <c r="E655" s="16"/>
    </row>
    <row r="656" spans="1:5" ht="12.75">
      <c r="A656" s="16"/>
      <c r="B656" s="16"/>
      <c r="C656" s="16"/>
      <c r="D656" s="16"/>
      <c r="E656" s="16"/>
    </row>
    <row r="657" spans="1:5" ht="12.75">
      <c r="A657" s="16"/>
      <c r="B657" s="16"/>
      <c r="C657" s="16"/>
      <c r="D657" s="16"/>
      <c r="E657" s="16"/>
    </row>
    <row r="658" spans="1:5" ht="12.75">
      <c r="A658" s="16"/>
      <c r="B658" s="16"/>
      <c r="C658" s="16"/>
      <c r="D658" s="16"/>
      <c r="E658" s="16"/>
    </row>
    <row r="659" spans="1:5" ht="12.75">
      <c r="A659" s="16"/>
      <c r="B659" s="16"/>
      <c r="C659" s="16"/>
      <c r="D659" s="16"/>
      <c r="E659" s="16"/>
    </row>
    <row r="660" spans="1:5" ht="12.75">
      <c r="A660" s="16"/>
      <c r="B660" s="16"/>
      <c r="C660" s="16"/>
      <c r="D660" s="16"/>
      <c r="E660" s="16"/>
    </row>
    <row r="661" spans="1:5" ht="12.75">
      <c r="A661" s="16"/>
      <c r="B661" s="16"/>
      <c r="C661" s="16"/>
      <c r="D661" s="16"/>
      <c r="E661" s="16"/>
    </row>
    <row r="662" spans="1:5" ht="12.75">
      <c r="A662" s="16"/>
      <c r="B662" s="16"/>
      <c r="C662" s="16"/>
      <c r="D662" s="16"/>
      <c r="E662" s="16"/>
    </row>
    <row r="663" spans="1:5" ht="12.75">
      <c r="A663" s="16"/>
      <c r="B663" s="16"/>
      <c r="C663" s="16"/>
      <c r="D663" s="16"/>
      <c r="E663" s="16"/>
    </row>
    <row r="664" spans="1:5" ht="12.75">
      <c r="A664" s="16"/>
      <c r="B664" s="16"/>
      <c r="C664" s="16"/>
      <c r="D664" s="16"/>
      <c r="E664" s="16"/>
    </row>
    <row r="665" spans="1:5" ht="12.75">
      <c r="A665" s="16"/>
      <c r="B665" s="16"/>
      <c r="C665" s="16"/>
      <c r="D665" s="16"/>
      <c r="E665" s="16"/>
    </row>
    <row r="666" spans="1:5" ht="12.75">
      <c r="A666" s="16"/>
      <c r="B666" s="16"/>
      <c r="C666" s="16"/>
      <c r="D666" s="16"/>
      <c r="E666" s="16"/>
    </row>
    <row r="667" spans="1:5" ht="12.75">
      <c r="A667" s="16"/>
      <c r="B667" s="16"/>
      <c r="C667" s="16"/>
      <c r="D667" s="16"/>
      <c r="E667" s="16"/>
    </row>
    <row r="668" spans="1:5" ht="12.75">
      <c r="A668" s="16"/>
      <c r="B668" s="16"/>
      <c r="C668" s="16"/>
      <c r="D668" s="16"/>
      <c r="E668" s="16"/>
    </row>
    <row r="669" spans="1:5" ht="12.75">
      <c r="A669" s="16"/>
      <c r="B669" s="16"/>
      <c r="C669" s="16"/>
      <c r="D669" s="16"/>
      <c r="E669" s="16"/>
    </row>
    <row r="670" spans="1:5" ht="12.75">
      <c r="A670" s="16"/>
      <c r="B670" s="16"/>
      <c r="C670" s="16"/>
      <c r="D670" s="16"/>
      <c r="E670" s="16"/>
    </row>
    <row r="671" spans="1:5" ht="12.75">
      <c r="A671" s="16"/>
      <c r="B671" s="16"/>
      <c r="C671" s="16"/>
      <c r="D671" s="16"/>
      <c r="E671" s="16"/>
    </row>
    <row r="672" spans="1:5" ht="12.75">
      <c r="A672" s="16"/>
      <c r="B672" s="16"/>
      <c r="C672" s="16"/>
      <c r="D672" s="16"/>
      <c r="E672" s="16"/>
    </row>
    <row r="673" spans="1:5" ht="12.75">
      <c r="A673" s="16"/>
      <c r="B673" s="16"/>
      <c r="C673" s="16"/>
      <c r="D673" s="16"/>
      <c r="E673" s="16"/>
    </row>
    <row r="674" spans="1:5" ht="12.75">
      <c r="A674" s="16"/>
      <c r="B674" s="16"/>
      <c r="C674" s="16"/>
      <c r="D674" s="16"/>
      <c r="E674" s="16"/>
    </row>
    <row r="675" spans="1:5" ht="12.75">
      <c r="A675" s="16"/>
      <c r="B675" s="16"/>
      <c r="C675" s="16"/>
      <c r="D675" s="16"/>
      <c r="E675" s="16"/>
    </row>
    <row r="676" spans="1:5" ht="12.75">
      <c r="A676" s="16"/>
      <c r="B676" s="16"/>
      <c r="C676" s="16"/>
      <c r="D676" s="16"/>
      <c r="E676" s="16"/>
    </row>
    <row r="677" spans="1:5" ht="12.75">
      <c r="A677" s="16"/>
      <c r="B677" s="16"/>
      <c r="C677" s="16"/>
      <c r="D677" s="16"/>
      <c r="E677" s="16"/>
    </row>
    <row r="678" spans="1:5" ht="12.75">
      <c r="A678" s="16"/>
      <c r="B678" s="16"/>
      <c r="C678" s="16"/>
      <c r="D678" s="16"/>
      <c r="E678" s="16"/>
    </row>
    <row r="679" spans="1:5" ht="12.75">
      <c r="A679" s="16"/>
      <c r="B679" s="16"/>
      <c r="C679" s="16"/>
      <c r="D679" s="16"/>
      <c r="E679" s="16"/>
    </row>
    <row r="680" spans="1:5" ht="12.75">
      <c r="A680" s="16"/>
      <c r="B680" s="16"/>
      <c r="C680" s="16"/>
      <c r="D680" s="16"/>
      <c r="E680" s="16"/>
    </row>
    <row r="681" spans="1:5" ht="12.75">
      <c r="A681" s="16"/>
      <c r="B681" s="16"/>
      <c r="C681" s="16"/>
      <c r="D681" s="16"/>
      <c r="E681" s="16"/>
    </row>
    <row r="682" spans="1:5" ht="12.75">
      <c r="A682" s="16"/>
      <c r="B682" s="16"/>
      <c r="C682" s="16"/>
      <c r="D682" s="16"/>
      <c r="E682" s="16"/>
    </row>
    <row r="683" spans="1:5" ht="12.75">
      <c r="A683" s="16"/>
      <c r="B683" s="16"/>
      <c r="C683" s="16"/>
      <c r="D683" s="16"/>
      <c r="E683" s="16"/>
    </row>
    <row r="684" spans="1:5" ht="12.75">
      <c r="A684" s="16"/>
      <c r="B684" s="16"/>
      <c r="C684" s="16"/>
      <c r="D684" s="16"/>
      <c r="E684" s="16"/>
    </row>
    <row r="685" spans="1:5" ht="12.75">
      <c r="A685" s="16"/>
      <c r="B685" s="16"/>
      <c r="C685" s="16"/>
      <c r="D685" s="16"/>
      <c r="E685" s="16"/>
    </row>
    <row r="686" spans="1:5" ht="12.75">
      <c r="A686" s="16"/>
      <c r="B686" s="16"/>
      <c r="C686" s="16"/>
      <c r="D686" s="16"/>
      <c r="E686" s="16"/>
    </row>
    <row r="687" spans="1:5" ht="12.75">
      <c r="A687" s="16"/>
      <c r="B687" s="16"/>
      <c r="C687" s="16"/>
      <c r="D687" s="16"/>
      <c r="E687" s="16"/>
    </row>
    <row r="688" spans="1:5" ht="12.75">
      <c r="A688" s="16"/>
      <c r="B688" s="16"/>
      <c r="C688" s="16"/>
      <c r="D688" s="16"/>
      <c r="E688" s="16"/>
    </row>
    <row r="689" spans="1:5" ht="12.75">
      <c r="A689" s="16"/>
      <c r="B689" s="16"/>
      <c r="C689" s="16"/>
      <c r="D689" s="16"/>
      <c r="E689" s="16"/>
    </row>
    <row r="690" spans="1:5" ht="12.75">
      <c r="A690" s="16"/>
      <c r="B690" s="16"/>
      <c r="C690" s="16"/>
      <c r="D690" s="16"/>
      <c r="E690" s="16"/>
    </row>
    <row r="691" spans="1:5" ht="12.75">
      <c r="A691" s="16"/>
      <c r="B691" s="16"/>
      <c r="C691" s="16"/>
      <c r="D691" s="16"/>
      <c r="E691" s="16"/>
    </row>
    <row r="692" spans="1:5" ht="12.75">
      <c r="A692" s="16"/>
      <c r="B692" s="16"/>
      <c r="C692" s="16"/>
      <c r="D692" s="16"/>
      <c r="E692" s="16"/>
    </row>
    <row r="693" spans="1:5" ht="12.75">
      <c r="A693" s="16"/>
      <c r="B693" s="16"/>
      <c r="C693" s="16"/>
      <c r="D693" s="16"/>
      <c r="E693" s="16"/>
    </row>
    <row r="694" spans="1:5" ht="12.75">
      <c r="A694" s="16"/>
      <c r="B694" s="16"/>
      <c r="C694" s="16"/>
      <c r="D694" s="16"/>
      <c r="E694" s="16"/>
    </row>
    <row r="695" spans="1:5" ht="12.75">
      <c r="A695" s="16"/>
      <c r="B695" s="16"/>
      <c r="C695" s="16"/>
      <c r="D695" s="16"/>
      <c r="E695" s="16"/>
    </row>
    <row r="696" spans="1:5" ht="12.75">
      <c r="A696" s="16"/>
      <c r="B696" s="16"/>
      <c r="C696" s="16"/>
      <c r="D696" s="16"/>
      <c r="E696" s="16"/>
    </row>
    <row r="697" spans="1:5" ht="12.75">
      <c r="A697" s="16"/>
      <c r="B697" s="16"/>
      <c r="C697" s="16"/>
      <c r="D697" s="16"/>
      <c r="E697" s="16"/>
    </row>
    <row r="698" spans="1:5" ht="12.75">
      <c r="A698" s="16"/>
      <c r="B698" s="16"/>
      <c r="C698" s="16"/>
      <c r="D698" s="16"/>
      <c r="E698" s="16"/>
    </row>
    <row r="699" spans="1:5" ht="12.75">
      <c r="A699" s="16"/>
      <c r="B699" s="16"/>
      <c r="C699" s="16"/>
      <c r="D699" s="16"/>
      <c r="E699" s="16"/>
    </row>
    <row r="700" spans="1:5" ht="12.75">
      <c r="A700" s="16"/>
      <c r="B700" s="16"/>
      <c r="C700" s="16"/>
      <c r="D700" s="16"/>
      <c r="E700" s="16"/>
    </row>
    <row r="701" spans="1:5" ht="12.75">
      <c r="A701" s="16"/>
      <c r="B701" s="16"/>
      <c r="C701" s="16"/>
      <c r="D701" s="16"/>
      <c r="E701" s="16"/>
    </row>
    <row r="702" spans="1:5" ht="12.75">
      <c r="A702" s="16"/>
      <c r="B702" s="16"/>
      <c r="C702" s="16"/>
      <c r="D702" s="16"/>
      <c r="E702" s="16"/>
    </row>
    <row r="703" spans="1:5" ht="12.75">
      <c r="A703" s="16"/>
      <c r="B703" s="16"/>
      <c r="C703" s="16"/>
      <c r="D703" s="16"/>
      <c r="E703" s="16"/>
    </row>
    <row r="704" spans="1:5" ht="12.75">
      <c r="A704" s="16"/>
      <c r="B704" s="16"/>
      <c r="C704" s="16"/>
      <c r="D704" s="16"/>
      <c r="E704" s="16"/>
    </row>
    <row r="705" spans="1:5" ht="12.75">
      <c r="A705" s="16"/>
      <c r="B705" s="16"/>
      <c r="C705" s="16"/>
      <c r="D705" s="16"/>
      <c r="E705" s="16"/>
    </row>
    <row r="706" spans="1:5" ht="12.75">
      <c r="A706" s="16"/>
      <c r="B706" s="16"/>
      <c r="C706" s="16"/>
      <c r="D706" s="16"/>
      <c r="E706" s="16"/>
    </row>
    <row r="707" spans="1:5" ht="12.75">
      <c r="A707" s="16"/>
      <c r="B707" s="16"/>
      <c r="C707" s="16"/>
      <c r="D707" s="16"/>
      <c r="E707" s="16"/>
    </row>
    <row r="708" spans="1:5" ht="12.75">
      <c r="A708" s="16"/>
      <c r="B708" s="16"/>
      <c r="C708" s="16"/>
      <c r="D708" s="16"/>
      <c r="E708" s="16"/>
    </row>
    <row r="709" spans="1:5" ht="12.75">
      <c r="A709" s="16"/>
      <c r="B709" s="16"/>
      <c r="C709" s="16"/>
      <c r="D709" s="16"/>
      <c r="E709" s="16"/>
    </row>
    <row r="710" spans="1:5" ht="12.75">
      <c r="A710" s="16"/>
      <c r="B710" s="16"/>
      <c r="C710" s="16"/>
      <c r="D710" s="16"/>
      <c r="E710" s="16"/>
    </row>
    <row r="711" spans="1:5" ht="12.75">
      <c r="A711" s="16"/>
      <c r="B711" s="16"/>
      <c r="C711" s="16"/>
      <c r="D711" s="16"/>
      <c r="E711" s="16"/>
    </row>
    <row r="712" spans="1:5" ht="12.75">
      <c r="A712" s="16"/>
      <c r="B712" s="16"/>
      <c r="C712" s="16"/>
      <c r="D712" s="16"/>
      <c r="E712" s="16"/>
    </row>
    <row r="713" spans="1:5" ht="12.75">
      <c r="A713" s="16"/>
      <c r="B713" s="16"/>
      <c r="C713" s="16"/>
      <c r="D713" s="16"/>
      <c r="E713" s="16"/>
    </row>
    <row r="714" spans="1:5" ht="12.75">
      <c r="A714" s="16"/>
      <c r="B714" s="16"/>
      <c r="C714" s="16"/>
      <c r="D714" s="16"/>
      <c r="E714" s="16"/>
    </row>
    <row r="715" spans="1:5" ht="12.75">
      <c r="A715" s="16"/>
      <c r="B715" s="16"/>
      <c r="C715" s="16"/>
      <c r="D715" s="16"/>
      <c r="E715" s="16"/>
    </row>
    <row r="716" spans="1:5" ht="12.75">
      <c r="A716" s="16"/>
      <c r="B716" s="16"/>
      <c r="C716" s="16"/>
      <c r="D716" s="16"/>
      <c r="E716" s="16"/>
    </row>
    <row r="717" spans="1:5" ht="12.75">
      <c r="A717" s="16"/>
      <c r="B717" s="16"/>
      <c r="C717" s="16"/>
      <c r="D717" s="16"/>
      <c r="E717" s="16"/>
    </row>
    <row r="718" spans="1:5" ht="12.75">
      <c r="A718" s="16"/>
      <c r="B718" s="16"/>
      <c r="C718" s="16"/>
      <c r="D718" s="16"/>
      <c r="E718" s="16"/>
    </row>
    <row r="719" spans="1:5" ht="12.75">
      <c r="A719" s="16"/>
      <c r="B719" s="16"/>
      <c r="C719" s="16"/>
      <c r="D719" s="16"/>
      <c r="E719" s="16"/>
    </row>
    <row r="720" spans="1:5" ht="12.75">
      <c r="A720" s="16"/>
      <c r="B720" s="16"/>
      <c r="C720" s="16"/>
      <c r="D720" s="16"/>
      <c r="E720" s="16"/>
    </row>
    <row r="721" spans="1:5" ht="12.75">
      <c r="A721" s="16"/>
      <c r="B721" s="16"/>
      <c r="C721" s="16"/>
      <c r="D721" s="16"/>
      <c r="E721" s="16"/>
    </row>
    <row r="722" spans="1:5" ht="12.75">
      <c r="A722" s="16"/>
      <c r="B722" s="16"/>
      <c r="C722" s="16"/>
      <c r="D722" s="16"/>
      <c r="E722" s="16"/>
    </row>
    <row r="723" spans="1:5" ht="12.75">
      <c r="A723" s="16"/>
      <c r="B723" s="16"/>
      <c r="C723" s="16"/>
      <c r="D723" s="16"/>
      <c r="E723" s="16"/>
    </row>
    <row r="724" spans="1:5" ht="12.75">
      <c r="A724" s="16"/>
      <c r="B724" s="16"/>
      <c r="C724" s="16"/>
      <c r="D724" s="16"/>
      <c r="E724" s="16"/>
    </row>
    <row r="725" spans="1:5" ht="12.75">
      <c r="A725" s="16"/>
      <c r="B725" s="16"/>
      <c r="C725" s="16"/>
      <c r="D725" s="16"/>
      <c r="E725" s="16"/>
    </row>
    <row r="726" spans="1:5" ht="12.75">
      <c r="A726" s="16"/>
      <c r="B726" s="16"/>
      <c r="C726" s="16"/>
      <c r="D726" s="16"/>
      <c r="E726" s="16"/>
    </row>
    <row r="727" spans="1:5" ht="12.75">
      <c r="A727" s="16"/>
      <c r="B727" s="16"/>
      <c r="C727" s="16"/>
      <c r="D727" s="16"/>
      <c r="E727" s="16"/>
    </row>
    <row r="728" spans="1:5" ht="12.75">
      <c r="A728" s="16"/>
      <c r="B728" s="16"/>
      <c r="C728" s="16"/>
      <c r="D728" s="16"/>
      <c r="E728" s="16"/>
    </row>
    <row r="729" spans="1:5" ht="12.75">
      <c r="A729" s="16"/>
      <c r="B729" s="16"/>
      <c r="C729" s="16"/>
      <c r="D729" s="16"/>
      <c r="E729" s="16"/>
    </row>
    <row r="730" spans="1:5" ht="12.75">
      <c r="A730" s="16"/>
      <c r="B730" s="16"/>
      <c r="C730" s="16"/>
      <c r="D730" s="16"/>
      <c r="E730" s="16"/>
    </row>
    <row r="731" spans="1:5" ht="12.75">
      <c r="A731" s="16"/>
      <c r="B731" s="16"/>
      <c r="C731" s="16"/>
      <c r="D731" s="16"/>
      <c r="E731" s="16"/>
    </row>
    <row r="732" spans="1:5" ht="12.75">
      <c r="A732" s="16"/>
      <c r="B732" s="16"/>
      <c r="C732" s="16"/>
      <c r="D732" s="16"/>
      <c r="E732" s="16"/>
    </row>
    <row r="733" spans="1:5" ht="12.75">
      <c r="A733" s="16"/>
      <c r="B733" s="16"/>
      <c r="C733" s="16"/>
      <c r="D733" s="16"/>
      <c r="E733" s="16"/>
    </row>
    <row r="734" spans="1:5" ht="12.75">
      <c r="A734" s="16"/>
      <c r="B734" s="16"/>
      <c r="C734" s="16"/>
      <c r="D734" s="16"/>
      <c r="E734" s="16"/>
    </row>
    <row r="735" spans="1:5" ht="12.75">
      <c r="A735" s="16"/>
      <c r="B735" s="16"/>
      <c r="C735" s="16"/>
      <c r="D735" s="16"/>
      <c r="E735" s="16"/>
    </row>
    <row r="736" spans="1:5" ht="12.75">
      <c r="A736" s="16"/>
      <c r="B736" s="16"/>
      <c r="C736" s="16"/>
      <c r="D736" s="16"/>
      <c r="E736" s="16"/>
    </row>
    <row r="737" spans="1:5" ht="12.75">
      <c r="A737" s="16"/>
      <c r="B737" s="16"/>
      <c r="C737" s="16"/>
      <c r="D737" s="16"/>
      <c r="E737" s="16"/>
    </row>
    <row r="738" spans="1:5" ht="12.75">
      <c r="A738" s="16"/>
      <c r="B738" s="16"/>
      <c r="C738" s="16"/>
      <c r="D738" s="16"/>
      <c r="E738" s="16"/>
    </row>
    <row r="739" spans="1:5" ht="12.75">
      <c r="A739" s="16"/>
      <c r="B739" s="16"/>
      <c r="C739" s="16"/>
      <c r="D739" s="16"/>
      <c r="E739" s="16"/>
    </row>
    <row r="740" spans="1:5" ht="12.75">
      <c r="A740" s="16"/>
      <c r="B740" s="16"/>
      <c r="C740" s="16"/>
      <c r="D740" s="16"/>
      <c r="E740" s="16"/>
    </row>
    <row r="741" spans="1:5" ht="12.75">
      <c r="A741" s="16"/>
      <c r="B741" s="16"/>
      <c r="C741" s="16"/>
      <c r="D741" s="16"/>
      <c r="E741" s="16"/>
    </row>
    <row r="742" spans="1:5" ht="12.75">
      <c r="A742" s="16"/>
      <c r="B742" s="16"/>
      <c r="C742" s="16"/>
      <c r="D742" s="16"/>
      <c r="E742" s="16"/>
    </row>
    <row r="743" spans="1:5" ht="12.75">
      <c r="A743" s="16"/>
      <c r="B743" s="16"/>
      <c r="C743" s="16"/>
      <c r="D743" s="16"/>
      <c r="E743" s="16"/>
    </row>
    <row r="744" spans="1:5" ht="12.75">
      <c r="A744" s="16"/>
      <c r="B744" s="16"/>
      <c r="C744" s="16"/>
      <c r="D744" s="16"/>
      <c r="E744" s="16"/>
    </row>
    <row r="745" spans="1:5" ht="12.75">
      <c r="A745" s="16"/>
      <c r="B745" s="16"/>
      <c r="C745" s="16"/>
      <c r="D745" s="16"/>
      <c r="E745" s="16"/>
    </row>
    <row r="746" spans="1:5" ht="12.75">
      <c r="A746" s="16"/>
      <c r="B746" s="16"/>
      <c r="C746" s="16"/>
      <c r="D746" s="16"/>
      <c r="E746" s="16"/>
    </row>
    <row r="747" spans="1:5" ht="12.75">
      <c r="A747" s="16"/>
      <c r="B747" s="16"/>
      <c r="C747" s="16"/>
      <c r="D747" s="16"/>
      <c r="E747" s="16"/>
    </row>
    <row r="748" spans="1:5" ht="12.75">
      <c r="A748" s="16"/>
      <c r="B748" s="16"/>
      <c r="C748" s="16"/>
      <c r="D748" s="16"/>
      <c r="E748" s="16"/>
    </row>
    <row r="749" spans="1:5" ht="12.75">
      <c r="A749" s="16"/>
      <c r="B749" s="16"/>
      <c r="C749" s="16"/>
      <c r="D749" s="16"/>
      <c r="E749" s="16"/>
    </row>
    <row r="750" spans="1:5" ht="12.75">
      <c r="A750" s="16"/>
      <c r="B750" s="16"/>
      <c r="C750" s="16"/>
      <c r="D750" s="16"/>
      <c r="E750" s="16"/>
    </row>
    <row r="751" spans="1:5" ht="12.75">
      <c r="A751" s="16"/>
      <c r="B751" s="16"/>
      <c r="C751" s="16"/>
      <c r="D751" s="16"/>
      <c r="E751" s="16"/>
    </row>
    <row r="752" spans="1:5" ht="12.75">
      <c r="A752" s="16"/>
      <c r="B752" s="16"/>
      <c r="C752" s="16"/>
      <c r="D752" s="16"/>
      <c r="E752" s="16"/>
    </row>
    <row r="753" spans="1:5" ht="12.75">
      <c r="A753" s="16"/>
      <c r="B753" s="16"/>
      <c r="C753" s="16"/>
      <c r="D753" s="16"/>
      <c r="E753" s="16"/>
    </row>
    <row r="754" spans="1:5" ht="12.75">
      <c r="A754" s="16"/>
      <c r="B754" s="16"/>
      <c r="C754" s="16"/>
      <c r="D754" s="16"/>
      <c r="E754" s="16"/>
    </row>
    <row r="755" spans="1:5" ht="12.75">
      <c r="A755" s="16"/>
      <c r="B755" s="16"/>
      <c r="C755" s="16"/>
      <c r="D755" s="16"/>
      <c r="E755" s="16"/>
    </row>
    <row r="756" spans="1:5" ht="12.75">
      <c r="A756" s="16"/>
      <c r="B756" s="16"/>
      <c r="C756" s="16"/>
      <c r="D756" s="16"/>
      <c r="E756" s="16"/>
    </row>
    <row r="757" spans="1:5" ht="12.75">
      <c r="A757" s="16"/>
      <c r="B757" s="16"/>
      <c r="C757" s="16"/>
      <c r="D757" s="16"/>
      <c r="E757" s="16"/>
    </row>
    <row r="758" spans="1:5" ht="12.75">
      <c r="A758" s="16"/>
      <c r="B758" s="16"/>
      <c r="C758" s="16"/>
      <c r="D758" s="16"/>
      <c r="E758" s="16"/>
    </row>
    <row r="759" spans="1:5" ht="12.75">
      <c r="A759" s="16"/>
      <c r="B759" s="16"/>
      <c r="C759" s="16"/>
      <c r="D759" s="16"/>
      <c r="E759" s="16"/>
    </row>
    <row r="760" spans="1:5" ht="12.75">
      <c r="A760" s="16"/>
      <c r="B760" s="16"/>
      <c r="C760" s="16"/>
      <c r="D760" s="16"/>
      <c r="E760" s="16"/>
    </row>
    <row r="761" spans="1:5" ht="12.75">
      <c r="A761" s="16"/>
      <c r="B761" s="16"/>
      <c r="C761" s="16"/>
      <c r="D761" s="16"/>
      <c r="E761" s="16"/>
    </row>
    <row r="762" spans="1:5" ht="12.75">
      <c r="A762" s="16"/>
      <c r="B762" s="16"/>
      <c r="C762" s="16"/>
      <c r="D762" s="16"/>
      <c r="E762" s="16"/>
    </row>
    <row r="763" spans="1:5" ht="12.75">
      <c r="A763" s="16"/>
      <c r="B763" s="16"/>
      <c r="C763" s="16"/>
      <c r="D763" s="16"/>
      <c r="E763" s="16"/>
    </row>
    <row r="764" spans="1:5" ht="12.75">
      <c r="A764" s="16"/>
      <c r="B764" s="16"/>
      <c r="C764" s="16"/>
      <c r="D764" s="16"/>
      <c r="E764" s="16"/>
    </row>
    <row r="765" spans="1:5" ht="12.75">
      <c r="A765" s="16"/>
      <c r="B765" s="16"/>
      <c r="C765" s="16"/>
      <c r="D765" s="16"/>
      <c r="E765" s="16"/>
    </row>
    <row r="766" spans="1:5" ht="12.75">
      <c r="A766" s="16"/>
      <c r="B766" s="16"/>
      <c r="C766" s="16"/>
      <c r="D766" s="16"/>
      <c r="E766" s="16"/>
    </row>
    <row r="767" spans="1:5" ht="12.75">
      <c r="A767" s="16"/>
      <c r="B767" s="16"/>
      <c r="C767" s="16"/>
      <c r="D767" s="16"/>
      <c r="E767" s="16"/>
    </row>
    <row r="768" spans="1:5" ht="12.75">
      <c r="A768" s="16"/>
      <c r="B768" s="16"/>
      <c r="C768" s="16"/>
      <c r="D768" s="16"/>
      <c r="E768" s="16"/>
    </row>
    <row r="769" spans="1:5" ht="12.75">
      <c r="A769" s="16"/>
      <c r="B769" s="16"/>
      <c r="C769" s="16"/>
      <c r="D769" s="16"/>
      <c r="E769" s="16"/>
    </row>
    <row r="770" spans="1:5" ht="12.75">
      <c r="A770" s="16"/>
      <c r="B770" s="16"/>
      <c r="C770" s="16"/>
      <c r="D770" s="16"/>
      <c r="E770" s="16"/>
    </row>
    <row r="771" spans="1:5" ht="12.75">
      <c r="A771" s="16"/>
      <c r="B771" s="16"/>
      <c r="C771" s="16"/>
      <c r="D771" s="16"/>
      <c r="E771" s="16"/>
    </row>
    <row r="772" spans="1:5" ht="12.75">
      <c r="A772" s="16"/>
      <c r="B772" s="16"/>
      <c r="C772" s="16"/>
      <c r="D772" s="16"/>
      <c r="E772" s="16"/>
    </row>
    <row r="773" spans="1:5" ht="12.75">
      <c r="A773" s="16"/>
      <c r="B773" s="16"/>
      <c r="C773" s="16"/>
      <c r="D773" s="16"/>
      <c r="E773" s="16"/>
    </row>
    <row r="774" spans="1:5" ht="12.75">
      <c r="A774" s="16"/>
      <c r="B774" s="16"/>
      <c r="C774" s="16"/>
      <c r="D774" s="16"/>
      <c r="E774" s="16"/>
    </row>
    <row r="775" spans="1:5" ht="12.75">
      <c r="A775" s="16"/>
      <c r="B775" s="16"/>
      <c r="C775" s="16"/>
      <c r="D775" s="16"/>
      <c r="E775" s="16"/>
    </row>
    <row r="776" spans="1:5" ht="12.75">
      <c r="A776" s="16"/>
      <c r="B776" s="16"/>
      <c r="C776" s="16"/>
      <c r="D776" s="16"/>
      <c r="E776" s="16"/>
    </row>
    <row r="777" spans="1:5" ht="12.75">
      <c r="A777" s="16"/>
      <c r="B777" s="16"/>
      <c r="C777" s="16"/>
      <c r="D777" s="16"/>
      <c r="E777" s="16"/>
    </row>
    <row r="778" spans="1:5" ht="12.75">
      <c r="A778" s="16"/>
      <c r="B778" s="16"/>
      <c r="C778" s="16"/>
      <c r="D778" s="16"/>
      <c r="E778" s="16"/>
    </row>
    <row r="779" spans="1:5" ht="12.75">
      <c r="A779" s="16"/>
      <c r="B779" s="16"/>
      <c r="C779" s="16"/>
      <c r="D779" s="16"/>
      <c r="E779" s="16"/>
    </row>
    <row r="780" spans="1:5" ht="12.75">
      <c r="A780" s="16"/>
      <c r="B780" s="16"/>
      <c r="C780" s="16"/>
      <c r="D780" s="16"/>
      <c r="E780" s="16"/>
    </row>
    <row r="781" spans="1:5" ht="12.75">
      <c r="A781" s="16"/>
      <c r="B781" s="16"/>
      <c r="C781" s="16"/>
      <c r="D781" s="16"/>
      <c r="E781" s="16"/>
    </row>
    <row r="782" spans="1:5" ht="12.75">
      <c r="A782" s="16"/>
      <c r="B782" s="16"/>
      <c r="C782" s="16"/>
      <c r="D782" s="16"/>
      <c r="E782" s="16"/>
    </row>
    <row r="783" spans="1:5" ht="12.75">
      <c r="A783" s="16"/>
      <c r="B783" s="16"/>
      <c r="C783" s="16"/>
      <c r="D783" s="16"/>
      <c r="E783" s="16"/>
    </row>
    <row r="784" spans="1:5" ht="12.75">
      <c r="A784" s="16"/>
      <c r="B784" s="16"/>
      <c r="C784" s="16"/>
      <c r="D784" s="16"/>
      <c r="E784" s="16"/>
    </row>
    <row r="785" spans="1:5" ht="12.75">
      <c r="A785" s="16"/>
      <c r="B785" s="16"/>
      <c r="C785" s="16"/>
      <c r="D785" s="16"/>
      <c r="E785" s="16"/>
    </row>
    <row r="786" spans="1:5" ht="12.75">
      <c r="A786" s="16"/>
      <c r="B786" s="16"/>
      <c r="C786" s="16"/>
      <c r="D786" s="16"/>
      <c r="E786" s="16"/>
    </row>
    <row r="787" spans="1:5" ht="12.75">
      <c r="A787" s="16"/>
      <c r="B787" s="16"/>
      <c r="C787" s="16"/>
      <c r="D787" s="16"/>
      <c r="E787" s="16"/>
    </row>
    <row r="788" spans="1:5" ht="12.75">
      <c r="A788" s="16"/>
      <c r="B788" s="16"/>
      <c r="C788" s="16"/>
      <c r="D788" s="16"/>
      <c r="E788" s="16"/>
    </row>
    <row r="789" spans="1:5" ht="12.75">
      <c r="A789" s="16"/>
      <c r="B789" s="16"/>
      <c r="C789" s="16"/>
      <c r="D789" s="16"/>
      <c r="E789" s="16"/>
    </row>
    <row r="790" spans="1:5" ht="12.75">
      <c r="A790" s="16"/>
      <c r="B790" s="16"/>
      <c r="C790" s="16"/>
      <c r="D790" s="16"/>
      <c r="E790" s="16"/>
    </row>
    <row r="791" spans="1:5" ht="12.75">
      <c r="A791" s="16"/>
      <c r="B791" s="16"/>
      <c r="C791" s="16"/>
      <c r="D791" s="16"/>
      <c r="E791" s="16"/>
    </row>
    <row r="792" spans="1:5" ht="12.75">
      <c r="A792" s="16"/>
      <c r="B792" s="16"/>
      <c r="C792" s="16"/>
      <c r="D792" s="16"/>
      <c r="E792" s="16"/>
    </row>
    <row r="793" spans="1:5" ht="12.75">
      <c r="A793" s="16"/>
      <c r="B793" s="16"/>
      <c r="C793" s="16"/>
      <c r="D793" s="16"/>
      <c r="E793" s="16"/>
    </row>
    <row r="794" spans="1:5" ht="12.75">
      <c r="A794" s="16"/>
      <c r="B794" s="16"/>
      <c r="C794" s="16"/>
      <c r="D794" s="16"/>
      <c r="E794" s="16"/>
    </row>
    <row r="795" spans="1:5" ht="12.75">
      <c r="A795" s="16"/>
      <c r="B795" s="16"/>
      <c r="C795" s="16"/>
      <c r="D795" s="16"/>
      <c r="E795" s="16"/>
    </row>
    <row r="796" spans="1:5" ht="12.75">
      <c r="A796" s="16"/>
      <c r="B796" s="16"/>
      <c r="C796" s="16"/>
      <c r="D796" s="16"/>
      <c r="E796" s="16"/>
    </row>
    <row r="797" spans="1:5" ht="12.75">
      <c r="A797" s="16"/>
      <c r="B797" s="16"/>
      <c r="C797" s="16"/>
      <c r="D797" s="16"/>
      <c r="E797" s="16"/>
    </row>
    <row r="798" spans="1:5" ht="12.75">
      <c r="A798" s="16"/>
      <c r="B798" s="16"/>
      <c r="C798" s="16"/>
      <c r="D798" s="16"/>
      <c r="E798" s="16"/>
    </row>
    <row r="799" spans="1:5" ht="12.75">
      <c r="A799" s="16"/>
      <c r="B799" s="16"/>
      <c r="C799" s="16"/>
      <c r="D799" s="16"/>
      <c r="E799" s="16"/>
    </row>
    <row r="800" spans="1:5" ht="12.75">
      <c r="A800" s="16"/>
      <c r="B800" s="16"/>
      <c r="C800" s="16"/>
      <c r="D800" s="16"/>
      <c r="E800" s="16"/>
    </row>
    <row r="801" spans="1:5" ht="12.75">
      <c r="A801" s="16"/>
      <c r="B801" s="16"/>
      <c r="C801" s="16"/>
      <c r="D801" s="16"/>
      <c r="E801" s="16"/>
    </row>
    <row r="802" spans="1:5" ht="12.75">
      <c r="A802" s="16"/>
      <c r="B802" s="16"/>
      <c r="C802" s="16"/>
      <c r="D802" s="16"/>
      <c r="E802" s="16"/>
    </row>
    <row r="803" spans="1:5" ht="12.75">
      <c r="A803" s="16"/>
      <c r="B803" s="16"/>
      <c r="C803" s="16"/>
      <c r="D803" s="16"/>
      <c r="E803" s="16"/>
    </row>
    <row r="804" spans="1:5" ht="12.75">
      <c r="A804" s="16"/>
      <c r="B804" s="16"/>
      <c r="C804" s="16"/>
      <c r="D804" s="16"/>
      <c r="E804" s="16"/>
    </row>
    <row r="805" spans="1:5" ht="12.75">
      <c r="A805" s="16"/>
      <c r="B805" s="16"/>
      <c r="C805" s="16"/>
      <c r="D805" s="16"/>
      <c r="E805" s="16"/>
    </row>
    <row r="806" spans="1:5" ht="12.75">
      <c r="A806" s="16"/>
      <c r="B806" s="16"/>
      <c r="C806" s="16"/>
      <c r="D806" s="16"/>
      <c r="E806" s="16"/>
    </row>
    <row r="807" spans="1:5" ht="12.75">
      <c r="A807" s="16"/>
      <c r="B807" s="16"/>
      <c r="C807" s="16"/>
      <c r="D807" s="16"/>
      <c r="E807" s="16"/>
    </row>
    <row r="808" spans="1:5" ht="12.75">
      <c r="A808" s="16"/>
      <c r="B808" s="16"/>
      <c r="C808" s="16"/>
      <c r="D808" s="16"/>
      <c r="E808" s="16"/>
    </row>
    <row r="809" spans="1:5" ht="12.75">
      <c r="A809" s="16"/>
      <c r="B809" s="16"/>
      <c r="C809" s="16"/>
      <c r="D809" s="16"/>
      <c r="E809" s="16"/>
    </row>
    <row r="810" spans="1:5" ht="12.75">
      <c r="A810" s="16"/>
      <c r="B810" s="16"/>
      <c r="C810" s="16"/>
      <c r="D810" s="16"/>
      <c r="E810" s="16"/>
    </row>
    <row r="811" spans="1:5" ht="12.75">
      <c r="A811" s="16"/>
      <c r="B811" s="16"/>
      <c r="C811" s="16"/>
      <c r="D811" s="16"/>
      <c r="E811" s="16"/>
    </row>
    <row r="812" spans="1:5" ht="12.75">
      <c r="A812" s="16"/>
      <c r="B812" s="16"/>
      <c r="C812" s="16"/>
      <c r="D812" s="16"/>
      <c r="E812" s="16"/>
    </row>
    <row r="813" spans="1:5" ht="12.75">
      <c r="A813" s="16"/>
      <c r="B813" s="16"/>
      <c r="C813" s="16"/>
      <c r="D813" s="16"/>
      <c r="E813" s="16"/>
    </row>
    <row r="814" spans="1:5" ht="12.75">
      <c r="A814" s="16"/>
      <c r="B814" s="16"/>
      <c r="C814" s="16"/>
      <c r="D814" s="16"/>
      <c r="E814" s="16"/>
    </row>
    <row r="815" spans="1:5" ht="12.75">
      <c r="A815" s="16"/>
      <c r="B815" s="16"/>
      <c r="C815" s="16"/>
      <c r="D815" s="16"/>
      <c r="E815" s="16"/>
    </row>
    <row r="816" spans="1:5" ht="12.75">
      <c r="A816" s="16"/>
      <c r="B816" s="16"/>
      <c r="C816" s="16"/>
      <c r="D816" s="16"/>
      <c r="E816" s="16"/>
    </row>
    <row r="817" spans="1:5" ht="12.75">
      <c r="A817" s="16"/>
      <c r="B817" s="16"/>
      <c r="C817" s="16"/>
      <c r="D817" s="16"/>
      <c r="E817" s="16"/>
    </row>
    <row r="818" spans="1:5" ht="12.75">
      <c r="A818" s="16"/>
      <c r="B818" s="16"/>
      <c r="C818" s="16"/>
      <c r="D818" s="16"/>
      <c r="E818" s="16"/>
    </row>
    <row r="819" spans="1:5" ht="12.75">
      <c r="A819" s="16"/>
      <c r="B819" s="16"/>
      <c r="C819" s="16"/>
      <c r="D819" s="16"/>
      <c r="E819" s="16"/>
    </row>
    <row r="820" spans="1:5" ht="12.75">
      <c r="A820" s="16"/>
      <c r="B820" s="16"/>
      <c r="C820" s="16"/>
      <c r="D820" s="16"/>
      <c r="E820" s="16"/>
    </row>
    <row r="821" spans="1:5" ht="12.75">
      <c r="A821" s="16"/>
      <c r="B821" s="16"/>
      <c r="C821" s="16"/>
      <c r="D821" s="16"/>
      <c r="E821" s="16"/>
    </row>
    <row r="822" spans="1:5" ht="12.75">
      <c r="A822" s="16"/>
      <c r="B822" s="16"/>
      <c r="C822" s="16"/>
      <c r="D822" s="16"/>
      <c r="E822" s="16"/>
    </row>
    <row r="823" spans="1:5" ht="12.75">
      <c r="A823" s="16"/>
      <c r="B823" s="16"/>
      <c r="C823" s="16"/>
      <c r="D823" s="16"/>
      <c r="E823" s="16"/>
    </row>
    <row r="824" spans="1:5" ht="12.75">
      <c r="A824" s="16"/>
      <c r="B824" s="16"/>
      <c r="C824" s="16"/>
      <c r="D824" s="16"/>
      <c r="E824" s="16"/>
    </row>
    <row r="825" spans="1:5" ht="12.75">
      <c r="A825" s="16"/>
      <c r="B825" s="16"/>
      <c r="C825" s="16"/>
      <c r="D825" s="16"/>
      <c r="E825" s="16"/>
    </row>
    <row r="826" spans="1:5" ht="12.75">
      <c r="A826" s="16"/>
      <c r="B826" s="16"/>
      <c r="C826" s="16"/>
      <c r="D826" s="16"/>
      <c r="E826" s="16"/>
    </row>
    <row r="827" spans="1:5" ht="12.75">
      <c r="A827" s="16"/>
      <c r="B827" s="16"/>
      <c r="C827" s="16"/>
      <c r="D827" s="16"/>
      <c r="E827" s="16"/>
    </row>
    <row r="828" spans="1:5" ht="12.75">
      <c r="A828" s="16"/>
      <c r="B828" s="16"/>
      <c r="C828" s="16"/>
      <c r="D828" s="16"/>
      <c r="E828" s="16"/>
    </row>
    <row r="829" spans="1:5" ht="12.75">
      <c r="A829" s="16"/>
      <c r="B829" s="16"/>
      <c r="C829" s="16"/>
      <c r="D829" s="16"/>
      <c r="E829" s="16"/>
    </row>
    <row r="830" spans="1:5" ht="12.75">
      <c r="A830" s="16"/>
      <c r="B830" s="16"/>
      <c r="C830" s="16"/>
      <c r="D830" s="16"/>
      <c r="E830" s="16"/>
    </row>
    <row r="831" spans="1:5" ht="12.75">
      <c r="A831" s="16"/>
      <c r="B831" s="16"/>
      <c r="C831" s="16"/>
      <c r="D831" s="16"/>
      <c r="E831" s="16"/>
    </row>
    <row r="832" spans="1:5" ht="12.75">
      <c r="A832" s="16"/>
      <c r="B832" s="16"/>
      <c r="C832" s="16"/>
      <c r="D832" s="16"/>
      <c r="E832" s="16"/>
    </row>
    <row r="833" spans="1:5" ht="12.75">
      <c r="A833" s="16"/>
      <c r="B833" s="16"/>
      <c r="C833" s="16"/>
      <c r="D833" s="16"/>
      <c r="E833" s="16"/>
    </row>
    <row r="834" spans="1:5" ht="12.75">
      <c r="A834" s="16"/>
      <c r="B834" s="16"/>
      <c r="C834" s="16"/>
      <c r="D834" s="16"/>
      <c r="E834" s="16"/>
    </row>
    <row r="835" spans="1:5" ht="12.75">
      <c r="A835" s="16"/>
      <c r="B835" s="16"/>
      <c r="C835" s="16"/>
      <c r="D835" s="16"/>
      <c r="E835" s="16"/>
    </row>
    <row r="836" spans="1:5" ht="12.75">
      <c r="A836" s="16"/>
      <c r="B836" s="16"/>
      <c r="C836" s="16"/>
      <c r="D836" s="16"/>
      <c r="E836" s="16"/>
    </row>
    <row r="837" spans="1:5" ht="12.75">
      <c r="A837" s="16"/>
      <c r="B837" s="16"/>
      <c r="C837" s="16"/>
      <c r="D837" s="16"/>
      <c r="E837" s="16"/>
    </row>
    <row r="838" spans="1:5" ht="12.75">
      <c r="A838" s="16"/>
      <c r="B838" s="16"/>
      <c r="C838" s="16"/>
      <c r="D838" s="16"/>
      <c r="E838" s="16"/>
    </row>
    <row r="839" spans="1:5" ht="12.75">
      <c r="A839" s="16"/>
      <c r="B839" s="16"/>
      <c r="C839" s="16"/>
      <c r="D839" s="16"/>
      <c r="E839" s="16"/>
    </row>
    <row r="840" spans="1:5" ht="12.75">
      <c r="A840" s="16"/>
      <c r="B840" s="16"/>
      <c r="C840" s="16"/>
      <c r="D840" s="16"/>
      <c r="E840" s="16"/>
    </row>
    <row r="841" spans="1:5" ht="12.75">
      <c r="A841" s="16"/>
      <c r="B841" s="16"/>
      <c r="C841" s="16"/>
      <c r="D841" s="16"/>
      <c r="E841" s="16"/>
    </row>
    <row r="842" spans="1:5" ht="12.75">
      <c r="A842" s="16"/>
      <c r="B842" s="16"/>
      <c r="C842" s="16"/>
      <c r="D842" s="16"/>
      <c r="E842" s="16"/>
    </row>
    <row r="843" spans="1:5" ht="12.75">
      <c r="A843" s="16"/>
      <c r="B843" s="16"/>
      <c r="C843" s="16"/>
      <c r="D843" s="16"/>
      <c r="E843" s="16"/>
    </row>
    <row r="844" spans="1:5" ht="12.75">
      <c r="A844" s="16"/>
      <c r="B844" s="16"/>
      <c r="C844" s="16"/>
      <c r="D844" s="16"/>
      <c r="E844" s="16"/>
    </row>
    <row r="845" spans="1:5" ht="12.75">
      <c r="A845" s="16"/>
      <c r="B845" s="16"/>
      <c r="C845" s="16"/>
      <c r="D845" s="16"/>
      <c r="E845" s="16"/>
    </row>
    <row r="846" spans="1:5" ht="12.75">
      <c r="A846" s="16"/>
      <c r="B846" s="16"/>
      <c r="C846" s="16"/>
      <c r="D846" s="16"/>
      <c r="E846" s="16"/>
    </row>
    <row r="847" spans="1:5" ht="12.75">
      <c r="A847" s="16"/>
      <c r="B847" s="16"/>
      <c r="C847" s="16"/>
      <c r="D847" s="16"/>
      <c r="E847" s="16"/>
    </row>
    <row r="848" spans="1:5" ht="12.75">
      <c r="A848" s="16"/>
      <c r="B848" s="16"/>
      <c r="C848" s="16"/>
      <c r="D848" s="16"/>
      <c r="E848" s="16"/>
    </row>
    <row r="849" spans="1:5" ht="12.75">
      <c r="A849" s="16"/>
      <c r="B849" s="16"/>
      <c r="C849" s="16"/>
      <c r="D849" s="16"/>
      <c r="E849" s="16"/>
    </row>
    <row r="850" spans="1:5" ht="12.75">
      <c r="A850" s="16"/>
      <c r="B850" s="16"/>
      <c r="C850" s="16"/>
      <c r="D850" s="16"/>
      <c r="E850" s="16"/>
    </row>
    <row r="851" spans="1:5" ht="12.75">
      <c r="A851" s="16"/>
      <c r="B851" s="16"/>
      <c r="C851" s="16"/>
      <c r="D851" s="16"/>
      <c r="E851" s="16"/>
    </row>
    <row r="852" spans="1:5" ht="12.75">
      <c r="A852" s="16"/>
      <c r="B852" s="16"/>
      <c r="C852" s="16"/>
      <c r="D852" s="16"/>
      <c r="E852" s="16"/>
    </row>
    <row r="853" spans="1:5" ht="12.75">
      <c r="A853" s="16"/>
      <c r="B853" s="16"/>
      <c r="C853" s="16"/>
      <c r="D853" s="16"/>
      <c r="E853" s="16"/>
    </row>
    <row r="854" spans="1:5" ht="12.75">
      <c r="A854" s="16"/>
      <c r="B854" s="16"/>
      <c r="C854" s="16"/>
      <c r="D854" s="16"/>
      <c r="E854" s="16"/>
    </row>
    <row r="855" spans="1:5" ht="12.75">
      <c r="A855" s="16"/>
      <c r="B855" s="16"/>
      <c r="C855" s="16"/>
      <c r="D855" s="16"/>
      <c r="E855" s="16"/>
    </row>
    <row r="856" spans="1:5" ht="12.75">
      <c r="A856" s="16"/>
      <c r="B856" s="16"/>
      <c r="C856" s="16"/>
      <c r="D856" s="16"/>
      <c r="E856" s="16"/>
    </row>
    <row r="857" spans="1:5" ht="12.75">
      <c r="A857" s="16"/>
      <c r="B857" s="16"/>
      <c r="C857" s="16"/>
      <c r="D857" s="16"/>
      <c r="E857" s="16"/>
    </row>
    <row r="858" spans="1:5" ht="12.75">
      <c r="A858" s="16"/>
      <c r="B858" s="16"/>
      <c r="C858" s="16"/>
      <c r="D858" s="16"/>
      <c r="E858" s="16"/>
    </row>
    <row r="859" spans="1:5" ht="12.75">
      <c r="A859" s="16"/>
      <c r="B859" s="16"/>
      <c r="C859" s="16"/>
      <c r="D859" s="16"/>
      <c r="E859" s="16"/>
    </row>
    <row r="860" spans="1:5" ht="12.75">
      <c r="A860" s="16"/>
      <c r="B860" s="16"/>
      <c r="C860" s="16"/>
      <c r="D860" s="16"/>
      <c r="E860" s="16"/>
    </row>
    <row r="861" spans="1:5" ht="12.75">
      <c r="A861" s="16"/>
      <c r="B861" s="16"/>
      <c r="C861" s="16"/>
      <c r="D861" s="16"/>
      <c r="E861" s="16"/>
    </row>
    <row r="862" spans="1:5" ht="12.75">
      <c r="A862" s="16"/>
      <c r="B862" s="16"/>
      <c r="C862" s="16"/>
      <c r="D862" s="16"/>
      <c r="E862" s="16"/>
    </row>
    <row r="863" spans="1:5" ht="12.75">
      <c r="A863" s="16"/>
      <c r="B863" s="16"/>
      <c r="C863" s="16"/>
      <c r="D863" s="16"/>
      <c r="E863" s="16"/>
    </row>
    <row r="864" spans="1:5" ht="12.75">
      <c r="A864" s="16"/>
      <c r="B864" s="16"/>
      <c r="C864" s="16"/>
      <c r="D864" s="16"/>
      <c r="E864" s="16"/>
    </row>
    <row r="865" spans="1:5" ht="12.75">
      <c r="A865" s="16"/>
      <c r="B865" s="16"/>
      <c r="C865" s="16"/>
      <c r="D865" s="16"/>
      <c r="E865" s="16"/>
    </row>
    <row r="866" spans="1:5" ht="12.75">
      <c r="A866" s="16"/>
      <c r="B866" s="16"/>
      <c r="C866" s="16"/>
      <c r="D866" s="16"/>
      <c r="E866" s="16"/>
    </row>
    <row r="867" spans="1:5" ht="12.75">
      <c r="A867" s="16"/>
      <c r="B867" s="16"/>
      <c r="C867" s="16"/>
      <c r="D867" s="16"/>
      <c r="E867" s="16"/>
    </row>
    <row r="868" spans="1:5" ht="12.75">
      <c r="A868" s="16"/>
      <c r="B868" s="16"/>
      <c r="C868" s="16"/>
      <c r="D868" s="16"/>
      <c r="E868" s="16"/>
    </row>
    <row r="869" spans="1:5" ht="12.75">
      <c r="A869" s="16"/>
      <c r="B869" s="16"/>
      <c r="C869" s="16"/>
      <c r="D869" s="16"/>
      <c r="E869" s="16"/>
    </row>
    <row r="870" spans="1:5" ht="12.75">
      <c r="A870" s="16"/>
      <c r="B870" s="16"/>
      <c r="C870" s="16"/>
      <c r="D870" s="16"/>
      <c r="E870" s="16"/>
    </row>
    <row r="871" spans="1:5" ht="12.75">
      <c r="A871" s="16"/>
      <c r="B871" s="16"/>
      <c r="C871" s="16"/>
      <c r="D871" s="16"/>
      <c r="E871" s="16"/>
    </row>
    <row r="872" spans="1:5" ht="12.75">
      <c r="A872" s="16"/>
      <c r="B872" s="16"/>
      <c r="C872" s="16"/>
      <c r="D872" s="16"/>
      <c r="E872" s="16"/>
    </row>
    <row r="873" spans="1:5" ht="12.75">
      <c r="A873" s="16"/>
      <c r="B873" s="16"/>
      <c r="C873" s="16"/>
      <c r="D873" s="16"/>
      <c r="E873" s="16"/>
    </row>
    <row r="874" spans="1:5" ht="12.75">
      <c r="A874" s="16"/>
      <c r="B874" s="16"/>
      <c r="C874" s="16"/>
      <c r="D874" s="16"/>
      <c r="E874" s="16"/>
    </row>
    <row r="875" spans="1:5" ht="12.75">
      <c r="A875" s="16"/>
      <c r="B875" s="16"/>
      <c r="C875" s="16"/>
      <c r="D875" s="16"/>
      <c r="E875" s="16"/>
    </row>
    <row r="876" spans="1:5" ht="12.75">
      <c r="A876" s="16"/>
      <c r="B876" s="16"/>
      <c r="C876" s="16"/>
      <c r="D876" s="16"/>
      <c r="E876" s="16"/>
    </row>
    <row r="877" spans="1:5" ht="12.75">
      <c r="A877" s="16"/>
      <c r="B877" s="16"/>
      <c r="C877" s="16"/>
      <c r="D877" s="16"/>
      <c r="E877" s="16"/>
    </row>
    <row r="878" spans="1:5" ht="12.75">
      <c r="A878" s="16"/>
      <c r="B878" s="16"/>
      <c r="C878" s="16"/>
      <c r="D878" s="16"/>
      <c r="E878" s="16"/>
    </row>
    <row r="879" spans="1:5" ht="12.75">
      <c r="A879" s="16"/>
      <c r="B879" s="16"/>
      <c r="C879" s="16"/>
      <c r="D879" s="16"/>
      <c r="E879" s="16"/>
    </row>
    <row r="880" spans="1:5" ht="12.75">
      <c r="A880" s="16"/>
      <c r="B880" s="16"/>
      <c r="C880" s="16"/>
      <c r="D880" s="16"/>
      <c r="E880" s="16"/>
    </row>
    <row r="881" spans="1:5" ht="12.75">
      <c r="A881" s="16"/>
      <c r="B881" s="16"/>
      <c r="C881" s="16"/>
      <c r="D881" s="16"/>
      <c r="E881" s="16"/>
    </row>
    <row r="882" spans="1:5" ht="12.75">
      <c r="A882" s="16"/>
      <c r="B882" s="16"/>
      <c r="C882" s="16"/>
      <c r="D882" s="16"/>
      <c r="E882" s="16"/>
    </row>
    <row r="883" spans="1:5" ht="12.75">
      <c r="A883" s="16"/>
      <c r="B883" s="16"/>
      <c r="C883" s="16"/>
      <c r="D883" s="16"/>
      <c r="E883" s="16"/>
    </row>
    <row r="884" spans="1:5" ht="12.75">
      <c r="A884" s="16"/>
      <c r="B884" s="16"/>
      <c r="C884" s="16"/>
      <c r="D884" s="16"/>
      <c r="E884" s="16"/>
    </row>
    <row r="885" spans="1:5" ht="12.75">
      <c r="A885" s="16"/>
      <c r="B885" s="16"/>
      <c r="C885" s="16"/>
      <c r="D885" s="16"/>
      <c r="E885" s="16"/>
    </row>
    <row r="886" spans="1:5" ht="12.75">
      <c r="A886" s="16"/>
      <c r="B886" s="16"/>
      <c r="C886" s="16"/>
      <c r="D886" s="16"/>
      <c r="E886" s="16"/>
    </row>
    <row r="887" spans="1:5" ht="12.75">
      <c r="A887" s="16"/>
      <c r="B887" s="16"/>
      <c r="C887" s="16"/>
      <c r="D887" s="16"/>
      <c r="E887" s="16"/>
    </row>
    <row r="888" spans="1:5" ht="12.75">
      <c r="A888" s="16"/>
      <c r="B888" s="16"/>
      <c r="C888" s="16"/>
      <c r="D888" s="16"/>
      <c r="E888" s="16"/>
    </row>
    <row r="889" spans="1:5" ht="12.75">
      <c r="A889" s="16"/>
      <c r="B889" s="16"/>
      <c r="C889" s="16"/>
      <c r="D889" s="16"/>
      <c r="E889" s="16"/>
    </row>
    <row r="890" spans="1:5" ht="12.75">
      <c r="A890" s="16"/>
      <c r="B890" s="16"/>
      <c r="C890" s="16"/>
      <c r="D890" s="16"/>
      <c r="E890" s="16"/>
    </row>
    <row r="891" spans="1:5" ht="12.75">
      <c r="A891" s="16"/>
      <c r="B891" s="16"/>
      <c r="C891" s="16"/>
      <c r="D891" s="16"/>
      <c r="E891" s="16"/>
    </row>
    <row r="892" spans="1:5" ht="12.75">
      <c r="A892" s="16"/>
      <c r="B892" s="16"/>
      <c r="C892" s="16"/>
      <c r="D892" s="16"/>
      <c r="E892" s="16"/>
    </row>
    <row r="893" spans="1:5" ht="12.75">
      <c r="A893" s="16"/>
      <c r="B893" s="16"/>
      <c r="C893" s="16"/>
      <c r="D893" s="16"/>
      <c r="E893" s="16"/>
    </row>
    <row r="894" spans="1:5" ht="12.75">
      <c r="A894" s="16"/>
      <c r="B894" s="16"/>
      <c r="C894" s="16"/>
      <c r="D894" s="16"/>
      <c r="E894" s="16"/>
    </row>
    <row r="895" spans="1:5" ht="12.75">
      <c r="A895" s="16"/>
      <c r="B895" s="16"/>
      <c r="C895" s="16"/>
      <c r="D895" s="16"/>
      <c r="E895" s="16"/>
    </row>
    <row r="896" spans="1:5" ht="12.75">
      <c r="A896" s="16"/>
      <c r="B896" s="16"/>
      <c r="C896" s="16"/>
      <c r="D896" s="16"/>
      <c r="E896" s="16"/>
    </row>
    <row r="897" spans="1:5" ht="12.75">
      <c r="A897" s="16"/>
      <c r="B897" s="16"/>
      <c r="C897" s="16"/>
      <c r="D897" s="16"/>
      <c r="E897" s="16"/>
    </row>
    <row r="898" spans="1:5" ht="12.75">
      <c r="A898" s="16"/>
      <c r="B898" s="16"/>
      <c r="C898" s="16"/>
      <c r="D898" s="16"/>
      <c r="E898" s="16"/>
    </row>
    <row r="899" spans="1:5" ht="12.75">
      <c r="A899" s="16"/>
      <c r="B899" s="16"/>
      <c r="C899" s="16"/>
      <c r="D899" s="16"/>
      <c r="E899" s="16"/>
    </row>
    <row r="900" spans="1:5" ht="12.75">
      <c r="A900" s="16"/>
      <c r="B900" s="16"/>
      <c r="C900" s="16"/>
      <c r="D900" s="16"/>
      <c r="E900" s="16"/>
    </row>
    <row r="901" spans="1:5" ht="12.75">
      <c r="A901" s="16"/>
      <c r="B901" s="16"/>
      <c r="C901" s="16"/>
      <c r="D901" s="16"/>
      <c r="E901" s="16"/>
    </row>
    <row r="902" spans="1:5" ht="12.75">
      <c r="A902" s="16"/>
      <c r="B902" s="16"/>
      <c r="C902" s="16"/>
      <c r="D902" s="16"/>
      <c r="E902" s="16"/>
    </row>
    <row r="903" spans="1:5" ht="12.75">
      <c r="A903" s="16"/>
      <c r="B903" s="16"/>
      <c r="C903" s="16"/>
      <c r="D903" s="16"/>
      <c r="E903" s="16"/>
    </row>
    <row r="904" spans="1:5" ht="12.75">
      <c r="A904" s="16"/>
      <c r="B904" s="16"/>
      <c r="C904" s="16"/>
      <c r="D904" s="16"/>
      <c r="E904" s="16"/>
    </row>
    <row r="905" spans="1:5" ht="12.75">
      <c r="A905" s="16"/>
      <c r="B905" s="16"/>
      <c r="C905" s="16"/>
      <c r="D905" s="16"/>
      <c r="E905" s="16"/>
    </row>
    <row r="906" spans="1:5" ht="12.75">
      <c r="A906" s="16"/>
      <c r="B906" s="16"/>
      <c r="C906" s="16"/>
      <c r="D906" s="16"/>
      <c r="E906" s="16"/>
    </row>
    <row r="907" spans="1:5" ht="12.75">
      <c r="A907" s="16"/>
      <c r="B907" s="16"/>
      <c r="C907" s="16"/>
      <c r="D907" s="16"/>
      <c r="E907" s="16"/>
    </row>
    <row r="908" spans="1:5" ht="12.75">
      <c r="A908" s="16"/>
      <c r="B908" s="16"/>
      <c r="C908" s="16"/>
      <c r="D908" s="16"/>
      <c r="E908" s="16"/>
    </row>
    <row r="909" spans="1:5" ht="12.75">
      <c r="A909" s="16"/>
      <c r="B909" s="16"/>
      <c r="C909" s="16"/>
      <c r="D909" s="16"/>
      <c r="E909" s="16"/>
    </row>
    <row r="910" spans="1:5" ht="12.75">
      <c r="A910" s="16"/>
      <c r="B910" s="16"/>
      <c r="C910" s="16"/>
      <c r="D910" s="16"/>
      <c r="E910" s="16"/>
    </row>
    <row r="911" spans="1:5" ht="12.75">
      <c r="A911" s="16"/>
      <c r="B911" s="16"/>
      <c r="C911" s="16"/>
      <c r="D911" s="16"/>
      <c r="E911" s="16"/>
    </row>
    <row r="912" spans="1:5" ht="12.75">
      <c r="A912" s="16"/>
      <c r="B912" s="16"/>
      <c r="C912" s="16"/>
      <c r="D912" s="16"/>
      <c r="E912" s="16"/>
    </row>
    <row r="913" spans="1:5" ht="12.75">
      <c r="A913" s="16"/>
      <c r="B913" s="16"/>
      <c r="C913" s="16"/>
      <c r="D913" s="16"/>
      <c r="E913" s="16"/>
    </row>
    <row r="914" spans="1:5" ht="12.75">
      <c r="A914" s="16"/>
      <c r="B914" s="16"/>
      <c r="C914" s="16"/>
      <c r="D914" s="16"/>
      <c r="E914" s="16"/>
    </row>
    <row r="915" spans="1:5" ht="12.75">
      <c r="A915" s="16"/>
      <c r="B915" s="16"/>
      <c r="C915" s="16"/>
      <c r="D915" s="16"/>
      <c r="E915" s="16"/>
    </row>
    <row r="916" spans="1:5" ht="12.75">
      <c r="A916" s="16"/>
      <c r="B916" s="16"/>
      <c r="C916" s="16"/>
      <c r="D916" s="16"/>
      <c r="E916" s="16"/>
    </row>
    <row r="917" spans="1:5" ht="12.75">
      <c r="A917" s="16"/>
      <c r="B917" s="16"/>
      <c r="C917" s="16"/>
      <c r="D917" s="16"/>
      <c r="E917" s="16"/>
    </row>
    <row r="918" spans="1:5" ht="12.75">
      <c r="A918" s="16"/>
      <c r="B918" s="16"/>
      <c r="C918" s="16"/>
      <c r="D918" s="16"/>
      <c r="E918" s="16"/>
    </row>
    <row r="919" spans="1:5" ht="12.75">
      <c r="A919" s="16"/>
      <c r="B919" s="16"/>
      <c r="C919" s="16"/>
      <c r="D919" s="16"/>
      <c r="E919" s="16"/>
    </row>
    <row r="920" spans="1:5" ht="12.75">
      <c r="A920" s="16"/>
      <c r="B920" s="16"/>
      <c r="C920" s="16"/>
      <c r="D920" s="16"/>
      <c r="E920" s="16"/>
    </row>
    <row r="921" spans="1:5" ht="12.75">
      <c r="A921" s="16"/>
      <c r="B921" s="16"/>
      <c r="C921" s="16"/>
      <c r="D921" s="16"/>
      <c r="E921" s="16"/>
    </row>
    <row r="922" spans="1:5" ht="12.75">
      <c r="A922" s="16"/>
      <c r="B922" s="16"/>
      <c r="C922" s="16"/>
      <c r="D922" s="16"/>
      <c r="E922" s="16"/>
    </row>
    <row r="923" spans="1:5" ht="12.75">
      <c r="A923" s="16"/>
      <c r="B923" s="16"/>
      <c r="C923" s="16"/>
      <c r="D923" s="16"/>
      <c r="E923" s="16"/>
    </row>
    <row r="924" spans="1:5" ht="12.75">
      <c r="A924" s="16"/>
      <c r="B924" s="16"/>
      <c r="C924" s="16"/>
      <c r="D924" s="16"/>
      <c r="E924" s="16"/>
    </row>
    <row r="925" spans="1:5" ht="12.75">
      <c r="A925" s="16"/>
      <c r="B925" s="16"/>
      <c r="C925" s="16"/>
      <c r="D925" s="16"/>
      <c r="E925" s="16"/>
    </row>
    <row r="926" spans="1:5" ht="12.75">
      <c r="A926" s="16"/>
      <c r="B926" s="16"/>
      <c r="C926" s="16"/>
      <c r="D926" s="16"/>
      <c r="E926" s="16"/>
    </row>
    <row r="927" spans="1:5" ht="12.75">
      <c r="A927" s="16"/>
      <c r="B927" s="16"/>
      <c r="C927" s="16"/>
      <c r="D927" s="16"/>
      <c r="E927" s="16"/>
    </row>
    <row r="928" spans="1:5" ht="12.75">
      <c r="A928" s="16"/>
      <c r="B928" s="16"/>
      <c r="C928" s="16"/>
      <c r="D928" s="16"/>
      <c r="E928" s="16"/>
    </row>
    <row r="929" spans="1:5" ht="12.75">
      <c r="A929" s="16"/>
      <c r="B929" s="16"/>
      <c r="C929" s="16"/>
      <c r="D929" s="16"/>
      <c r="E929" s="16"/>
    </row>
    <row r="930" spans="1:5" ht="12.75">
      <c r="A930" s="16"/>
      <c r="B930" s="16"/>
      <c r="C930" s="16"/>
      <c r="D930" s="16"/>
      <c r="E930" s="16"/>
    </row>
    <row r="931" spans="1:5" ht="12.75">
      <c r="A931" s="16"/>
      <c r="B931" s="16"/>
      <c r="C931" s="16"/>
      <c r="D931" s="16"/>
      <c r="E931" s="16"/>
    </row>
    <row r="932" spans="1:5" ht="12.75">
      <c r="A932" s="16"/>
      <c r="B932" s="16"/>
      <c r="C932" s="16"/>
      <c r="D932" s="16"/>
      <c r="E932" s="16"/>
    </row>
    <row r="933" spans="1:5" ht="12.75">
      <c r="A933" s="16"/>
      <c r="B933" s="16"/>
      <c r="C933" s="16"/>
      <c r="D933" s="16"/>
      <c r="E933" s="16"/>
    </row>
    <row r="934" spans="1:5" ht="12.75">
      <c r="A934" s="16"/>
      <c r="B934" s="16"/>
      <c r="C934" s="16"/>
      <c r="D934" s="16"/>
      <c r="E934" s="16"/>
    </row>
    <row r="935" spans="1:5" ht="12.75">
      <c r="A935" s="16"/>
      <c r="B935" s="16"/>
      <c r="C935" s="16"/>
      <c r="D935" s="16"/>
      <c r="E935" s="16"/>
    </row>
    <row r="936" spans="1:5" ht="12.75">
      <c r="A936" s="16"/>
      <c r="B936" s="16"/>
      <c r="C936" s="16"/>
      <c r="D936" s="16"/>
      <c r="E936" s="16"/>
    </row>
    <row r="937" spans="1:5" ht="12.75">
      <c r="A937" s="16"/>
      <c r="B937" s="16"/>
      <c r="C937" s="16"/>
      <c r="D937" s="16"/>
      <c r="E937" s="16"/>
    </row>
    <row r="938" spans="1:5" ht="12.75">
      <c r="A938" s="16"/>
      <c r="B938" s="16"/>
      <c r="C938" s="16"/>
      <c r="D938" s="16"/>
      <c r="E938" s="16"/>
    </row>
    <row r="939" spans="1:5" ht="12.75">
      <c r="A939" s="16"/>
      <c r="B939" s="16"/>
      <c r="C939" s="16"/>
      <c r="D939" s="16"/>
      <c r="E939" s="16"/>
    </row>
    <row r="940" spans="1:5" ht="12.75">
      <c r="A940" s="16"/>
      <c r="B940" s="16"/>
      <c r="C940" s="16"/>
      <c r="D940" s="16"/>
      <c r="E940" s="16"/>
    </row>
    <row r="941" spans="1:5" ht="12.75">
      <c r="A941" s="16"/>
      <c r="B941" s="16"/>
      <c r="C941" s="16"/>
      <c r="D941" s="16"/>
      <c r="E941" s="16"/>
    </row>
    <row r="942" spans="1:5" ht="12.75">
      <c r="A942" s="16"/>
      <c r="B942" s="16"/>
      <c r="C942" s="16"/>
      <c r="D942" s="16"/>
      <c r="E942" s="16"/>
    </row>
    <row r="943" spans="1:5" ht="12.75">
      <c r="A943" s="16"/>
      <c r="B943" s="16"/>
      <c r="C943" s="16"/>
      <c r="D943" s="16"/>
      <c r="E943" s="16"/>
    </row>
    <row r="944" spans="1:5" ht="12.75">
      <c r="A944" s="16"/>
      <c r="B944" s="16"/>
      <c r="C944" s="16"/>
      <c r="D944" s="16"/>
      <c r="E944" s="16"/>
    </row>
    <row r="945" spans="1:5" ht="12.75">
      <c r="A945" s="16"/>
      <c r="B945" s="16"/>
      <c r="C945" s="16"/>
      <c r="D945" s="16"/>
      <c r="E945" s="16"/>
    </row>
    <row r="946" spans="1:5" ht="12.75">
      <c r="A946" s="16"/>
      <c r="B946" s="16"/>
      <c r="C946" s="16"/>
      <c r="D946" s="16"/>
      <c r="E946" s="16"/>
    </row>
    <row r="947" spans="1:5" ht="12.75">
      <c r="A947" s="16"/>
      <c r="B947" s="16"/>
      <c r="C947" s="16"/>
      <c r="D947" s="16"/>
      <c r="E947" s="16"/>
    </row>
    <row r="948" spans="1:5" ht="12.75">
      <c r="A948" s="16"/>
      <c r="B948" s="16"/>
      <c r="C948" s="16"/>
      <c r="D948" s="16"/>
      <c r="E948" s="16"/>
    </row>
    <row r="949" spans="1:5" ht="12.75">
      <c r="A949" s="16"/>
      <c r="B949" s="16"/>
      <c r="C949" s="16"/>
      <c r="D949" s="16"/>
      <c r="E949" s="16"/>
    </row>
    <row r="950" spans="1:5" ht="12.75">
      <c r="A950" s="16"/>
      <c r="B950" s="16"/>
      <c r="C950" s="16"/>
      <c r="D950" s="16"/>
      <c r="E950" s="16"/>
    </row>
    <row r="951" spans="1:5" ht="12.75">
      <c r="A951" s="16"/>
      <c r="B951" s="16"/>
      <c r="C951" s="16"/>
      <c r="D951" s="16"/>
      <c r="E951" s="16"/>
    </row>
    <row r="952" spans="1:5" ht="12.75">
      <c r="A952" s="16"/>
      <c r="B952" s="16"/>
      <c r="C952" s="16"/>
      <c r="D952" s="16"/>
      <c r="E952" s="16"/>
    </row>
    <row r="953" spans="1:5" ht="12.75">
      <c r="A953" s="16"/>
      <c r="B953" s="16"/>
      <c r="C953" s="16"/>
      <c r="D953" s="16"/>
      <c r="E953" s="16"/>
    </row>
    <row r="954" spans="1:5" ht="12.75">
      <c r="A954" s="16"/>
      <c r="B954" s="16"/>
      <c r="C954" s="16"/>
      <c r="D954" s="16"/>
      <c r="E954" s="16"/>
    </row>
    <row r="955" spans="1:5" ht="12.75">
      <c r="A955" s="16"/>
      <c r="B955" s="16"/>
      <c r="C955" s="16"/>
      <c r="D955" s="16"/>
      <c r="E955" s="16"/>
    </row>
    <row r="956" spans="1:5" ht="12.75">
      <c r="A956" s="16"/>
      <c r="B956" s="16"/>
      <c r="C956" s="16"/>
      <c r="D956" s="16"/>
      <c r="E956" s="16"/>
    </row>
    <row r="957" spans="1:5" ht="12.75">
      <c r="A957" s="16"/>
      <c r="B957" s="16"/>
      <c r="C957" s="16"/>
      <c r="D957" s="16"/>
      <c r="E957" s="16"/>
    </row>
    <row r="958" spans="1:5" ht="12.75">
      <c r="A958" s="16"/>
      <c r="B958" s="16"/>
      <c r="C958" s="16"/>
      <c r="D958" s="16"/>
      <c r="E958" s="16"/>
    </row>
    <row r="959" spans="1:5" ht="12.75">
      <c r="A959" s="16"/>
      <c r="B959" s="16"/>
      <c r="C959" s="16"/>
      <c r="D959" s="16"/>
      <c r="E959" s="16"/>
    </row>
    <row r="960" spans="1:5" ht="12.75">
      <c r="A960" s="16"/>
      <c r="B960" s="16"/>
      <c r="C960" s="16"/>
      <c r="D960" s="16"/>
      <c r="E960" s="16"/>
    </row>
    <row r="961" spans="1:5" ht="12.75">
      <c r="A961" s="16"/>
      <c r="B961" s="16"/>
      <c r="C961" s="16"/>
      <c r="D961" s="16"/>
      <c r="E961" s="16"/>
    </row>
    <row r="962" spans="1:5" ht="12.75">
      <c r="A962" s="16"/>
      <c r="B962" s="16"/>
      <c r="C962" s="16"/>
      <c r="D962" s="16"/>
      <c r="E962" s="16"/>
    </row>
    <row r="963" spans="1:5" ht="12.75">
      <c r="A963" s="16"/>
      <c r="B963" s="16"/>
      <c r="C963" s="16"/>
      <c r="D963" s="16"/>
      <c r="E963" s="16"/>
    </row>
    <row r="964" spans="1:5" ht="12.75">
      <c r="A964" s="16"/>
      <c r="B964" s="16"/>
      <c r="C964" s="16"/>
      <c r="D964" s="16"/>
      <c r="E964" s="16"/>
    </row>
    <row r="965" spans="1:5" ht="12.75">
      <c r="A965" s="16"/>
      <c r="B965" s="16"/>
      <c r="C965" s="16"/>
      <c r="D965" s="16"/>
      <c r="E965" s="16"/>
    </row>
    <row r="966" spans="1:5" ht="12.75">
      <c r="A966" s="16"/>
      <c r="B966" s="16"/>
      <c r="C966" s="16"/>
      <c r="D966" s="16"/>
      <c r="E966" s="16"/>
    </row>
    <row r="967" spans="1:5" ht="12.75">
      <c r="A967" s="16"/>
      <c r="B967" s="16"/>
      <c r="C967" s="16"/>
      <c r="D967" s="16"/>
      <c r="E967" s="16"/>
    </row>
    <row r="968" spans="1:5" ht="12.75">
      <c r="A968" s="16"/>
      <c r="B968" s="16"/>
      <c r="C968" s="16"/>
      <c r="D968" s="16"/>
      <c r="E968" s="16"/>
    </row>
    <row r="969" spans="1:5" ht="12.75">
      <c r="A969" s="16"/>
      <c r="B969" s="16"/>
      <c r="C969" s="16"/>
      <c r="D969" s="16"/>
      <c r="E969" s="16"/>
    </row>
    <row r="970" spans="1:5" ht="12.75">
      <c r="A970" s="16"/>
      <c r="B970" s="16"/>
      <c r="C970" s="16"/>
      <c r="D970" s="16"/>
      <c r="E970" s="16"/>
    </row>
    <row r="971" spans="1:5" ht="12.75">
      <c r="A971" s="16"/>
      <c r="B971" s="16"/>
      <c r="C971" s="16"/>
      <c r="D971" s="16"/>
      <c r="E971" s="16"/>
    </row>
    <row r="972" spans="1:5" ht="12.75">
      <c r="A972" s="16"/>
      <c r="B972" s="16"/>
      <c r="C972" s="16"/>
      <c r="D972" s="16"/>
      <c r="E972" s="16"/>
    </row>
    <row r="973" spans="1:5" ht="12.75">
      <c r="A973" s="16"/>
      <c r="B973" s="16"/>
      <c r="C973" s="16"/>
      <c r="D973" s="16"/>
      <c r="E973" s="16"/>
    </row>
    <row r="974" spans="1:5" ht="12.75">
      <c r="A974" s="16"/>
      <c r="B974" s="16"/>
      <c r="C974" s="16"/>
      <c r="D974" s="16"/>
      <c r="E974" s="16"/>
    </row>
    <row r="975" spans="1:5" ht="12.75">
      <c r="A975" s="16"/>
      <c r="B975" s="16"/>
      <c r="C975" s="16"/>
      <c r="D975" s="16"/>
      <c r="E975" s="16"/>
    </row>
    <row r="976" spans="1:5" ht="12.75">
      <c r="A976" s="16"/>
      <c r="B976" s="16"/>
      <c r="C976" s="16"/>
      <c r="D976" s="16"/>
      <c r="E976" s="16"/>
    </row>
    <row r="977" spans="1:5" ht="12.75">
      <c r="A977" s="16"/>
      <c r="B977" s="16"/>
      <c r="C977" s="16"/>
      <c r="D977" s="16"/>
      <c r="E977" s="16"/>
    </row>
    <row r="978" spans="1:5" ht="12.75">
      <c r="A978" s="16"/>
      <c r="B978" s="16"/>
      <c r="C978" s="16"/>
      <c r="D978" s="16"/>
      <c r="E978" s="16"/>
    </row>
    <row r="979" spans="1:5" ht="12.75">
      <c r="A979" s="16"/>
      <c r="B979" s="16"/>
      <c r="C979" s="16"/>
      <c r="D979" s="16"/>
      <c r="E979" s="16"/>
    </row>
    <row r="980" spans="1:5" ht="12.75">
      <c r="A980" s="16"/>
      <c r="B980" s="16"/>
      <c r="C980" s="16"/>
      <c r="D980" s="16"/>
      <c r="E980" s="16"/>
    </row>
    <row r="981" spans="1:5" ht="12.75">
      <c r="A981" s="16"/>
      <c r="B981" s="16"/>
      <c r="C981" s="16"/>
      <c r="D981" s="16"/>
      <c r="E981" s="16"/>
    </row>
    <row r="982" spans="1:5" ht="12.75">
      <c r="A982" s="16"/>
      <c r="B982" s="16"/>
      <c r="C982" s="16"/>
      <c r="D982" s="16"/>
      <c r="E982" s="16"/>
    </row>
    <row r="983" spans="1:5" ht="12.75">
      <c r="A983" s="16"/>
      <c r="B983" s="16"/>
      <c r="C983" s="16"/>
      <c r="D983" s="16"/>
      <c r="E983" s="16"/>
    </row>
    <row r="984" spans="1:5" ht="12.75">
      <c r="A984" s="16"/>
      <c r="B984" s="16"/>
      <c r="C984" s="16"/>
      <c r="D984" s="16"/>
      <c r="E984" s="16"/>
    </row>
    <row r="985" spans="1:5" ht="12.75">
      <c r="A985" s="16"/>
      <c r="B985" s="16"/>
      <c r="C985" s="16"/>
      <c r="D985" s="16"/>
      <c r="E985" s="16"/>
    </row>
    <row r="986" spans="1:5" ht="12.75">
      <c r="A986" s="16"/>
      <c r="B986" s="16"/>
      <c r="C986" s="16"/>
      <c r="D986" s="16"/>
      <c r="E986" s="16"/>
    </row>
    <row r="987" spans="1:5" ht="12.75">
      <c r="A987" s="16"/>
      <c r="B987" s="16"/>
      <c r="C987" s="16"/>
      <c r="D987" s="16"/>
      <c r="E987" s="16"/>
    </row>
    <row r="988" spans="1:5" ht="12.75">
      <c r="A988" s="16"/>
      <c r="B988" s="16"/>
      <c r="C988" s="16"/>
      <c r="D988" s="16"/>
      <c r="E988" s="16"/>
    </row>
    <row r="989" spans="1:5" ht="12.75">
      <c r="A989" s="16"/>
      <c r="B989" s="16"/>
      <c r="C989" s="16"/>
      <c r="D989" s="16"/>
      <c r="E989" s="16"/>
    </row>
    <row r="990" spans="1:5" ht="12.75">
      <c r="A990" s="16"/>
      <c r="B990" s="16"/>
      <c r="C990" s="16"/>
      <c r="D990" s="16"/>
      <c r="E990" s="16"/>
    </row>
    <row r="991" spans="1:5" ht="12.75">
      <c r="A991" s="16"/>
      <c r="B991" s="16"/>
      <c r="C991" s="16"/>
      <c r="D991" s="16"/>
      <c r="E991" s="16"/>
    </row>
    <row r="992" spans="1:5" ht="12.75">
      <c r="A992" s="16"/>
      <c r="B992" s="16"/>
      <c r="C992" s="16"/>
      <c r="D992" s="16"/>
      <c r="E992" s="16"/>
    </row>
    <row r="993" spans="1:5" ht="12.75">
      <c r="A993" s="16"/>
      <c r="B993" s="16"/>
      <c r="C993" s="16"/>
      <c r="D993" s="16"/>
      <c r="E993" s="16"/>
    </row>
    <row r="994" spans="1:5" ht="12.75">
      <c r="A994" s="16"/>
      <c r="B994" s="16"/>
      <c r="C994" s="16"/>
      <c r="D994" s="16"/>
      <c r="E994" s="16"/>
    </row>
    <row r="995" spans="1:5" ht="12.75">
      <c r="A995" s="16"/>
      <c r="B995" s="16"/>
      <c r="C995" s="16"/>
      <c r="D995" s="16"/>
      <c r="E995" s="16"/>
    </row>
    <row r="996" spans="1:5" ht="12.75">
      <c r="A996" s="16"/>
      <c r="B996" s="16"/>
      <c r="C996" s="16"/>
      <c r="D996" s="16"/>
      <c r="E996" s="16"/>
    </row>
    <row r="997" spans="1:5" ht="12.75">
      <c r="A997" s="16"/>
      <c r="B997" s="16"/>
      <c r="C997" s="16"/>
      <c r="D997" s="16"/>
      <c r="E997" s="16"/>
    </row>
    <row r="998" spans="1:5" ht="12.75">
      <c r="A998" s="16"/>
      <c r="B998" s="16"/>
      <c r="C998" s="16"/>
      <c r="D998" s="16"/>
      <c r="E998" s="16"/>
    </row>
    <row r="999" spans="1:5" ht="12.75">
      <c r="A999" s="16"/>
      <c r="B999" s="16"/>
      <c r="C999" s="16"/>
      <c r="D999" s="16"/>
      <c r="E999" s="16"/>
    </row>
    <row r="1000" spans="1:5" ht="12.75">
      <c r="A1000" s="16"/>
      <c r="B1000" s="16"/>
      <c r="C1000" s="16"/>
      <c r="D1000" s="16"/>
      <c r="E1000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B97F5-A0AA-47BB-A787-4CBD1EBE9044}">
  <dimension ref="A1:E9"/>
  <sheetViews>
    <sheetView workbookViewId="0">
      <selection activeCell="D19" sqref="D19"/>
    </sheetView>
  </sheetViews>
  <sheetFormatPr defaultRowHeight="12.75"/>
  <cols>
    <col min="1" max="1" width="12.85546875" bestFit="1" customWidth="1"/>
    <col min="2" max="2" width="25.140625" bestFit="1" customWidth="1"/>
    <col min="3" max="3" width="25.85546875" bestFit="1" customWidth="1"/>
    <col min="4" max="4" width="22.42578125" bestFit="1" customWidth="1"/>
    <col min="5" max="5" width="21.85546875" bestFit="1" customWidth="1"/>
  </cols>
  <sheetData>
    <row r="1" spans="1:5">
      <c r="A1" s="22" t="s">
        <v>89</v>
      </c>
      <c r="B1" s="23" t="s">
        <v>221</v>
      </c>
    </row>
    <row r="3" spans="1:5">
      <c r="A3" s="24" t="s">
        <v>226</v>
      </c>
      <c r="B3" s="25" t="s">
        <v>16610</v>
      </c>
      <c r="C3" s="26" t="s">
        <v>16611</v>
      </c>
      <c r="D3" s="26" t="s">
        <v>16607</v>
      </c>
      <c r="E3" s="27" t="s">
        <v>16606</v>
      </c>
    </row>
    <row r="4" spans="1:5">
      <c r="A4" s="30">
        <v>2024</v>
      </c>
      <c r="B4" s="83"/>
      <c r="C4" s="84"/>
      <c r="D4" s="84"/>
      <c r="E4" s="85">
        <v>42105</v>
      </c>
    </row>
    <row r="5" spans="1:5">
      <c r="A5" s="31">
        <v>2025</v>
      </c>
      <c r="B5" s="86">
        <v>89</v>
      </c>
      <c r="C5" s="87">
        <v>523</v>
      </c>
      <c r="D5" s="87">
        <v>9</v>
      </c>
      <c r="E5" s="88">
        <v>7503</v>
      </c>
    </row>
    <row r="6" spans="1:5">
      <c r="A6" s="32" t="s">
        <v>227</v>
      </c>
      <c r="B6" s="89">
        <v>89</v>
      </c>
      <c r="C6" s="90">
        <v>523</v>
      </c>
      <c r="D6" s="90">
        <v>9</v>
      </c>
      <c r="E6" s="91">
        <v>49608</v>
      </c>
    </row>
    <row r="8" spans="1:5">
      <c r="B8" t="s">
        <v>16612</v>
      </c>
      <c r="C8" t="s">
        <v>16613</v>
      </c>
    </row>
    <row r="9" spans="1:5">
      <c r="A9">
        <v>2025</v>
      </c>
      <c r="B9">
        <f>SUM(GETPIVOTDATA("Sum of Dial A Story Uploads",$A$3,"Year",2025)+GETPIVOTDATA("Sum of YouTube Uploads",$A$3,"Year",2025))</f>
        <v>98</v>
      </c>
      <c r="C9">
        <f>SUM(GETPIVOTDATA("Sum of Dial A Story - VIEWS",$A$3,"Year",2025)+GETPIVOTDATA("Sum of YouTube - Views",$A$3,"Year",2025))</f>
        <v>8026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  <outlinePr summaryBelow="0" summaryRight="0"/>
  </sheetPr>
  <dimension ref="A1:S991"/>
  <sheetViews>
    <sheetView workbookViewId="0">
      <selection activeCell="E16" sqref="E16:H16"/>
    </sheetView>
  </sheetViews>
  <sheetFormatPr defaultColWidth="12.5703125" defaultRowHeight="15.75" customHeight="1"/>
  <cols>
    <col min="1" max="1" width="12.85546875" bestFit="1" customWidth="1"/>
    <col min="2" max="2" width="23.7109375" bestFit="1" customWidth="1"/>
    <col min="3" max="3" width="17.85546875" bestFit="1" customWidth="1"/>
    <col min="4" max="4" width="23.42578125" bestFit="1" customWidth="1"/>
    <col min="5" max="5" width="10.5703125" bestFit="1" customWidth="1"/>
    <col min="6" max="6" width="16.140625" bestFit="1" customWidth="1"/>
    <col min="7" max="7" width="13.85546875" bestFit="1" customWidth="1"/>
    <col min="8" max="8" width="14" style="144" customWidth="1"/>
    <col min="9" max="9" width="9.42578125" customWidth="1"/>
    <col min="10" max="10" width="12.140625" bestFit="1" customWidth="1"/>
    <col min="11" max="11" width="16.140625" bestFit="1" customWidth="1"/>
    <col min="12" max="12" width="12.28515625" customWidth="1"/>
    <col min="13" max="13" width="12.140625" bestFit="1" customWidth="1"/>
    <col min="14" max="14" width="16.140625" bestFit="1" customWidth="1"/>
    <col min="15" max="16" width="12.28515625" customWidth="1"/>
    <col min="17" max="17" width="12.85546875" bestFit="1" customWidth="1"/>
    <col min="18" max="18" width="16.140625" bestFit="1" customWidth="1"/>
    <col min="19" max="19" width="8.85546875" bestFit="1" customWidth="1"/>
    <col min="20" max="20" width="9.42578125" customWidth="1"/>
    <col min="21" max="71" width="5" bestFit="1" customWidth="1"/>
    <col min="72" max="72" width="6" bestFit="1" customWidth="1"/>
    <col min="73" max="82" width="5" bestFit="1" customWidth="1"/>
    <col min="83" max="116" width="6" bestFit="1" customWidth="1"/>
    <col min="117" max="117" width="7" bestFit="1" customWidth="1"/>
    <col min="118" max="118" width="6.5703125" bestFit="1" customWidth="1"/>
    <col min="119" max="119" width="22.7109375" bestFit="1" customWidth="1"/>
    <col min="120" max="120" width="3" bestFit="1" customWidth="1"/>
    <col min="121" max="121" width="4" bestFit="1" customWidth="1"/>
    <col min="122" max="198" width="5" bestFit="1" customWidth="1"/>
    <col min="199" max="232" width="6" bestFit="1" customWidth="1"/>
    <col min="233" max="233" width="7" bestFit="1" customWidth="1"/>
    <col min="234" max="234" width="6.5703125" bestFit="1" customWidth="1"/>
    <col min="235" max="235" width="21.85546875" bestFit="1" customWidth="1"/>
    <col min="236" max="236" width="27.42578125" bestFit="1" customWidth="1"/>
    <col min="237" max="237" width="8" bestFit="1" customWidth="1"/>
    <col min="238" max="238" width="6.5703125" bestFit="1" customWidth="1"/>
    <col min="239" max="239" width="10.5703125" bestFit="1" customWidth="1"/>
    <col min="240" max="240" width="8" bestFit="1" customWidth="1"/>
    <col min="241" max="241" width="10.5703125" bestFit="1" customWidth="1"/>
    <col min="242" max="242" width="8" bestFit="1" customWidth="1"/>
    <col min="243" max="243" width="10.5703125" bestFit="1" customWidth="1"/>
    <col min="244" max="244" width="8" bestFit="1" customWidth="1"/>
    <col min="245" max="245" width="6.5703125" bestFit="1" customWidth="1"/>
    <col min="246" max="246" width="10.5703125" bestFit="1" customWidth="1"/>
    <col min="247" max="247" width="8" bestFit="1" customWidth="1"/>
    <col min="248" max="248" width="10.5703125" bestFit="1" customWidth="1"/>
    <col min="249" max="249" width="8" bestFit="1" customWidth="1"/>
    <col min="250" max="250" width="10.5703125" bestFit="1" customWidth="1"/>
    <col min="251" max="251" width="8" bestFit="1" customWidth="1"/>
    <col min="252" max="252" width="10.5703125" bestFit="1" customWidth="1"/>
    <col min="253" max="253" width="8" bestFit="1" customWidth="1"/>
    <col min="254" max="254" width="10.5703125" bestFit="1" customWidth="1"/>
    <col min="255" max="255" width="8" bestFit="1" customWidth="1"/>
    <col min="256" max="256" width="10.5703125" bestFit="1" customWidth="1"/>
    <col min="257" max="257" width="8" bestFit="1" customWidth="1"/>
    <col min="258" max="258" width="10.5703125" bestFit="1" customWidth="1"/>
    <col min="259" max="259" width="8" bestFit="1" customWidth="1"/>
    <col min="260" max="260" width="10.5703125" bestFit="1" customWidth="1"/>
    <col min="261" max="261" width="8" bestFit="1" customWidth="1"/>
    <col min="262" max="262" width="10.5703125" bestFit="1" customWidth="1"/>
    <col min="263" max="263" width="8" bestFit="1" customWidth="1"/>
    <col min="264" max="264" width="10.5703125" bestFit="1" customWidth="1"/>
    <col min="265" max="265" width="8" bestFit="1" customWidth="1"/>
    <col min="266" max="266" width="10.5703125" bestFit="1" customWidth="1"/>
    <col min="267" max="267" width="8" bestFit="1" customWidth="1"/>
    <col min="268" max="268" width="10.5703125" bestFit="1" customWidth="1"/>
    <col min="269" max="269" width="8" bestFit="1" customWidth="1"/>
    <col min="270" max="270" width="10.5703125" bestFit="1" customWidth="1"/>
    <col min="271" max="271" width="8" bestFit="1" customWidth="1"/>
    <col min="272" max="272" width="10.5703125" bestFit="1" customWidth="1"/>
    <col min="273" max="273" width="8" bestFit="1" customWidth="1"/>
    <col min="274" max="274" width="10.5703125" bestFit="1" customWidth="1"/>
    <col min="275" max="275" width="8" bestFit="1" customWidth="1"/>
    <col min="276" max="276" width="10.5703125" bestFit="1" customWidth="1"/>
    <col min="277" max="277" width="8" bestFit="1" customWidth="1"/>
    <col min="278" max="278" width="10.5703125" bestFit="1" customWidth="1"/>
    <col min="279" max="279" width="8" bestFit="1" customWidth="1"/>
    <col min="280" max="280" width="10.5703125" bestFit="1" customWidth="1"/>
    <col min="281" max="281" width="8" bestFit="1" customWidth="1"/>
    <col min="282" max="282" width="10.5703125" bestFit="1" customWidth="1"/>
    <col min="283" max="283" width="8.5703125" bestFit="1" customWidth="1"/>
    <col min="284" max="287" width="3" bestFit="1" customWidth="1"/>
    <col min="288" max="300" width="4" bestFit="1" customWidth="1"/>
    <col min="301" max="301" width="6.5703125" bestFit="1" customWidth="1"/>
    <col min="302" max="302" width="11.140625" bestFit="1" customWidth="1"/>
    <col min="303" max="303" width="10.5703125" bestFit="1" customWidth="1"/>
  </cols>
  <sheetData>
    <row r="1" spans="1:19" ht="12.75">
      <c r="A1" s="22" t="s">
        <v>89</v>
      </c>
      <c r="B1" s="23" t="s">
        <v>16609</v>
      </c>
      <c r="E1" s="22" t="s">
        <v>16740</v>
      </c>
      <c r="F1" s="23" t="s">
        <v>221</v>
      </c>
      <c r="J1" s="22" t="s">
        <v>89</v>
      </c>
      <c r="K1" s="23" t="s">
        <v>16609</v>
      </c>
      <c r="M1" s="22" t="s">
        <v>225</v>
      </c>
      <c r="N1" s="39">
        <v>2026</v>
      </c>
      <c r="P1" s="23"/>
    </row>
    <row r="2" spans="1:19" ht="12.75">
      <c r="A2" s="22" t="s">
        <v>16740</v>
      </c>
      <c r="B2" s="23" t="s">
        <v>221</v>
      </c>
      <c r="E2" s="22" t="s">
        <v>225</v>
      </c>
      <c r="F2" s="39">
        <v>2026</v>
      </c>
      <c r="J2" s="22" t="s">
        <v>225</v>
      </c>
      <c r="K2" s="39">
        <v>2025</v>
      </c>
      <c r="M2" s="22" t="s">
        <v>89</v>
      </c>
      <c r="N2" s="23" t="s">
        <v>16609</v>
      </c>
      <c r="P2" s="23"/>
      <c r="Q2" s="22" t="s">
        <v>89</v>
      </c>
      <c r="R2" s="23" t="s">
        <v>16609</v>
      </c>
    </row>
    <row r="3" spans="1:19" ht="12.75">
      <c r="A3" s="22" t="s">
        <v>225</v>
      </c>
      <c r="B3" s="39">
        <v>2025</v>
      </c>
      <c r="E3" s="22" t="s">
        <v>89</v>
      </c>
      <c r="F3" s="23" t="s">
        <v>16609</v>
      </c>
      <c r="P3" s="144"/>
      <c r="Q3" s="144"/>
      <c r="R3" s="144"/>
    </row>
    <row r="4" spans="1:19" ht="63.75">
      <c r="J4" s="34" t="s">
        <v>16714</v>
      </c>
      <c r="K4" s="41" t="s">
        <v>16715</v>
      </c>
      <c r="L4" s="29"/>
      <c r="M4" s="34" t="s">
        <v>16714</v>
      </c>
      <c r="N4" s="41" t="s">
        <v>16715</v>
      </c>
      <c r="O4" s="29"/>
      <c r="Q4" s="24" t="s">
        <v>226</v>
      </c>
      <c r="R4" s="34" t="s">
        <v>231</v>
      </c>
      <c r="S4" s="41" t="s">
        <v>230</v>
      </c>
    </row>
    <row r="5" spans="1:19" ht="25.5">
      <c r="A5" s="34" t="s">
        <v>229</v>
      </c>
      <c r="B5" s="35" t="s">
        <v>228</v>
      </c>
      <c r="C5" s="41" t="s">
        <v>16677</v>
      </c>
      <c r="D5" s="29"/>
      <c r="E5" s="34" t="s">
        <v>229</v>
      </c>
      <c r="F5" s="35" t="s">
        <v>228</v>
      </c>
      <c r="G5" s="41" t="s">
        <v>16741</v>
      </c>
      <c r="H5" s="167"/>
      <c r="J5" s="89">
        <v>2785</v>
      </c>
      <c r="K5" s="91">
        <v>1271</v>
      </c>
      <c r="M5" s="89">
        <v>1157</v>
      </c>
      <c r="N5" s="91">
        <v>808</v>
      </c>
      <c r="Q5" s="30">
        <v>2025</v>
      </c>
      <c r="R5" s="83">
        <v>3806</v>
      </c>
      <c r="S5" s="85">
        <v>1696</v>
      </c>
    </row>
    <row r="6" spans="1:19" ht="12.75">
      <c r="A6" s="89">
        <v>450958</v>
      </c>
      <c r="B6" s="90">
        <v>189265</v>
      </c>
      <c r="C6" s="91">
        <v>8273</v>
      </c>
      <c r="E6" s="89">
        <v>184843</v>
      </c>
      <c r="F6" s="90">
        <v>75486</v>
      </c>
      <c r="G6" s="91">
        <v>2279</v>
      </c>
      <c r="H6" s="166"/>
      <c r="Q6" s="31">
        <v>2026</v>
      </c>
      <c r="R6" s="86">
        <v>1157</v>
      </c>
      <c r="S6" s="88">
        <v>808</v>
      </c>
    </row>
    <row r="7" spans="1:19" ht="12.75">
      <c r="D7" s="17"/>
      <c r="Q7" s="32" t="s">
        <v>227</v>
      </c>
      <c r="R7" s="89">
        <v>4963</v>
      </c>
      <c r="S7" s="91">
        <v>2504</v>
      </c>
    </row>
    <row r="8" spans="1:19" ht="12.75">
      <c r="D8" s="17"/>
    </row>
    <row r="9" spans="1:19" ht="12.75">
      <c r="D9" s="17"/>
    </row>
    <row r="10" spans="1:19" ht="12.75">
      <c r="D10" s="17"/>
    </row>
    <row r="11" spans="1:19" ht="14.25">
      <c r="A11" s="180" t="s">
        <v>16750</v>
      </c>
      <c r="B11" s="180"/>
      <c r="C11" s="180"/>
      <c r="D11" s="180"/>
    </row>
    <row r="12" spans="1:19" ht="12.75">
      <c r="D12" s="17"/>
    </row>
    <row r="13" spans="1:19" ht="12.75">
      <c r="D13" s="17"/>
    </row>
    <row r="14" spans="1:19" ht="12.75">
      <c r="D14" s="17"/>
    </row>
    <row r="15" spans="1:19" ht="14.25">
      <c r="D15" s="17"/>
      <c r="E15" s="178" t="s">
        <v>16749</v>
      </c>
      <c r="F15" s="178"/>
      <c r="G15" s="178"/>
      <c r="H15" s="178"/>
      <c r="J15" s="115" t="s">
        <v>16749</v>
      </c>
      <c r="K15" s="115"/>
    </row>
    <row r="16" spans="1:19" ht="12.75">
      <c r="D16" s="17"/>
      <c r="E16" s="179" t="s">
        <v>16742</v>
      </c>
      <c r="F16" s="179"/>
      <c r="G16" s="179"/>
      <c r="H16" s="179"/>
      <c r="J16" s="179" t="s">
        <v>16742</v>
      </c>
      <c r="K16" s="179"/>
    </row>
    <row r="17" spans="1:12" ht="25.5">
      <c r="D17" s="17"/>
      <c r="E17" s="29" t="s">
        <v>16743</v>
      </c>
      <c r="F17" s="29" t="s">
        <v>16744</v>
      </c>
      <c r="G17" s="29" t="s">
        <v>16745</v>
      </c>
      <c r="H17" s="29"/>
      <c r="I17" s="29"/>
      <c r="J17" s="29" t="s">
        <v>16746</v>
      </c>
      <c r="K17" s="29" t="s">
        <v>16747</v>
      </c>
      <c r="L17" s="29"/>
    </row>
    <row r="18" spans="1:12" ht="12.75">
      <c r="D18" s="17"/>
      <c r="E18">
        <f>SUM(GETPIVOTDATA("Monthly Circulation",$A$5)+GETPIVOTDATA("Monthly Circulation",$E$5))</f>
        <v>635801</v>
      </c>
      <c r="F18">
        <f>SUM(GETPIVOTDATA("Monthly Gate Count",$A$5)+GETPIVOTDATA("Monthly Gate Count",$E$5))</f>
        <v>264751</v>
      </c>
      <c r="G18">
        <f>SUM(GETPIVOTDATA("Locker Checkouts",$A$5)+GETPIVOTDATA("Monthly Locker Circulation",$E$5))</f>
        <v>10552</v>
      </c>
      <c r="J18">
        <f>SUM(GETPIVOTDATA("Sum of New Library Card Registrations, Adult (includes YA)",$J$4)+GETPIVOTDATA("Sum of New Library Card Registrations, Adult (includes YA)",$M$4))</f>
        <v>3942</v>
      </c>
      <c r="K18">
        <f>SUM(GETPIVOTDATA("Sum of New Library Card Registrations, Juvenile",$J$4)+GETPIVOTDATA("Sum of New Library Card Registrations, Juvenile",$M$4))</f>
        <v>2079</v>
      </c>
    </row>
    <row r="19" spans="1:12" ht="12.75">
      <c r="A19" s="17"/>
      <c r="B19" s="17"/>
      <c r="C19" s="17"/>
      <c r="D19" s="17"/>
    </row>
    <row r="20" spans="1:12" ht="12.75">
      <c r="A20" s="23"/>
      <c r="B20" s="23"/>
      <c r="C20" s="17"/>
      <c r="D20" s="17"/>
    </row>
    <row r="21" spans="1:12" ht="12.75">
      <c r="A21" s="17"/>
      <c r="B21" s="17"/>
      <c r="C21" s="17"/>
      <c r="D21" s="17"/>
      <c r="E21" s="17"/>
      <c r="F21" s="17"/>
    </row>
    <row r="22" spans="1:12" ht="12.75"/>
    <row r="23" spans="1:12" ht="12.75"/>
    <row r="24" spans="1:12" ht="12.75"/>
    <row r="25" spans="1:12" ht="12.75"/>
    <row r="26" spans="1:12" ht="12.75">
      <c r="D26" s="17"/>
      <c r="E26" s="17"/>
      <c r="F26" s="17"/>
    </row>
    <row r="27" spans="1:12" ht="12.75">
      <c r="D27" s="17"/>
      <c r="E27" s="17"/>
      <c r="F27" s="17"/>
    </row>
    <row r="28" spans="1:12" ht="12.75">
      <c r="D28" s="17"/>
      <c r="E28" s="17"/>
      <c r="F28" s="17"/>
    </row>
    <row r="29" spans="1:12" ht="12.75">
      <c r="D29" s="17"/>
      <c r="E29" s="17"/>
      <c r="F29" s="17"/>
    </row>
    <row r="30" spans="1:12" ht="12.75">
      <c r="D30" s="17"/>
      <c r="E30" s="17"/>
      <c r="F30" s="17"/>
    </row>
    <row r="31" spans="1:12" ht="12.75">
      <c r="A31" s="22" t="s">
        <v>89</v>
      </c>
      <c r="B31" s="23" t="s">
        <v>16732</v>
      </c>
      <c r="D31" s="17"/>
      <c r="E31" s="17"/>
      <c r="F31" s="17"/>
    </row>
    <row r="32" spans="1:12" ht="12.75">
      <c r="D32" s="17"/>
      <c r="E32" s="17"/>
      <c r="F32" s="17"/>
    </row>
    <row r="33" spans="1:4" ht="12.75">
      <c r="A33" s="24" t="s">
        <v>226</v>
      </c>
      <c r="B33" s="25" t="s">
        <v>16748</v>
      </c>
      <c r="C33" s="26" t="s">
        <v>228</v>
      </c>
      <c r="D33" s="27" t="s">
        <v>16741</v>
      </c>
    </row>
    <row r="34" spans="1:4" ht="12.75">
      <c r="A34" s="30">
        <v>2025</v>
      </c>
      <c r="B34" s="83">
        <v>49005</v>
      </c>
      <c r="C34" s="84">
        <v>38585</v>
      </c>
      <c r="D34" s="85"/>
    </row>
    <row r="35" spans="1:4" ht="12.75">
      <c r="A35" s="31">
        <v>2026</v>
      </c>
      <c r="B35" s="86">
        <v>66759</v>
      </c>
      <c r="C35" s="87">
        <v>26733</v>
      </c>
      <c r="D35" s="88">
        <v>640</v>
      </c>
    </row>
    <row r="36" spans="1:4" ht="12.75">
      <c r="A36" s="32" t="s">
        <v>227</v>
      </c>
      <c r="B36" s="89">
        <v>115764</v>
      </c>
      <c r="C36" s="90">
        <v>65318</v>
      </c>
      <c r="D36" s="91">
        <v>640</v>
      </c>
    </row>
    <row r="37" spans="1:4" ht="12.75"/>
    <row r="38" spans="1:4" ht="12.75"/>
    <row r="39" spans="1:4" ht="12.75"/>
    <row r="40" spans="1:4" ht="12.75"/>
    <row r="41" spans="1:4" ht="12.75"/>
    <row r="42" spans="1:4" ht="12.75"/>
    <row r="43" spans="1:4" ht="12.75"/>
    <row r="44" spans="1:4" ht="12.75"/>
    <row r="45" spans="1:4" ht="12.75"/>
    <row r="46" spans="1:4" ht="12.75"/>
    <row r="47" spans="1:4" ht="12.75"/>
    <row r="48" spans="1:4" ht="12.75"/>
    <row r="49" spans="1:6" ht="12.75"/>
    <row r="50" spans="1:6" ht="12.75">
      <c r="D50" s="17"/>
      <c r="E50" s="17"/>
      <c r="F50" s="17"/>
    </row>
    <row r="51" spans="1:6" ht="12.75">
      <c r="A51" s="17"/>
      <c r="B51" s="17"/>
      <c r="C51" s="17"/>
      <c r="D51" s="17"/>
      <c r="E51" s="17"/>
      <c r="F51" s="17"/>
    </row>
    <row r="52" spans="1:6" ht="12.75">
      <c r="A52" s="17"/>
      <c r="B52" s="17"/>
      <c r="C52" s="17"/>
      <c r="D52" s="17"/>
      <c r="E52" s="17"/>
      <c r="F52" s="17"/>
    </row>
    <row r="53" spans="1:6" ht="12.75">
      <c r="A53" s="17"/>
      <c r="B53" s="17"/>
      <c r="C53" s="17"/>
      <c r="D53" s="17"/>
      <c r="E53" s="17"/>
      <c r="F53" s="17"/>
    </row>
    <row r="54" spans="1:6" ht="12.75">
      <c r="A54" s="17"/>
      <c r="B54" s="17"/>
      <c r="C54" s="17"/>
      <c r="D54" s="17"/>
      <c r="E54" s="17"/>
      <c r="F54" s="17"/>
    </row>
    <row r="55" spans="1:6" ht="12.75">
      <c r="A55" s="17"/>
      <c r="B55" s="17"/>
      <c r="C55" s="17"/>
      <c r="D55" s="17"/>
      <c r="E55" s="17"/>
      <c r="F55" s="17"/>
    </row>
    <row r="56" spans="1:6" ht="12.75">
      <c r="A56" s="17"/>
      <c r="B56" s="17"/>
      <c r="C56" s="17"/>
      <c r="D56" s="17"/>
      <c r="E56" s="17"/>
      <c r="F56" s="17"/>
    </row>
    <row r="57" spans="1:6" ht="12.75">
      <c r="A57" s="17"/>
      <c r="B57" s="17"/>
      <c r="C57" s="17"/>
      <c r="D57" s="17"/>
      <c r="E57" s="17"/>
      <c r="F57" s="17"/>
    </row>
    <row r="58" spans="1:6" ht="12.75">
      <c r="A58" s="17"/>
      <c r="B58" s="17"/>
      <c r="C58" s="17"/>
      <c r="D58" s="17"/>
      <c r="E58" s="17"/>
      <c r="F58" s="17"/>
    </row>
    <row r="59" spans="1:6" ht="12.75">
      <c r="A59" s="17"/>
      <c r="B59" s="17"/>
      <c r="C59" s="17"/>
      <c r="D59" s="17"/>
      <c r="E59" s="17"/>
      <c r="F59" s="17"/>
    </row>
    <row r="60" spans="1:6" ht="12.75">
      <c r="A60" s="17"/>
      <c r="B60" s="17"/>
      <c r="C60" s="17"/>
      <c r="D60" s="17"/>
      <c r="E60" s="17"/>
      <c r="F60" s="17"/>
    </row>
    <row r="61" spans="1:6" ht="12.75">
      <c r="A61" s="17"/>
      <c r="B61" s="17"/>
      <c r="C61" s="17"/>
      <c r="D61" s="17"/>
      <c r="E61" s="17"/>
      <c r="F61" s="17"/>
    </row>
    <row r="62" spans="1:6" ht="12.75">
      <c r="A62" s="17"/>
      <c r="B62" s="17"/>
      <c r="C62" s="17"/>
      <c r="D62" s="17"/>
      <c r="E62" s="17"/>
      <c r="F62" s="17"/>
    </row>
    <row r="63" spans="1:6" ht="12.75">
      <c r="A63" s="17"/>
      <c r="B63" s="17"/>
      <c r="C63" s="17"/>
      <c r="D63" s="17"/>
      <c r="E63" s="17"/>
      <c r="F63" s="17"/>
    </row>
    <row r="64" spans="1:6" ht="12.75">
      <c r="A64" s="17"/>
      <c r="B64" s="17"/>
      <c r="C64" s="17"/>
      <c r="D64" s="17"/>
      <c r="E64" s="17"/>
      <c r="F64" s="17"/>
    </row>
    <row r="65" spans="1:6" ht="12.75">
      <c r="A65" s="17"/>
      <c r="B65" s="17"/>
      <c r="C65" s="17"/>
      <c r="D65" s="17"/>
      <c r="E65" s="17"/>
      <c r="F65" s="17"/>
    </row>
    <row r="66" spans="1:6" ht="12.75">
      <c r="A66" s="17"/>
      <c r="B66" s="17"/>
      <c r="C66" s="17"/>
      <c r="D66" s="17"/>
      <c r="E66" s="17"/>
      <c r="F66" s="17"/>
    </row>
    <row r="67" spans="1:6" ht="12.75">
      <c r="A67" s="17"/>
      <c r="B67" s="17"/>
      <c r="C67" s="17"/>
      <c r="D67" s="17"/>
      <c r="E67" s="17"/>
      <c r="F67" s="17"/>
    </row>
    <row r="68" spans="1:6" ht="12.75">
      <c r="A68" s="17"/>
      <c r="B68" s="17"/>
      <c r="C68" s="17"/>
      <c r="D68" s="17"/>
      <c r="E68" s="17"/>
      <c r="F68" s="17"/>
    </row>
    <row r="69" spans="1:6" ht="12.75">
      <c r="A69" s="17"/>
      <c r="B69" s="17"/>
      <c r="C69" s="17"/>
      <c r="D69" s="17"/>
      <c r="E69" s="17"/>
      <c r="F69" s="17"/>
    </row>
    <row r="70" spans="1:6" ht="12.75">
      <c r="A70" s="17"/>
      <c r="B70" s="17"/>
      <c r="C70" s="17"/>
      <c r="D70" s="17"/>
      <c r="E70" s="17"/>
      <c r="F70" s="17"/>
    </row>
    <row r="71" spans="1:6" ht="12.75">
      <c r="A71" s="17"/>
      <c r="B71" s="17"/>
      <c r="C71" s="17"/>
      <c r="D71" s="17"/>
      <c r="E71" s="17"/>
      <c r="F71" s="17"/>
    </row>
    <row r="72" spans="1:6" ht="12.75">
      <c r="A72" s="17"/>
      <c r="B72" s="17"/>
      <c r="C72" s="17"/>
      <c r="D72" s="17"/>
      <c r="E72" s="17"/>
      <c r="F72" s="17"/>
    </row>
    <row r="73" spans="1:6" ht="12.75">
      <c r="A73" s="17"/>
      <c r="B73" s="17"/>
      <c r="C73" s="17"/>
      <c r="D73" s="17"/>
      <c r="E73" s="17"/>
      <c r="F73" s="17"/>
    </row>
    <row r="74" spans="1:6" ht="12.75">
      <c r="A74" s="17"/>
      <c r="B74" s="17"/>
      <c r="C74" s="17"/>
      <c r="D74" s="17"/>
      <c r="E74" s="17"/>
      <c r="F74" s="17"/>
    </row>
    <row r="75" spans="1:6" ht="12.75">
      <c r="A75" s="17"/>
      <c r="B75" s="17"/>
      <c r="C75" s="17"/>
      <c r="D75" s="17"/>
      <c r="E75" s="17"/>
      <c r="F75" s="17"/>
    </row>
    <row r="76" spans="1:6" ht="12.75">
      <c r="A76" s="17"/>
      <c r="B76" s="17"/>
      <c r="C76" s="17"/>
      <c r="D76" s="17"/>
      <c r="E76" s="17"/>
      <c r="F76" s="17"/>
    </row>
    <row r="77" spans="1:6" ht="12.75">
      <c r="A77" s="17"/>
      <c r="B77" s="17"/>
      <c r="C77" s="17"/>
      <c r="D77" s="17"/>
      <c r="E77" s="17"/>
      <c r="F77" s="17"/>
    </row>
    <row r="78" spans="1:6" ht="12.75">
      <c r="A78" s="17"/>
      <c r="B78" s="17"/>
      <c r="C78" s="17"/>
      <c r="D78" s="17"/>
      <c r="E78" s="17"/>
      <c r="F78" s="17"/>
    </row>
    <row r="79" spans="1:6" ht="12.75">
      <c r="A79" s="17"/>
      <c r="B79" s="17"/>
      <c r="C79" s="17"/>
      <c r="D79" s="17"/>
      <c r="E79" s="17"/>
      <c r="F79" s="17"/>
    </row>
    <row r="80" spans="1:6" ht="12.75">
      <c r="A80" s="17"/>
      <c r="B80" s="17"/>
      <c r="C80" s="17"/>
      <c r="D80" s="17"/>
      <c r="E80" s="17"/>
      <c r="F80" s="17"/>
    </row>
    <row r="81" spans="1:6" ht="12.75">
      <c r="A81" s="17"/>
      <c r="B81" s="17"/>
      <c r="C81" s="17"/>
      <c r="D81" s="17"/>
      <c r="E81" s="17"/>
      <c r="F81" s="17"/>
    </row>
    <row r="82" spans="1:6" ht="12.75">
      <c r="A82" s="17"/>
      <c r="B82" s="17"/>
      <c r="C82" s="17"/>
      <c r="D82" s="17"/>
      <c r="E82" s="17"/>
      <c r="F82" s="17"/>
    </row>
    <row r="83" spans="1:6" ht="12.75">
      <c r="A83" s="17"/>
      <c r="B83" s="17"/>
      <c r="C83" s="17"/>
      <c r="D83" s="17"/>
      <c r="E83" s="17"/>
      <c r="F83" s="17"/>
    </row>
    <row r="84" spans="1:6" ht="12.75">
      <c r="A84" s="17"/>
      <c r="B84" s="17"/>
      <c r="C84" s="17"/>
      <c r="D84" s="17"/>
      <c r="E84" s="17"/>
      <c r="F84" s="17"/>
    </row>
    <row r="85" spans="1:6" ht="12.75">
      <c r="A85" s="17"/>
      <c r="B85" s="17"/>
      <c r="C85" s="17"/>
      <c r="D85" s="17"/>
      <c r="E85" s="17"/>
      <c r="F85" s="17"/>
    </row>
    <row r="86" spans="1:6" ht="12.75">
      <c r="A86" s="17"/>
      <c r="B86" s="17"/>
      <c r="C86" s="17"/>
      <c r="D86" s="17"/>
      <c r="E86" s="17"/>
      <c r="F86" s="17"/>
    </row>
    <row r="87" spans="1:6" ht="12.75">
      <c r="A87" s="17"/>
      <c r="B87" s="17"/>
      <c r="C87" s="17"/>
      <c r="D87" s="17"/>
      <c r="E87" s="17"/>
      <c r="F87" s="17"/>
    </row>
    <row r="88" spans="1:6" ht="12.75">
      <c r="A88" s="17"/>
      <c r="B88" s="17"/>
      <c r="C88" s="17"/>
      <c r="D88" s="17"/>
      <c r="E88" s="17"/>
      <c r="F88" s="17"/>
    </row>
    <row r="89" spans="1:6" ht="12.75">
      <c r="A89" s="17"/>
      <c r="B89" s="17"/>
      <c r="C89" s="17"/>
      <c r="D89" s="17"/>
      <c r="E89" s="17"/>
      <c r="F89" s="17"/>
    </row>
    <row r="90" spans="1:6" ht="12.75">
      <c r="A90" s="17"/>
      <c r="B90" s="17"/>
      <c r="C90" s="17"/>
      <c r="D90" s="17"/>
      <c r="E90" s="17"/>
      <c r="F90" s="17"/>
    </row>
    <row r="91" spans="1:6" ht="12.75">
      <c r="A91" s="17"/>
      <c r="B91" s="17"/>
      <c r="C91" s="17"/>
      <c r="D91" s="17"/>
      <c r="E91" s="17"/>
      <c r="F91" s="17"/>
    </row>
    <row r="92" spans="1:6" ht="12.75">
      <c r="A92" s="17"/>
      <c r="B92" s="17"/>
      <c r="C92" s="17"/>
      <c r="D92" s="17"/>
      <c r="E92" s="17"/>
      <c r="F92" s="17"/>
    </row>
    <row r="93" spans="1:6" ht="12.75">
      <c r="A93" s="17"/>
      <c r="B93" s="17"/>
      <c r="C93" s="17"/>
      <c r="D93" s="17"/>
      <c r="E93" s="17"/>
      <c r="F93" s="17"/>
    </row>
    <row r="94" spans="1:6" ht="12.75">
      <c r="A94" s="17"/>
      <c r="B94" s="17"/>
      <c r="C94" s="17"/>
      <c r="D94" s="17"/>
      <c r="E94" s="17"/>
      <c r="F94" s="17"/>
    </row>
    <row r="95" spans="1:6" ht="12.75">
      <c r="A95" s="17"/>
      <c r="B95" s="17"/>
      <c r="C95" s="17"/>
      <c r="D95" s="17"/>
      <c r="E95" s="17"/>
      <c r="F95" s="17"/>
    </row>
    <row r="96" spans="1:6" ht="12.75">
      <c r="A96" s="17"/>
      <c r="B96" s="17"/>
      <c r="C96" s="17"/>
      <c r="D96" s="17"/>
      <c r="E96" s="17"/>
      <c r="F96" s="17"/>
    </row>
    <row r="97" spans="1:6" ht="12.75">
      <c r="A97" s="17"/>
      <c r="B97" s="17"/>
      <c r="C97" s="17"/>
      <c r="D97" s="17"/>
      <c r="E97" s="17"/>
      <c r="F97" s="17"/>
    </row>
    <row r="98" spans="1:6" ht="12.75">
      <c r="A98" s="17"/>
      <c r="B98" s="17"/>
      <c r="C98" s="17"/>
      <c r="D98" s="17"/>
      <c r="E98" s="17"/>
      <c r="F98" s="17"/>
    </row>
    <row r="99" spans="1:6" ht="12.75">
      <c r="A99" s="17"/>
      <c r="B99" s="17"/>
      <c r="C99" s="17"/>
      <c r="D99" s="17"/>
      <c r="E99" s="17"/>
      <c r="F99" s="17"/>
    </row>
    <row r="100" spans="1:6" ht="12.75">
      <c r="A100" s="17"/>
      <c r="B100" s="17"/>
      <c r="C100" s="17"/>
      <c r="D100" s="17"/>
      <c r="E100" s="17"/>
      <c r="F100" s="17"/>
    </row>
    <row r="101" spans="1:6" ht="12.75">
      <c r="A101" s="17"/>
      <c r="B101" s="17"/>
      <c r="C101" s="17"/>
      <c r="D101" s="17"/>
      <c r="E101" s="17"/>
      <c r="F101" s="17"/>
    </row>
    <row r="102" spans="1:6" ht="12.75">
      <c r="A102" s="17"/>
      <c r="B102" s="17"/>
      <c r="C102" s="17"/>
      <c r="D102" s="17"/>
      <c r="E102" s="17"/>
      <c r="F102" s="17"/>
    </row>
    <row r="103" spans="1:6" ht="12.75">
      <c r="A103" s="17"/>
      <c r="B103" s="17"/>
      <c r="C103" s="17"/>
      <c r="D103" s="17"/>
      <c r="E103" s="17"/>
      <c r="F103" s="17"/>
    </row>
    <row r="104" spans="1:6" ht="12.75">
      <c r="A104" s="17"/>
      <c r="B104" s="17"/>
      <c r="C104" s="17"/>
      <c r="D104" s="17"/>
      <c r="E104" s="17"/>
      <c r="F104" s="17"/>
    </row>
    <row r="105" spans="1:6" ht="12.75">
      <c r="A105" s="17"/>
      <c r="B105" s="17"/>
      <c r="C105" s="17"/>
      <c r="D105" s="17"/>
      <c r="E105" s="17"/>
      <c r="F105" s="17"/>
    </row>
    <row r="106" spans="1:6" ht="12.75">
      <c r="A106" s="17"/>
      <c r="B106" s="17"/>
      <c r="C106" s="17"/>
      <c r="D106" s="17"/>
      <c r="E106" s="17"/>
      <c r="F106" s="17"/>
    </row>
    <row r="107" spans="1:6" ht="12.75">
      <c r="A107" s="17"/>
      <c r="B107" s="17"/>
      <c r="C107" s="17"/>
      <c r="D107" s="17"/>
      <c r="E107" s="17"/>
      <c r="F107" s="17"/>
    </row>
    <row r="108" spans="1:6" ht="12.75">
      <c r="A108" s="17"/>
      <c r="B108" s="17"/>
      <c r="C108" s="17"/>
      <c r="D108" s="17"/>
      <c r="E108" s="17"/>
      <c r="F108" s="17"/>
    </row>
    <row r="109" spans="1:6" ht="12.75">
      <c r="A109" s="17"/>
      <c r="B109" s="17"/>
      <c r="C109" s="17"/>
      <c r="D109" s="17"/>
      <c r="E109" s="17"/>
      <c r="F109" s="17"/>
    </row>
    <row r="110" spans="1:6" ht="12.75">
      <c r="A110" s="17"/>
      <c r="B110" s="17"/>
      <c r="C110" s="17"/>
      <c r="D110" s="17"/>
      <c r="E110" s="17"/>
      <c r="F110" s="17"/>
    </row>
    <row r="111" spans="1:6" ht="12.75">
      <c r="A111" s="17"/>
      <c r="B111" s="17"/>
      <c r="C111" s="17"/>
      <c r="D111" s="17"/>
      <c r="E111" s="17"/>
      <c r="F111" s="17"/>
    </row>
    <row r="112" spans="1:6" ht="12.75">
      <c r="A112" s="17"/>
      <c r="B112" s="17"/>
      <c r="C112" s="17"/>
      <c r="D112" s="17"/>
      <c r="E112" s="17"/>
      <c r="F112" s="17"/>
    </row>
    <row r="113" spans="1:6" ht="12.75">
      <c r="A113" s="17"/>
      <c r="B113" s="17"/>
      <c r="C113" s="17"/>
      <c r="D113" s="17"/>
      <c r="E113" s="17"/>
      <c r="F113" s="17"/>
    </row>
    <row r="114" spans="1:6" ht="12.75">
      <c r="A114" s="17"/>
      <c r="B114" s="17"/>
      <c r="C114" s="17"/>
      <c r="D114" s="17"/>
      <c r="E114" s="17"/>
      <c r="F114" s="17"/>
    </row>
    <row r="115" spans="1:6" ht="12.75">
      <c r="A115" s="17"/>
      <c r="B115" s="17"/>
      <c r="C115" s="17"/>
      <c r="D115" s="17"/>
      <c r="E115" s="17"/>
      <c r="F115" s="17"/>
    </row>
    <row r="116" spans="1:6" ht="12.75">
      <c r="A116" s="17"/>
      <c r="B116" s="17"/>
      <c r="C116" s="17"/>
      <c r="D116" s="17"/>
      <c r="E116" s="17"/>
      <c r="F116" s="17"/>
    </row>
    <row r="117" spans="1:6" ht="12.75">
      <c r="A117" s="17"/>
      <c r="B117" s="17"/>
      <c r="C117" s="17"/>
      <c r="D117" s="17"/>
      <c r="E117" s="17"/>
      <c r="F117" s="17"/>
    </row>
    <row r="118" spans="1:6" ht="12.75">
      <c r="A118" s="17"/>
      <c r="B118" s="17"/>
      <c r="C118" s="17"/>
      <c r="D118" s="17"/>
      <c r="E118" s="17"/>
      <c r="F118" s="17"/>
    </row>
    <row r="119" spans="1:6" ht="12.75">
      <c r="A119" s="17"/>
      <c r="B119" s="17"/>
      <c r="C119" s="17"/>
      <c r="D119" s="17"/>
      <c r="E119" s="17"/>
      <c r="F119" s="17"/>
    </row>
    <row r="120" spans="1:6" ht="12.75">
      <c r="A120" s="17"/>
      <c r="B120" s="17"/>
      <c r="C120" s="17"/>
      <c r="D120" s="17"/>
      <c r="E120" s="17"/>
      <c r="F120" s="17"/>
    </row>
    <row r="121" spans="1:6" ht="12.75">
      <c r="A121" s="17"/>
      <c r="B121" s="17"/>
      <c r="C121" s="17"/>
      <c r="D121" s="17"/>
      <c r="E121" s="17"/>
      <c r="F121" s="17"/>
    </row>
    <row r="122" spans="1:6" ht="12.75">
      <c r="A122" s="17"/>
      <c r="B122" s="17"/>
      <c r="C122" s="17"/>
      <c r="D122" s="17"/>
      <c r="E122" s="17"/>
      <c r="F122" s="17"/>
    </row>
    <row r="123" spans="1:6" ht="12.75">
      <c r="A123" s="17"/>
      <c r="B123" s="17"/>
      <c r="C123" s="17"/>
      <c r="D123" s="17"/>
      <c r="E123" s="17"/>
      <c r="F123" s="17"/>
    </row>
    <row r="124" spans="1:6" ht="12.75">
      <c r="A124" s="17"/>
      <c r="B124" s="17"/>
      <c r="C124" s="17"/>
      <c r="D124" s="17"/>
      <c r="E124" s="17"/>
      <c r="F124" s="17"/>
    </row>
    <row r="125" spans="1:6" ht="12.75">
      <c r="A125" s="17"/>
      <c r="B125" s="17"/>
      <c r="C125" s="17"/>
      <c r="D125" s="17"/>
      <c r="E125" s="17"/>
      <c r="F125" s="17"/>
    </row>
    <row r="126" spans="1:6" ht="12.75">
      <c r="A126" s="17"/>
      <c r="B126" s="17"/>
      <c r="C126" s="17"/>
      <c r="D126" s="17"/>
      <c r="E126" s="17"/>
      <c r="F126" s="17"/>
    </row>
    <row r="127" spans="1:6" ht="12.75">
      <c r="A127" s="17"/>
      <c r="B127" s="17"/>
      <c r="C127" s="17"/>
      <c r="D127" s="17"/>
      <c r="E127" s="17"/>
      <c r="F127" s="17"/>
    </row>
    <row r="128" spans="1:6" ht="12.75">
      <c r="A128" s="17"/>
      <c r="B128" s="17"/>
      <c r="C128" s="17"/>
      <c r="D128" s="17"/>
      <c r="E128" s="17"/>
      <c r="F128" s="17"/>
    </row>
    <row r="129" spans="1:6" ht="12.75">
      <c r="A129" s="17"/>
      <c r="B129" s="17"/>
      <c r="C129" s="17"/>
      <c r="D129" s="17"/>
      <c r="E129" s="17"/>
      <c r="F129" s="17"/>
    </row>
    <row r="130" spans="1:6" ht="12.75">
      <c r="A130" s="17"/>
      <c r="B130" s="17"/>
      <c r="C130" s="17"/>
      <c r="D130" s="17"/>
      <c r="E130" s="17"/>
      <c r="F130" s="17"/>
    </row>
    <row r="131" spans="1:6" ht="12.75">
      <c r="A131" s="17"/>
      <c r="B131" s="17"/>
      <c r="C131" s="17"/>
      <c r="D131" s="17"/>
      <c r="E131" s="17"/>
      <c r="F131" s="17"/>
    </row>
    <row r="132" spans="1:6" ht="12.75">
      <c r="A132" s="17"/>
      <c r="B132" s="17"/>
      <c r="C132" s="17"/>
      <c r="D132" s="17"/>
      <c r="E132" s="17"/>
      <c r="F132" s="17"/>
    </row>
    <row r="133" spans="1:6" ht="12.75">
      <c r="A133" s="17"/>
      <c r="B133" s="17"/>
      <c r="C133" s="17"/>
      <c r="D133" s="17"/>
      <c r="E133" s="17"/>
      <c r="F133" s="17"/>
    </row>
    <row r="134" spans="1:6" ht="12.75">
      <c r="A134" s="17"/>
      <c r="B134" s="17"/>
      <c r="C134" s="17"/>
      <c r="D134" s="17"/>
      <c r="E134" s="17"/>
      <c r="F134" s="17"/>
    </row>
    <row r="135" spans="1:6" ht="12.75">
      <c r="A135" s="17"/>
      <c r="B135" s="17"/>
      <c r="C135" s="17"/>
      <c r="D135" s="17"/>
      <c r="E135" s="17"/>
      <c r="F135" s="17"/>
    </row>
    <row r="136" spans="1:6" ht="12.75">
      <c r="A136" s="17"/>
      <c r="B136" s="17"/>
      <c r="C136" s="17"/>
      <c r="D136" s="17"/>
      <c r="E136" s="17"/>
      <c r="F136" s="17"/>
    </row>
    <row r="137" spans="1:6" ht="12.75">
      <c r="A137" s="17"/>
      <c r="B137" s="17"/>
      <c r="C137" s="17"/>
      <c r="D137" s="17"/>
      <c r="E137" s="17"/>
      <c r="F137" s="17"/>
    </row>
    <row r="138" spans="1:6" ht="12.75">
      <c r="A138" s="17"/>
      <c r="B138" s="17"/>
      <c r="C138" s="17"/>
      <c r="D138" s="17"/>
      <c r="E138" s="17"/>
      <c r="F138" s="17"/>
    </row>
    <row r="139" spans="1:6" ht="12.75">
      <c r="A139" s="17"/>
      <c r="B139" s="17"/>
      <c r="C139" s="17"/>
      <c r="D139" s="17"/>
      <c r="E139" s="17"/>
      <c r="F139" s="17"/>
    </row>
    <row r="140" spans="1:6" ht="12.75">
      <c r="A140" s="17"/>
      <c r="B140" s="17"/>
      <c r="C140" s="17"/>
      <c r="D140" s="17"/>
      <c r="E140" s="17"/>
      <c r="F140" s="17"/>
    </row>
    <row r="141" spans="1:6" ht="12.75">
      <c r="A141" s="17"/>
      <c r="B141" s="17"/>
      <c r="C141" s="17"/>
      <c r="D141" s="17"/>
      <c r="E141" s="17"/>
      <c r="F141" s="17"/>
    </row>
    <row r="142" spans="1:6" ht="12.75">
      <c r="A142" s="17"/>
      <c r="B142" s="17"/>
      <c r="C142" s="17"/>
      <c r="D142" s="17"/>
      <c r="E142" s="17"/>
      <c r="F142" s="17"/>
    </row>
    <row r="143" spans="1:6" ht="12.75">
      <c r="A143" s="17"/>
      <c r="B143" s="17"/>
      <c r="C143" s="17"/>
      <c r="D143" s="17"/>
      <c r="E143" s="17"/>
      <c r="F143" s="17"/>
    </row>
    <row r="144" spans="1:6" ht="12.75">
      <c r="A144" s="17"/>
      <c r="B144" s="17"/>
      <c r="C144" s="17"/>
      <c r="D144" s="17"/>
      <c r="E144" s="17"/>
      <c r="F144" s="17"/>
    </row>
    <row r="145" spans="1:6" ht="12.75">
      <c r="A145" s="17"/>
      <c r="B145" s="17"/>
      <c r="C145" s="17"/>
      <c r="D145" s="17"/>
      <c r="E145" s="17"/>
      <c r="F145" s="17"/>
    </row>
    <row r="146" spans="1:6" ht="12.75">
      <c r="A146" s="17"/>
      <c r="B146" s="17"/>
      <c r="C146" s="17"/>
      <c r="D146" s="17"/>
      <c r="E146" s="17"/>
      <c r="F146" s="17"/>
    </row>
    <row r="147" spans="1:6" ht="12.75">
      <c r="A147" s="17"/>
      <c r="B147" s="17"/>
      <c r="C147" s="17"/>
      <c r="D147" s="17"/>
      <c r="E147" s="17"/>
      <c r="F147" s="17"/>
    </row>
    <row r="148" spans="1:6" ht="12.75">
      <c r="A148" s="17"/>
      <c r="B148" s="17"/>
      <c r="C148" s="17"/>
      <c r="D148" s="17"/>
      <c r="E148" s="17"/>
      <c r="F148" s="17"/>
    </row>
    <row r="149" spans="1:6" ht="12.75">
      <c r="A149" s="17"/>
      <c r="B149" s="17"/>
      <c r="C149" s="17"/>
      <c r="D149" s="17"/>
      <c r="E149" s="17"/>
      <c r="F149" s="17"/>
    </row>
    <row r="150" spans="1:6" ht="12.75">
      <c r="A150" s="17"/>
      <c r="B150" s="17"/>
      <c r="C150" s="17"/>
      <c r="D150" s="17"/>
      <c r="E150" s="17"/>
      <c r="F150" s="17"/>
    </row>
    <row r="151" spans="1:6" ht="12.75">
      <c r="A151" s="17"/>
      <c r="B151" s="17"/>
      <c r="C151" s="17"/>
      <c r="D151" s="17"/>
      <c r="E151" s="17"/>
      <c r="F151" s="17"/>
    </row>
    <row r="152" spans="1:6" ht="12.75">
      <c r="A152" s="17"/>
      <c r="B152" s="17"/>
      <c r="C152" s="17"/>
      <c r="D152" s="17"/>
      <c r="E152" s="17"/>
      <c r="F152" s="17"/>
    </row>
    <row r="153" spans="1:6" ht="12.75">
      <c r="A153" s="17"/>
      <c r="B153" s="17"/>
      <c r="C153" s="17"/>
      <c r="D153" s="17"/>
      <c r="E153" s="17"/>
      <c r="F153" s="17"/>
    </row>
    <row r="154" spans="1:6" ht="12.75">
      <c r="A154" s="17"/>
      <c r="B154" s="17"/>
      <c r="C154" s="17"/>
      <c r="D154" s="17"/>
      <c r="E154" s="17"/>
      <c r="F154" s="17"/>
    </row>
    <row r="155" spans="1:6" ht="12.75">
      <c r="A155" s="17"/>
      <c r="B155" s="17"/>
      <c r="C155" s="17"/>
      <c r="D155" s="17"/>
      <c r="E155" s="17"/>
      <c r="F155" s="17"/>
    </row>
    <row r="156" spans="1:6" ht="12.75">
      <c r="A156" s="17"/>
      <c r="B156" s="17"/>
      <c r="C156" s="17"/>
      <c r="D156" s="17"/>
      <c r="E156" s="17"/>
      <c r="F156" s="17"/>
    </row>
    <row r="157" spans="1:6" ht="12.75">
      <c r="A157" s="17"/>
      <c r="B157" s="17"/>
      <c r="C157" s="17"/>
      <c r="D157" s="17"/>
      <c r="E157" s="17"/>
      <c r="F157" s="17"/>
    </row>
    <row r="158" spans="1:6" ht="12.75">
      <c r="A158" s="17"/>
      <c r="B158" s="17"/>
      <c r="C158" s="17"/>
      <c r="D158" s="17"/>
      <c r="E158" s="17"/>
      <c r="F158" s="17"/>
    </row>
    <row r="159" spans="1:6" ht="12.75">
      <c r="A159" s="17"/>
      <c r="B159" s="17"/>
      <c r="C159" s="17"/>
      <c r="D159" s="17"/>
      <c r="E159" s="17"/>
      <c r="F159" s="17"/>
    </row>
    <row r="160" spans="1:6" ht="12.75">
      <c r="A160" s="17"/>
      <c r="B160" s="17"/>
      <c r="C160" s="17"/>
      <c r="D160" s="17"/>
      <c r="E160" s="17"/>
      <c r="F160" s="17"/>
    </row>
    <row r="161" spans="1:6" ht="12.75">
      <c r="A161" s="17"/>
      <c r="B161" s="17"/>
      <c r="C161" s="17"/>
      <c r="D161" s="17"/>
      <c r="E161" s="17"/>
      <c r="F161" s="17"/>
    </row>
    <row r="162" spans="1:6" ht="12.75">
      <c r="A162" s="17"/>
      <c r="B162" s="17"/>
      <c r="C162" s="17"/>
      <c r="D162" s="17"/>
      <c r="E162" s="17"/>
      <c r="F162" s="17"/>
    </row>
    <row r="163" spans="1:6" ht="12.75">
      <c r="A163" s="17"/>
      <c r="B163" s="17"/>
      <c r="C163" s="17"/>
      <c r="D163" s="17"/>
      <c r="E163" s="17"/>
      <c r="F163" s="17"/>
    </row>
    <row r="164" spans="1:6" ht="12.75">
      <c r="A164" s="17"/>
      <c r="B164" s="17"/>
      <c r="C164" s="17"/>
      <c r="D164" s="17"/>
      <c r="E164" s="17"/>
      <c r="F164" s="17"/>
    </row>
    <row r="165" spans="1:6" ht="12.75">
      <c r="A165" s="17"/>
      <c r="B165" s="17"/>
      <c r="C165" s="17"/>
      <c r="D165" s="17"/>
      <c r="E165" s="17"/>
      <c r="F165" s="17"/>
    </row>
    <row r="166" spans="1:6" ht="12.75">
      <c r="A166" s="17"/>
      <c r="B166" s="17"/>
      <c r="C166" s="17"/>
      <c r="D166" s="17"/>
      <c r="E166" s="17"/>
      <c r="F166" s="17"/>
    </row>
    <row r="167" spans="1:6" ht="12.75">
      <c r="A167" s="17"/>
      <c r="B167" s="17"/>
      <c r="C167" s="17"/>
      <c r="D167" s="17"/>
      <c r="E167" s="17"/>
      <c r="F167" s="17"/>
    </row>
    <row r="168" spans="1:6" ht="12.75">
      <c r="A168" s="17"/>
      <c r="B168" s="17"/>
      <c r="C168" s="17"/>
      <c r="D168" s="17"/>
      <c r="E168" s="17"/>
      <c r="F168" s="17"/>
    </row>
    <row r="169" spans="1:6" ht="12.75">
      <c r="A169" s="17"/>
      <c r="B169" s="17"/>
      <c r="C169" s="17"/>
      <c r="D169" s="17"/>
      <c r="E169" s="17"/>
      <c r="F169" s="17"/>
    </row>
    <row r="170" spans="1:6" ht="12.75">
      <c r="A170" s="17"/>
      <c r="B170" s="17"/>
      <c r="C170" s="17"/>
      <c r="D170" s="17"/>
      <c r="E170" s="17"/>
      <c r="F170" s="17"/>
    </row>
    <row r="171" spans="1:6" ht="12.75">
      <c r="A171" s="17"/>
      <c r="B171" s="17"/>
      <c r="C171" s="17"/>
      <c r="D171" s="17"/>
      <c r="E171" s="17"/>
      <c r="F171" s="17"/>
    </row>
    <row r="172" spans="1:6" ht="12.75">
      <c r="A172" s="17"/>
      <c r="B172" s="17"/>
      <c r="C172" s="17"/>
      <c r="D172" s="17"/>
      <c r="E172" s="17"/>
      <c r="F172" s="17"/>
    </row>
    <row r="173" spans="1:6" ht="12.75">
      <c r="A173" s="17"/>
      <c r="B173" s="17"/>
      <c r="C173" s="17"/>
      <c r="D173" s="17"/>
      <c r="E173" s="17"/>
      <c r="F173" s="17"/>
    </row>
    <row r="174" spans="1:6" ht="12.75">
      <c r="A174" s="17"/>
      <c r="B174" s="17"/>
      <c r="C174" s="17"/>
      <c r="D174" s="17"/>
      <c r="E174" s="17"/>
      <c r="F174" s="17"/>
    </row>
    <row r="175" spans="1:6" ht="12.75">
      <c r="A175" s="17"/>
      <c r="B175" s="17"/>
      <c r="C175" s="17"/>
      <c r="D175" s="17"/>
      <c r="E175" s="17"/>
      <c r="F175" s="17"/>
    </row>
    <row r="176" spans="1:6" ht="12.75">
      <c r="A176" s="17"/>
      <c r="B176" s="17"/>
      <c r="C176" s="17"/>
      <c r="D176" s="17"/>
      <c r="E176" s="17"/>
      <c r="F176" s="17"/>
    </row>
    <row r="177" spans="1:6" ht="12.75">
      <c r="A177" s="17"/>
      <c r="B177" s="17"/>
      <c r="C177" s="17"/>
      <c r="D177" s="17"/>
      <c r="E177" s="17"/>
      <c r="F177" s="17"/>
    </row>
    <row r="178" spans="1:6" ht="12.75">
      <c r="A178" s="17"/>
      <c r="B178" s="17"/>
      <c r="C178" s="17"/>
      <c r="D178" s="17"/>
      <c r="E178" s="17"/>
      <c r="F178" s="17"/>
    </row>
    <row r="179" spans="1:6" ht="12.75">
      <c r="A179" s="17"/>
      <c r="B179" s="17"/>
      <c r="C179" s="17"/>
      <c r="D179" s="17"/>
      <c r="E179" s="17"/>
      <c r="F179" s="17"/>
    </row>
    <row r="180" spans="1:6" ht="12.75">
      <c r="A180" s="17"/>
      <c r="B180" s="17"/>
      <c r="C180" s="17"/>
      <c r="D180" s="17"/>
      <c r="E180" s="17"/>
      <c r="F180" s="17"/>
    </row>
    <row r="181" spans="1:6" ht="12.75">
      <c r="A181" s="17"/>
      <c r="B181" s="17"/>
      <c r="C181" s="17"/>
      <c r="D181" s="17"/>
      <c r="E181" s="17"/>
      <c r="F181" s="17"/>
    </row>
    <row r="182" spans="1:6" ht="12.75">
      <c r="A182" s="17"/>
      <c r="B182" s="17"/>
      <c r="C182" s="17"/>
      <c r="D182" s="17"/>
      <c r="E182" s="17"/>
      <c r="F182" s="17"/>
    </row>
    <row r="183" spans="1:6" ht="12.75">
      <c r="A183" s="17"/>
      <c r="B183" s="17"/>
      <c r="C183" s="17"/>
      <c r="D183" s="17"/>
      <c r="E183" s="17"/>
      <c r="F183" s="17"/>
    </row>
    <row r="184" spans="1:6" ht="12.75">
      <c r="A184" s="17"/>
      <c r="B184" s="17"/>
      <c r="C184" s="17"/>
      <c r="D184" s="17"/>
      <c r="E184" s="17"/>
      <c r="F184" s="17"/>
    </row>
    <row r="185" spans="1:6" ht="12.75">
      <c r="A185" s="17"/>
      <c r="B185" s="17"/>
      <c r="C185" s="17"/>
      <c r="D185" s="17"/>
      <c r="E185" s="17"/>
      <c r="F185" s="17"/>
    </row>
    <row r="186" spans="1:6" ht="12.75">
      <c r="A186" s="17"/>
      <c r="B186" s="17"/>
      <c r="C186" s="17"/>
      <c r="D186" s="17"/>
      <c r="E186" s="17"/>
      <c r="F186" s="17"/>
    </row>
    <row r="187" spans="1:6" ht="12.75">
      <c r="A187" s="17"/>
      <c r="B187" s="17"/>
      <c r="C187" s="17"/>
      <c r="D187" s="17"/>
      <c r="E187" s="17"/>
      <c r="F187" s="17"/>
    </row>
    <row r="188" spans="1:6" ht="12.75">
      <c r="A188" s="17"/>
      <c r="B188" s="17"/>
      <c r="C188" s="17"/>
      <c r="D188" s="17"/>
      <c r="E188" s="17"/>
      <c r="F188" s="17"/>
    </row>
    <row r="189" spans="1:6" ht="12.75">
      <c r="A189" s="17"/>
      <c r="B189" s="17"/>
      <c r="C189" s="17"/>
      <c r="D189" s="17"/>
      <c r="E189" s="17"/>
      <c r="F189" s="17"/>
    </row>
    <row r="190" spans="1:6" ht="12.75">
      <c r="A190" s="17"/>
      <c r="B190" s="17"/>
      <c r="C190" s="17"/>
      <c r="D190" s="17"/>
      <c r="E190" s="17"/>
      <c r="F190" s="17"/>
    </row>
    <row r="191" spans="1:6" ht="12.75">
      <c r="A191" s="17"/>
      <c r="B191" s="17"/>
      <c r="C191" s="17"/>
      <c r="D191" s="17"/>
      <c r="E191" s="17"/>
      <c r="F191" s="17"/>
    </row>
    <row r="192" spans="1:6" ht="12.75">
      <c r="A192" s="17"/>
      <c r="B192" s="17"/>
      <c r="C192" s="17"/>
      <c r="D192" s="17"/>
      <c r="E192" s="17"/>
      <c r="F192" s="17"/>
    </row>
    <row r="193" spans="1:6" ht="12.75">
      <c r="A193" s="17"/>
      <c r="B193" s="17"/>
      <c r="C193" s="17"/>
      <c r="D193" s="17"/>
      <c r="E193" s="17"/>
      <c r="F193" s="17"/>
    </row>
    <row r="194" spans="1:6" ht="12.75">
      <c r="A194" s="17"/>
      <c r="B194" s="17"/>
      <c r="C194" s="17"/>
      <c r="D194" s="17"/>
      <c r="E194" s="17"/>
      <c r="F194" s="17"/>
    </row>
    <row r="195" spans="1:6" ht="12.75">
      <c r="A195" s="17"/>
      <c r="B195" s="17"/>
      <c r="C195" s="17"/>
      <c r="D195" s="17"/>
      <c r="E195" s="17"/>
      <c r="F195" s="17"/>
    </row>
    <row r="196" spans="1:6" ht="12.75">
      <c r="A196" s="17"/>
      <c r="B196" s="17"/>
      <c r="C196" s="17"/>
      <c r="D196" s="17"/>
      <c r="E196" s="17"/>
      <c r="F196" s="17"/>
    </row>
    <row r="197" spans="1:6" ht="12.75">
      <c r="A197" s="17"/>
      <c r="B197" s="17"/>
      <c r="C197" s="17"/>
      <c r="D197" s="17"/>
      <c r="E197" s="17"/>
      <c r="F197" s="17"/>
    </row>
    <row r="198" spans="1:6" ht="12.75">
      <c r="A198" s="17"/>
      <c r="B198" s="17"/>
      <c r="C198" s="17"/>
      <c r="D198" s="17"/>
      <c r="E198" s="17"/>
      <c r="F198" s="17"/>
    </row>
    <row r="199" spans="1:6" ht="12.75">
      <c r="A199" s="17"/>
      <c r="B199" s="17"/>
      <c r="C199" s="17"/>
      <c r="D199" s="17"/>
      <c r="E199" s="17"/>
      <c r="F199" s="17"/>
    </row>
    <row r="200" spans="1:6" ht="12.75">
      <c r="A200" s="17"/>
      <c r="B200" s="17"/>
      <c r="C200" s="17"/>
      <c r="D200" s="17"/>
      <c r="E200" s="17"/>
      <c r="F200" s="17"/>
    </row>
    <row r="201" spans="1:6" ht="12.75">
      <c r="A201" s="17"/>
      <c r="B201" s="17"/>
      <c r="C201" s="17"/>
      <c r="D201" s="17"/>
      <c r="E201" s="17"/>
      <c r="F201" s="17"/>
    </row>
    <row r="202" spans="1:6" ht="12.75">
      <c r="A202" s="17"/>
      <c r="B202" s="17"/>
      <c r="C202" s="17"/>
      <c r="D202" s="17"/>
      <c r="E202" s="17"/>
      <c r="F202" s="17"/>
    </row>
    <row r="203" spans="1:6" ht="12.75">
      <c r="A203" s="17"/>
      <c r="B203" s="17"/>
      <c r="C203" s="17"/>
      <c r="D203" s="17"/>
      <c r="E203" s="17"/>
      <c r="F203" s="17"/>
    </row>
    <row r="204" spans="1:6" ht="12.75">
      <c r="A204" s="17"/>
      <c r="B204" s="17"/>
      <c r="C204" s="17"/>
      <c r="D204" s="17"/>
      <c r="E204" s="17"/>
      <c r="F204" s="17"/>
    </row>
    <row r="205" spans="1:6" ht="12.75">
      <c r="A205" s="17"/>
      <c r="B205" s="17"/>
      <c r="C205" s="17"/>
      <c r="D205" s="17"/>
      <c r="E205" s="17"/>
      <c r="F205" s="17"/>
    </row>
    <row r="206" spans="1:6" ht="12.75">
      <c r="A206" s="17"/>
      <c r="B206" s="17"/>
      <c r="C206" s="17"/>
      <c r="D206" s="17"/>
      <c r="E206" s="17"/>
      <c r="F206" s="17"/>
    </row>
    <row r="207" spans="1:6" ht="12.75">
      <c r="A207" s="17"/>
      <c r="B207" s="17"/>
      <c r="C207" s="17"/>
      <c r="D207" s="17"/>
      <c r="E207" s="17"/>
      <c r="F207" s="17"/>
    </row>
    <row r="208" spans="1:6" ht="12.75">
      <c r="A208" s="17"/>
      <c r="B208" s="17"/>
      <c r="C208" s="17"/>
      <c r="D208" s="17"/>
      <c r="E208" s="17"/>
      <c r="F208" s="17"/>
    </row>
    <row r="209" spans="1:6" ht="12.75">
      <c r="A209" s="17"/>
      <c r="B209" s="17"/>
      <c r="C209" s="17"/>
      <c r="D209" s="17"/>
      <c r="E209" s="17"/>
      <c r="F209" s="17"/>
    </row>
    <row r="210" spans="1:6" ht="12.75">
      <c r="A210" s="17"/>
      <c r="B210" s="17"/>
      <c r="C210" s="17"/>
      <c r="D210" s="17"/>
      <c r="E210" s="17"/>
      <c r="F210" s="17"/>
    </row>
    <row r="211" spans="1:6" ht="12.75">
      <c r="A211" s="17"/>
      <c r="B211" s="17"/>
      <c r="C211" s="17"/>
      <c r="D211" s="17"/>
      <c r="E211" s="17"/>
      <c r="F211" s="17"/>
    </row>
    <row r="212" spans="1:6" ht="12.75">
      <c r="A212" s="17"/>
      <c r="B212" s="17"/>
      <c r="C212" s="17"/>
      <c r="D212" s="17"/>
      <c r="E212" s="17"/>
      <c r="F212" s="17"/>
    </row>
    <row r="213" spans="1:6" ht="12.75">
      <c r="A213" s="17"/>
      <c r="B213" s="17"/>
      <c r="C213" s="17"/>
      <c r="D213" s="17"/>
      <c r="E213" s="17"/>
      <c r="F213" s="17"/>
    </row>
    <row r="214" spans="1:6" ht="12.75">
      <c r="A214" s="17"/>
      <c r="B214" s="17"/>
      <c r="C214" s="17"/>
      <c r="D214" s="17"/>
      <c r="E214" s="17"/>
      <c r="F214" s="17"/>
    </row>
    <row r="215" spans="1:6" ht="12.75">
      <c r="A215" s="17"/>
      <c r="B215" s="17"/>
      <c r="C215" s="17"/>
      <c r="D215" s="17"/>
      <c r="E215" s="17"/>
      <c r="F215" s="17"/>
    </row>
    <row r="216" spans="1:6" ht="12.75">
      <c r="A216" s="17"/>
      <c r="B216" s="17"/>
      <c r="C216" s="17"/>
      <c r="D216" s="17"/>
      <c r="E216" s="17"/>
      <c r="F216" s="17"/>
    </row>
    <row r="217" spans="1:6" ht="12.75">
      <c r="A217" s="17"/>
      <c r="B217" s="17"/>
      <c r="C217" s="17"/>
      <c r="D217" s="17"/>
      <c r="E217" s="17"/>
      <c r="F217" s="17"/>
    </row>
    <row r="218" spans="1:6" ht="12.75">
      <c r="A218" s="17"/>
      <c r="B218" s="17"/>
      <c r="C218" s="17"/>
      <c r="D218" s="17"/>
      <c r="E218" s="17"/>
      <c r="F218" s="17"/>
    </row>
    <row r="219" spans="1:6" ht="12.75">
      <c r="A219" s="17"/>
      <c r="B219" s="17"/>
      <c r="C219" s="17"/>
      <c r="D219" s="17"/>
      <c r="E219" s="17"/>
      <c r="F219" s="17"/>
    </row>
    <row r="220" spans="1:6" ht="12.75">
      <c r="A220" s="17"/>
      <c r="B220" s="17"/>
      <c r="C220" s="17"/>
      <c r="D220" s="17"/>
      <c r="E220" s="17"/>
      <c r="F220" s="17"/>
    </row>
    <row r="221" spans="1:6" ht="12.75">
      <c r="A221" s="17"/>
      <c r="B221" s="17"/>
      <c r="C221" s="17"/>
      <c r="D221" s="17"/>
      <c r="E221" s="17"/>
      <c r="F221" s="17"/>
    </row>
    <row r="222" spans="1:6" ht="12.75">
      <c r="A222" s="17"/>
      <c r="B222" s="17"/>
      <c r="C222" s="17"/>
      <c r="D222" s="17"/>
      <c r="E222" s="17"/>
      <c r="F222" s="17"/>
    </row>
    <row r="223" spans="1:6" ht="12.75">
      <c r="A223" s="17"/>
      <c r="B223" s="17"/>
      <c r="C223" s="17"/>
      <c r="D223" s="17"/>
      <c r="E223" s="17"/>
      <c r="F223" s="17"/>
    </row>
    <row r="224" spans="1:6" ht="12.75">
      <c r="A224" s="17"/>
      <c r="B224" s="17"/>
      <c r="C224" s="17"/>
      <c r="D224" s="17"/>
      <c r="E224" s="17"/>
      <c r="F224" s="17"/>
    </row>
    <row r="225" spans="1:6" ht="12.75">
      <c r="A225" s="17"/>
      <c r="B225" s="17"/>
      <c r="C225" s="17"/>
      <c r="D225" s="17"/>
      <c r="E225" s="17"/>
      <c r="F225" s="17"/>
    </row>
    <row r="226" spans="1:6" ht="12.75">
      <c r="A226" s="17"/>
      <c r="B226" s="17"/>
      <c r="C226" s="17"/>
      <c r="D226" s="17"/>
      <c r="E226" s="17"/>
      <c r="F226" s="17"/>
    </row>
    <row r="227" spans="1:6" ht="12.75">
      <c r="A227" s="17"/>
      <c r="B227" s="17"/>
      <c r="C227" s="17"/>
      <c r="D227" s="17"/>
      <c r="E227" s="17"/>
      <c r="F227" s="17"/>
    </row>
    <row r="228" spans="1:6" ht="12.75">
      <c r="A228" s="17"/>
      <c r="B228" s="17"/>
      <c r="C228" s="17"/>
      <c r="D228" s="17"/>
      <c r="E228" s="17"/>
      <c r="F228" s="17"/>
    </row>
    <row r="229" spans="1:6" ht="12.75">
      <c r="A229" s="17"/>
      <c r="B229" s="17"/>
      <c r="C229" s="17"/>
      <c r="D229" s="17"/>
      <c r="E229" s="17"/>
      <c r="F229" s="17"/>
    </row>
    <row r="230" spans="1:6" ht="12.75">
      <c r="A230" s="17"/>
      <c r="B230" s="17"/>
      <c r="C230" s="17"/>
      <c r="D230" s="17"/>
      <c r="E230" s="17"/>
      <c r="F230" s="17"/>
    </row>
    <row r="231" spans="1:6" ht="12.75">
      <c r="A231" s="17"/>
      <c r="B231" s="17"/>
      <c r="C231" s="17"/>
      <c r="D231" s="17"/>
      <c r="E231" s="17"/>
      <c r="F231" s="17"/>
    </row>
    <row r="232" spans="1:6" ht="12.75">
      <c r="A232" s="17"/>
      <c r="B232" s="17"/>
      <c r="C232" s="17"/>
      <c r="D232" s="17"/>
      <c r="E232" s="17"/>
      <c r="F232" s="17"/>
    </row>
    <row r="233" spans="1:6" ht="12.75">
      <c r="A233" s="17"/>
      <c r="B233" s="17"/>
      <c r="C233" s="17"/>
      <c r="D233" s="17"/>
      <c r="E233" s="17"/>
      <c r="F233" s="17"/>
    </row>
    <row r="234" spans="1:6" ht="12.75">
      <c r="A234" s="17"/>
      <c r="B234" s="17"/>
      <c r="C234" s="17"/>
      <c r="D234" s="17"/>
      <c r="E234" s="17"/>
      <c r="F234" s="17"/>
    </row>
    <row r="235" spans="1:6" ht="12.75">
      <c r="A235" s="17"/>
      <c r="B235" s="17"/>
      <c r="C235" s="17"/>
      <c r="D235" s="17"/>
      <c r="E235" s="17"/>
      <c r="F235" s="17"/>
    </row>
    <row r="236" spans="1:6" ht="12.75">
      <c r="A236" s="17"/>
      <c r="B236" s="17"/>
      <c r="C236" s="17"/>
      <c r="D236" s="17"/>
      <c r="E236" s="17"/>
      <c r="F236" s="17"/>
    </row>
    <row r="237" spans="1:6" ht="12.75">
      <c r="A237" s="17"/>
      <c r="B237" s="17"/>
      <c r="C237" s="17"/>
      <c r="D237" s="17"/>
      <c r="E237" s="17"/>
      <c r="F237" s="17"/>
    </row>
    <row r="238" spans="1:6" ht="12.75">
      <c r="A238" s="17"/>
      <c r="B238" s="17"/>
      <c r="C238" s="17"/>
      <c r="D238" s="17"/>
      <c r="E238" s="17"/>
      <c r="F238" s="17"/>
    </row>
    <row r="239" spans="1:6" ht="12.75">
      <c r="A239" s="17"/>
      <c r="B239" s="17"/>
      <c r="C239" s="17"/>
      <c r="D239" s="17"/>
      <c r="E239" s="17"/>
      <c r="F239" s="17"/>
    </row>
    <row r="240" spans="1:6" ht="12.75">
      <c r="A240" s="17"/>
      <c r="B240" s="17"/>
      <c r="C240" s="17"/>
      <c r="D240" s="17"/>
      <c r="E240" s="17"/>
      <c r="F240" s="17"/>
    </row>
    <row r="241" spans="1:6" ht="12.75">
      <c r="A241" s="17"/>
      <c r="B241" s="17"/>
      <c r="C241" s="17"/>
      <c r="D241" s="17"/>
      <c r="E241" s="17"/>
      <c r="F241" s="17"/>
    </row>
    <row r="242" spans="1:6" ht="12.75">
      <c r="A242" s="17"/>
      <c r="B242" s="17"/>
      <c r="C242" s="17"/>
      <c r="D242" s="17"/>
      <c r="E242" s="17"/>
      <c r="F242" s="17"/>
    </row>
    <row r="243" spans="1:6" ht="12.75">
      <c r="A243" s="17"/>
      <c r="B243" s="17"/>
      <c r="C243" s="17"/>
      <c r="D243" s="17"/>
      <c r="E243" s="17"/>
      <c r="F243" s="17"/>
    </row>
    <row r="244" spans="1:6" ht="12.75">
      <c r="A244" s="17"/>
      <c r="B244" s="17"/>
      <c r="C244" s="17"/>
      <c r="D244" s="17"/>
      <c r="E244" s="17"/>
      <c r="F244" s="17"/>
    </row>
    <row r="245" spans="1:6" ht="12.75">
      <c r="A245" s="17"/>
      <c r="B245" s="17"/>
      <c r="C245" s="17"/>
      <c r="D245" s="17"/>
      <c r="E245" s="17"/>
      <c r="F245" s="17"/>
    </row>
    <row r="246" spans="1:6" ht="12.75">
      <c r="A246" s="17"/>
      <c r="B246" s="17"/>
      <c r="C246" s="17"/>
      <c r="D246" s="17"/>
      <c r="E246" s="17"/>
      <c r="F246" s="17"/>
    </row>
    <row r="247" spans="1:6" ht="12.75">
      <c r="A247" s="17"/>
      <c r="B247" s="17"/>
      <c r="C247" s="17"/>
      <c r="D247" s="17"/>
      <c r="E247" s="17"/>
      <c r="F247" s="17"/>
    </row>
    <row r="248" spans="1:6" ht="12.75">
      <c r="A248" s="17"/>
      <c r="B248" s="17"/>
      <c r="C248" s="17"/>
      <c r="D248" s="17"/>
      <c r="E248" s="17"/>
      <c r="F248" s="17"/>
    </row>
    <row r="249" spans="1:6" ht="12.75">
      <c r="A249" s="17"/>
      <c r="B249" s="17"/>
      <c r="C249" s="17"/>
      <c r="D249" s="17"/>
      <c r="E249" s="17"/>
      <c r="F249" s="17"/>
    </row>
    <row r="250" spans="1:6" ht="12.75">
      <c r="A250" s="17"/>
      <c r="B250" s="17"/>
      <c r="C250" s="17"/>
      <c r="D250" s="17"/>
      <c r="E250" s="17"/>
      <c r="F250" s="17"/>
    </row>
    <row r="251" spans="1:6" ht="12.75">
      <c r="A251" s="17"/>
      <c r="B251" s="17"/>
      <c r="C251" s="17"/>
      <c r="D251" s="17"/>
      <c r="E251" s="17"/>
      <c r="F251" s="17"/>
    </row>
    <row r="252" spans="1:6" ht="12.75">
      <c r="A252" s="17"/>
      <c r="B252" s="17"/>
      <c r="C252" s="17"/>
      <c r="D252" s="17"/>
      <c r="E252" s="17"/>
      <c r="F252" s="17"/>
    </row>
    <row r="253" spans="1:6" ht="12.75">
      <c r="A253" s="17"/>
      <c r="B253" s="17"/>
      <c r="C253" s="17"/>
      <c r="D253" s="17"/>
      <c r="E253" s="17"/>
      <c r="F253" s="17"/>
    </row>
    <row r="254" spans="1:6" ht="12.75">
      <c r="A254" s="17"/>
      <c r="B254" s="17"/>
      <c r="C254" s="17"/>
      <c r="D254" s="17"/>
      <c r="E254" s="17"/>
      <c r="F254" s="17"/>
    </row>
    <row r="255" spans="1:6" ht="12.75">
      <c r="A255" s="17"/>
      <c r="B255" s="17"/>
      <c r="C255" s="17"/>
      <c r="D255" s="17"/>
      <c r="E255" s="17"/>
      <c r="F255" s="17"/>
    </row>
    <row r="256" spans="1:6" ht="12.75">
      <c r="A256" s="17"/>
      <c r="B256" s="17"/>
      <c r="C256" s="17"/>
      <c r="D256" s="17"/>
      <c r="E256" s="17"/>
      <c r="F256" s="17"/>
    </row>
    <row r="257" spans="1:6" ht="12.75">
      <c r="A257" s="17"/>
      <c r="B257" s="17"/>
      <c r="C257" s="17"/>
      <c r="D257" s="17"/>
      <c r="E257" s="17"/>
      <c r="F257" s="17"/>
    </row>
    <row r="258" spans="1:6" ht="12.75">
      <c r="A258" s="17"/>
      <c r="B258" s="17"/>
      <c r="C258" s="17"/>
      <c r="D258" s="17"/>
      <c r="E258" s="17"/>
      <c r="F258" s="17"/>
    </row>
    <row r="259" spans="1:6" ht="12.75">
      <c r="A259" s="17"/>
      <c r="B259" s="17"/>
      <c r="C259" s="17"/>
      <c r="D259" s="17"/>
      <c r="E259" s="17"/>
      <c r="F259" s="17"/>
    </row>
    <row r="260" spans="1:6" ht="12.75">
      <c r="A260" s="17"/>
      <c r="B260" s="17"/>
      <c r="C260" s="17"/>
      <c r="D260" s="17"/>
      <c r="E260" s="17"/>
      <c r="F260" s="17"/>
    </row>
    <row r="261" spans="1:6" ht="12.75">
      <c r="A261" s="17"/>
      <c r="B261" s="17"/>
      <c r="C261" s="17"/>
      <c r="D261" s="17"/>
      <c r="E261" s="17"/>
      <c r="F261" s="17"/>
    </row>
    <row r="262" spans="1:6" ht="12.75">
      <c r="A262" s="17"/>
      <c r="B262" s="17"/>
      <c r="C262" s="17"/>
      <c r="D262" s="17"/>
      <c r="E262" s="17"/>
      <c r="F262" s="17"/>
    </row>
    <row r="263" spans="1:6" ht="12.75">
      <c r="A263" s="17"/>
      <c r="B263" s="17"/>
      <c r="C263" s="17"/>
      <c r="D263" s="17"/>
      <c r="E263" s="17"/>
      <c r="F263" s="17"/>
    </row>
    <row r="264" spans="1:6" ht="12.75">
      <c r="A264" s="17"/>
      <c r="B264" s="17"/>
      <c r="C264" s="17"/>
      <c r="D264" s="17"/>
      <c r="E264" s="17"/>
      <c r="F264" s="17"/>
    </row>
    <row r="265" spans="1:6" ht="12.75">
      <c r="A265" s="17"/>
      <c r="B265" s="17"/>
      <c r="C265" s="17"/>
      <c r="D265" s="17"/>
      <c r="E265" s="17"/>
      <c r="F265" s="17"/>
    </row>
    <row r="266" spans="1:6" ht="12.75">
      <c r="A266" s="17"/>
      <c r="B266" s="17"/>
      <c r="C266" s="17"/>
      <c r="D266" s="17"/>
      <c r="E266" s="17"/>
      <c r="F266" s="17"/>
    </row>
    <row r="267" spans="1:6" ht="12.75">
      <c r="A267" s="17"/>
      <c r="B267" s="17"/>
      <c r="C267" s="17"/>
      <c r="D267" s="17"/>
      <c r="E267" s="17"/>
      <c r="F267" s="17"/>
    </row>
    <row r="268" spans="1:6" ht="12.75">
      <c r="A268" s="17"/>
      <c r="B268" s="17"/>
      <c r="C268" s="17"/>
      <c r="D268" s="17"/>
      <c r="E268" s="17"/>
      <c r="F268" s="17"/>
    </row>
    <row r="269" spans="1:6" ht="12.75">
      <c r="A269" s="17"/>
      <c r="B269" s="17"/>
      <c r="C269" s="17"/>
      <c r="D269" s="17"/>
      <c r="E269" s="17"/>
      <c r="F269" s="17"/>
    </row>
    <row r="270" spans="1:6" ht="12.75">
      <c r="A270" s="17"/>
      <c r="B270" s="17"/>
      <c r="C270" s="17"/>
      <c r="D270" s="17"/>
      <c r="E270" s="17"/>
      <c r="F270" s="17"/>
    </row>
    <row r="271" spans="1:6" ht="12.75">
      <c r="A271" s="17"/>
      <c r="B271" s="17"/>
      <c r="C271" s="17"/>
      <c r="D271" s="17"/>
      <c r="E271" s="17"/>
      <c r="F271" s="17"/>
    </row>
    <row r="272" spans="1:6" ht="12.75">
      <c r="A272" s="17"/>
      <c r="B272" s="17"/>
      <c r="C272" s="17"/>
      <c r="D272" s="17"/>
      <c r="E272" s="17"/>
      <c r="F272" s="17"/>
    </row>
    <row r="273" spans="1:6" ht="12.75">
      <c r="A273" s="17"/>
      <c r="B273" s="17"/>
      <c r="C273" s="17"/>
      <c r="D273" s="17"/>
      <c r="E273" s="17"/>
      <c r="F273" s="17"/>
    </row>
    <row r="274" spans="1:6" ht="12.75">
      <c r="A274" s="17"/>
      <c r="B274" s="17"/>
      <c r="C274" s="17"/>
      <c r="D274" s="17"/>
      <c r="E274" s="17"/>
      <c r="F274" s="17"/>
    </row>
    <row r="275" spans="1:6" ht="12.75">
      <c r="A275" s="17"/>
      <c r="B275" s="17"/>
      <c r="C275" s="17"/>
      <c r="D275" s="17"/>
      <c r="E275" s="17"/>
      <c r="F275" s="17"/>
    </row>
    <row r="276" spans="1:6" ht="12.75">
      <c r="A276" s="17"/>
      <c r="B276" s="17"/>
      <c r="C276" s="17"/>
      <c r="D276" s="17"/>
      <c r="E276" s="17"/>
      <c r="F276" s="17"/>
    </row>
    <row r="277" spans="1:6" ht="12.75">
      <c r="A277" s="17"/>
      <c r="B277" s="17"/>
      <c r="C277" s="17"/>
      <c r="D277" s="17"/>
      <c r="E277" s="17"/>
      <c r="F277" s="17"/>
    </row>
    <row r="278" spans="1:6" ht="12.75">
      <c r="A278" s="17"/>
      <c r="B278" s="17"/>
      <c r="C278" s="17"/>
      <c r="D278" s="17"/>
      <c r="E278" s="17"/>
      <c r="F278" s="17"/>
    </row>
    <row r="279" spans="1:6" ht="12.75">
      <c r="A279" s="17"/>
      <c r="B279" s="17"/>
      <c r="C279" s="17"/>
      <c r="D279" s="17"/>
      <c r="E279" s="17"/>
      <c r="F279" s="17"/>
    </row>
    <row r="280" spans="1:6" ht="12.75">
      <c r="A280" s="17"/>
      <c r="B280" s="17"/>
      <c r="C280" s="17"/>
      <c r="D280" s="17"/>
      <c r="E280" s="17"/>
      <c r="F280" s="17"/>
    </row>
    <row r="281" spans="1:6" ht="12.75">
      <c r="A281" s="17"/>
      <c r="B281" s="17"/>
      <c r="C281" s="17"/>
      <c r="D281" s="17"/>
      <c r="E281" s="17"/>
      <c r="F281" s="17"/>
    </row>
    <row r="282" spans="1:6" ht="12.75">
      <c r="A282" s="17"/>
      <c r="B282" s="17"/>
      <c r="C282" s="17"/>
      <c r="D282" s="17"/>
      <c r="E282" s="17"/>
      <c r="F282" s="17"/>
    </row>
    <row r="283" spans="1:6" ht="12.75">
      <c r="A283" s="17"/>
      <c r="B283" s="17"/>
      <c r="C283" s="17"/>
      <c r="D283" s="17"/>
      <c r="E283" s="17"/>
      <c r="F283" s="17"/>
    </row>
    <row r="284" spans="1:6" ht="12.75">
      <c r="A284" s="17"/>
      <c r="B284" s="17"/>
      <c r="C284" s="17"/>
      <c r="D284" s="17"/>
      <c r="E284" s="17"/>
      <c r="F284" s="17"/>
    </row>
    <row r="285" spans="1:6" ht="12.75">
      <c r="A285" s="17"/>
      <c r="B285" s="17"/>
      <c r="C285" s="17"/>
      <c r="D285" s="17"/>
      <c r="E285" s="17"/>
      <c r="F285" s="17"/>
    </row>
    <row r="286" spans="1:6" ht="12.75">
      <c r="A286" s="17"/>
      <c r="B286" s="17"/>
      <c r="C286" s="17"/>
      <c r="D286" s="17"/>
      <c r="E286" s="17"/>
      <c r="F286" s="17"/>
    </row>
    <row r="287" spans="1:6" ht="12.75">
      <c r="A287" s="17"/>
      <c r="B287" s="17"/>
      <c r="C287" s="17"/>
      <c r="D287" s="17"/>
      <c r="E287" s="17"/>
      <c r="F287" s="17"/>
    </row>
    <row r="288" spans="1:6" ht="12.75">
      <c r="A288" s="17"/>
      <c r="B288" s="17"/>
      <c r="C288" s="17"/>
      <c r="D288" s="17"/>
      <c r="E288" s="17"/>
      <c r="F288" s="17"/>
    </row>
    <row r="289" spans="1:6" ht="12.75">
      <c r="A289" s="17"/>
      <c r="B289" s="17"/>
      <c r="C289" s="17"/>
      <c r="D289" s="17"/>
      <c r="E289" s="17"/>
      <c r="F289" s="17"/>
    </row>
    <row r="290" spans="1:6" ht="12.75">
      <c r="A290" s="17"/>
      <c r="B290" s="17"/>
      <c r="C290" s="17"/>
      <c r="D290" s="17"/>
      <c r="E290" s="17"/>
      <c r="F290" s="17"/>
    </row>
    <row r="291" spans="1:6" ht="12.75">
      <c r="A291" s="17"/>
      <c r="B291" s="17"/>
      <c r="C291" s="17"/>
      <c r="D291" s="17"/>
      <c r="E291" s="17"/>
      <c r="F291" s="17"/>
    </row>
    <row r="292" spans="1:6" ht="12.75">
      <c r="A292" s="17"/>
      <c r="B292" s="17"/>
      <c r="C292" s="17"/>
      <c r="D292" s="17"/>
      <c r="E292" s="17"/>
      <c r="F292" s="17"/>
    </row>
    <row r="293" spans="1:6" ht="12.75">
      <c r="A293" s="17"/>
      <c r="B293" s="17"/>
      <c r="C293" s="17"/>
      <c r="D293" s="17"/>
      <c r="E293" s="17"/>
      <c r="F293" s="17"/>
    </row>
    <row r="294" spans="1:6" ht="12.75">
      <c r="A294" s="17"/>
      <c r="B294" s="17"/>
      <c r="C294" s="17"/>
      <c r="D294" s="17"/>
      <c r="E294" s="17"/>
      <c r="F294" s="17"/>
    </row>
    <row r="295" spans="1:6" ht="12.75">
      <c r="A295" s="17"/>
      <c r="B295" s="17"/>
      <c r="C295" s="17"/>
      <c r="D295" s="17"/>
      <c r="E295" s="17"/>
      <c r="F295" s="17"/>
    </row>
    <row r="296" spans="1:6" ht="12.75">
      <c r="A296" s="17"/>
      <c r="B296" s="17"/>
      <c r="C296" s="17"/>
      <c r="D296" s="17"/>
      <c r="E296" s="17"/>
      <c r="F296" s="17"/>
    </row>
    <row r="297" spans="1:6" ht="12.75">
      <c r="A297" s="17"/>
      <c r="B297" s="17"/>
      <c r="C297" s="17"/>
      <c r="D297" s="17"/>
      <c r="E297" s="17"/>
      <c r="F297" s="17"/>
    </row>
    <row r="298" spans="1:6" ht="12.75">
      <c r="A298" s="17"/>
      <c r="B298" s="17"/>
      <c r="C298" s="17"/>
      <c r="D298" s="17"/>
      <c r="E298" s="17"/>
      <c r="F298" s="17"/>
    </row>
    <row r="299" spans="1:6" ht="12.75">
      <c r="A299" s="17"/>
      <c r="B299" s="17"/>
      <c r="C299" s="17"/>
      <c r="D299" s="17"/>
      <c r="E299" s="17"/>
      <c r="F299" s="17"/>
    </row>
    <row r="300" spans="1:6" ht="12.75">
      <c r="A300" s="17"/>
      <c r="B300" s="17"/>
      <c r="C300" s="17"/>
      <c r="D300" s="17"/>
      <c r="E300" s="17"/>
      <c r="F300" s="17"/>
    </row>
    <row r="301" spans="1:6" ht="12.75">
      <c r="A301" s="17"/>
      <c r="B301" s="17"/>
      <c r="C301" s="17"/>
      <c r="D301" s="17"/>
      <c r="E301" s="17"/>
      <c r="F301" s="17"/>
    </row>
    <row r="302" spans="1:6" ht="12.75">
      <c r="A302" s="17"/>
      <c r="B302" s="17"/>
      <c r="C302" s="17"/>
      <c r="D302" s="17"/>
      <c r="E302" s="17"/>
      <c r="F302" s="17"/>
    </row>
    <row r="303" spans="1:6" ht="12.75">
      <c r="A303" s="17"/>
      <c r="B303" s="17"/>
      <c r="C303" s="17"/>
      <c r="D303" s="17"/>
      <c r="E303" s="17"/>
      <c r="F303" s="17"/>
    </row>
    <row r="304" spans="1:6" ht="12.75">
      <c r="A304" s="17"/>
      <c r="B304" s="17"/>
      <c r="C304" s="17"/>
      <c r="D304" s="17"/>
      <c r="E304" s="17"/>
      <c r="F304" s="17"/>
    </row>
    <row r="305" spans="1:6" ht="12.75">
      <c r="A305" s="17"/>
      <c r="B305" s="17"/>
      <c r="C305" s="17"/>
      <c r="D305" s="17"/>
      <c r="E305" s="17"/>
      <c r="F305" s="17"/>
    </row>
    <row r="306" spans="1:6" ht="12.75">
      <c r="A306" s="17"/>
      <c r="B306" s="17"/>
      <c r="C306" s="17"/>
      <c r="D306" s="17"/>
      <c r="E306" s="17"/>
      <c r="F306" s="17"/>
    </row>
    <row r="307" spans="1:6" ht="12.75">
      <c r="A307" s="17"/>
      <c r="B307" s="17"/>
      <c r="C307" s="17"/>
      <c r="D307" s="17"/>
      <c r="E307" s="17"/>
      <c r="F307" s="17"/>
    </row>
    <row r="308" spans="1:6" ht="12.75">
      <c r="A308" s="17"/>
      <c r="B308" s="17"/>
      <c r="C308" s="17"/>
      <c r="D308" s="17"/>
      <c r="E308" s="17"/>
      <c r="F308" s="17"/>
    </row>
    <row r="309" spans="1:6" ht="12.75">
      <c r="A309" s="17"/>
      <c r="B309" s="17"/>
      <c r="C309" s="17"/>
      <c r="D309" s="17"/>
      <c r="E309" s="17"/>
      <c r="F309" s="17"/>
    </row>
    <row r="310" spans="1:6" ht="12.75">
      <c r="A310" s="17"/>
      <c r="B310" s="17"/>
      <c r="C310" s="17"/>
      <c r="D310" s="17"/>
      <c r="E310" s="17"/>
      <c r="F310" s="17"/>
    </row>
    <row r="311" spans="1:6" ht="12.75">
      <c r="A311" s="17"/>
      <c r="B311" s="17"/>
      <c r="C311" s="17"/>
      <c r="D311" s="17"/>
      <c r="E311" s="17"/>
      <c r="F311" s="17"/>
    </row>
    <row r="312" spans="1:6" ht="12.75">
      <c r="A312" s="17"/>
      <c r="B312" s="17"/>
      <c r="C312" s="17"/>
      <c r="D312" s="17"/>
      <c r="E312" s="17"/>
      <c r="F312" s="17"/>
    </row>
    <row r="313" spans="1:6" ht="12.75">
      <c r="A313" s="17"/>
      <c r="B313" s="17"/>
      <c r="C313" s="17"/>
      <c r="D313" s="17"/>
      <c r="E313" s="17"/>
      <c r="F313" s="17"/>
    </row>
    <row r="314" spans="1:6" ht="12.75">
      <c r="A314" s="17"/>
      <c r="B314" s="17"/>
      <c r="C314" s="17"/>
      <c r="D314" s="17"/>
      <c r="E314" s="17"/>
      <c r="F314" s="17"/>
    </row>
    <row r="315" spans="1:6" ht="12.75">
      <c r="A315" s="17"/>
      <c r="B315" s="17"/>
      <c r="C315" s="17"/>
      <c r="D315" s="17"/>
      <c r="E315" s="17"/>
      <c r="F315" s="17"/>
    </row>
    <row r="316" spans="1:6" ht="12.75">
      <c r="A316" s="17"/>
      <c r="B316" s="17"/>
      <c r="C316" s="17"/>
      <c r="D316" s="17"/>
      <c r="E316" s="17"/>
      <c r="F316" s="17"/>
    </row>
    <row r="317" spans="1:6" ht="12.75">
      <c r="A317" s="17"/>
      <c r="B317" s="17"/>
      <c r="C317" s="17"/>
      <c r="D317" s="17"/>
      <c r="E317" s="17"/>
      <c r="F317" s="17"/>
    </row>
    <row r="318" spans="1:6" ht="12.75">
      <c r="A318" s="17"/>
      <c r="B318" s="17"/>
      <c r="C318" s="17"/>
      <c r="D318" s="17"/>
      <c r="E318" s="17"/>
      <c r="F318" s="17"/>
    </row>
    <row r="319" spans="1:6" ht="12.75">
      <c r="A319" s="17"/>
      <c r="B319" s="17"/>
      <c r="C319" s="17"/>
      <c r="D319" s="17"/>
      <c r="E319" s="17"/>
      <c r="F319" s="17"/>
    </row>
    <row r="320" spans="1:6" ht="12.75">
      <c r="A320" s="17"/>
      <c r="B320" s="17"/>
      <c r="C320" s="17"/>
      <c r="D320" s="17"/>
      <c r="E320" s="17"/>
      <c r="F320" s="17"/>
    </row>
    <row r="321" spans="1:6" ht="12.75">
      <c r="A321" s="17"/>
      <c r="B321" s="17"/>
      <c r="C321" s="17"/>
      <c r="D321" s="17"/>
      <c r="E321" s="17"/>
      <c r="F321" s="17"/>
    </row>
    <row r="322" spans="1:6" ht="12.75">
      <c r="A322" s="17"/>
      <c r="B322" s="17"/>
      <c r="C322" s="17"/>
      <c r="D322" s="17"/>
      <c r="E322" s="17"/>
      <c r="F322" s="17"/>
    </row>
    <row r="323" spans="1:6" ht="12.75">
      <c r="A323" s="17"/>
      <c r="B323" s="17"/>
      <c r="C323" s="17"/>
      <c r="D323" s="17"/>
      <c r="E323" s="17"/>
      <c r="F323" s="17"/>
    </row>
    <row r="324" spans="1:6" ht="12.75">
      <c r="A324" s="17"/>
      <c r="B324" s="17"/>
      <c r="C324" s="17"/>
      <c r="D324" s="17"/>
      <c r="E324" s="17"/>
      <c r="F324" s="17"/>
    </row>
    <row r="325" spans="1:6" ht="12.75">
      <c r="A325" s="17"/>
      <c r="B325" s="17"/>
      <c r="C325" s="17"/>
      <c r="D325" s="17"/>
      <c r="E325" s="17"/>
      <c r="F325" s="17"/>
    </row>
    <row r="326" spans="1:6" ht="12.75">
      <c r="A326" s="17"/>
      <c r="B326" s="17"/>
      <c r="C326" s="17"/>
      <c r="D326" s="17"/>
      <c r="E326" s="17"/>
      <c r="F326" s="17"/>
    </row>
    <row r="327" spans="1:6" ht="12.75">
      <c r="A327" s="17"/>
      <c r="B327" s="17"/>
      <c r="C327" s="17"/>
      <c r="D327" s="17"/>
      <c r="E327" s="17"/>
      <c r="F327" s="17"/>
    </row>
    <row r="328" spans="1:6" ht="12.75">
      <c r="A328" s="17"/>
      <c r="B328" s="17"/>
      <c r="C328" s="17"/>
      <c r="D328" s="17"/>
      <c r="E328" s="17"/>
      <c r="F328" s="17"/>
    </row>
    <row r="329" spans="1:6" ht="12.75">
      <c r="A329" s="17"/>
      <c r="B329" s="17"/>
      <c r="C329" s="17"/>
      <c r="D329" s="17"/>
      <c r="E329" s="17"/>
      <c r="F329" s="17"/>
    </row>
    <row r="330" spans="1:6" ht="12.75">
      <c r="A330" s="17"/>
      <c r="B330" s="17"/>
      <c r="C330" s="17"/>
      <c r="D330" s="17"/>
      <c r="E330" s="17"/>
      <c r="F330" s="17"/>
    </row>
    <row r="331" spans="1:6" ht="12.75">
      <c r="A331" s="17"/>
      <c r="B331" s="17"/>
      <c r="C331" s="17"/>
      <c r="D331" s="17"/>
      <c r="E331" s="17"/>
      <c r="F331" s="17"/>
    </row>
    <row r="332" spans="1:6" ht="12.75">
      <c r="A332" s="17"/>
      <c r="B332" s="17"/>
      <c r="C332" s="17"/>
      <c r="D332" s="17"/>
      <c r="E332" s="17"/>
      <c r="F332" s="17"/>
    </row>
    <row r="333" spans="1:6" ht="12.75">
      <c r="A333" s="17"/>
      <c r="B333" s="17"/>
      <c r="C333" s="17"/>
      <c r="D333" s="17"/>
      <c r="E333" s="17"/>
      <c r="F333" s="17"/>
    </row>
    <row r="334" spans="1:6" ht="12.75">
      <c r="A334" s="17"/>
      <c r="B334" s="17"/>
      <c r="C334" s="17"/>
      <c r="D334" s="17"/>
      <c r="E334" s="17"/>
      <c r="F334" s="17"/>
    </row>
    <row r="335" spans="1:6" ht="12.75">
      <c r="A335" s="17"/>
      <c r="B335" s="17"/>
      <c r="C335" s="17"/>
      <c r="D335" s="17"/>
      <c r="E335" s="17"/>
      <c r="F335" s="17"/>
    </row>
    <row r="336" spans="1:6" ht="12.75">
      <c r="A336" s="17"/>
      <c r="B336" s="17"/>
      <c r="C336" s="17"/>
      <c r="D336" s="17"/>
      <c r="E336" s="17"/>
      <c r="F336" s="17"/>
    </row>
    <row r="337" spans="1:6" ht="12.75">
      <c r="A337" s="17"/>
      <c r="B337" s="17"/>
      <c r="C337" s="17"/>
      <c r="D337" s="17"/>
      <c r="E337" s="17"/>
      <c r="F337" s="17"/>
    </row>
    <row r="338" spans="1:6" ht="12.75">
      <c r="A338" s="17"/>
      <c r="B338" s="17"/>
      <c r="C338" s="17"/>
      <c r="D338" s="17"/>
      <c r="E338" s="17"/>
      <c r="F338" s="17"/>
    </row>
    <row r="339" spans="1:6" ht="12.75">
      <c r="A339" s="17"/>
      <c r="B339" s="17"/>
      <c r="C339" s="17"/>
      <c r="D339" s="17"/>
      <c r="E339" s="17"/>
      <c r="F339" s="17"/>
    </row>
    <row r="340" spans="1:6" ht="12.75">
      <c r="A340" s="17"/>
      <c r="B340" s="17"/>
      <c r="C340" s="17"/>
      <c r="D340" s="17"/>
      <c r="E340" s="17"/>
      <c r="F340" s="17"/>
    </row>
    <row r="341" spans="1:6" ht="12.75">
      <c r="A341" s="17"/>
      <c r="B341" s="17"/>
      <c r="C341" s="17"/>
      <c r="D341" s="17"/>
      <c r="E341" s="17"/>
      <c r="F341" s="17"/>
    </row>
    <row r="342" spans="1:6" ht="12.75">
      <c r="A342" s="17"/>
      <c r="B342" s="17"/>
      <c r="C342" s="17"/>
      <c r="D342" s="17"/>
      <c r="E342" s="17"/>
      <c r="F342" s="17"/>
    </row>
    <row r="343" spans="1:6" ht="12.75">
      <c r="A343" s="17"/>
      <c r="B343" s="17"/>
      <c r="C343" s="17"/>
      <c r="D343" s="17"/>
      <c r="E343" s="17"/>
      <c r="F343" s="17"/>
    </row>
    <row r="344" spans="1:6" ht="12.75">
      <c r="A344" s="17"/>
      <c r="B344" s="17"/>
      <c r="C344" s="17"/>
      <c r="D344" s="17"/>
      <c r="E344" s="17"/>
      <c r="F344" s="17"/>
    </row>
    <row r="345" spans="1:6" ht="12.75">
      <c r="A345" s="17"/>
      <c r="B345" s="17"/>
      <c r="C345" s="17"/>
      <c r="D345" s="17"/>
      <c r="E345" s="17"/>
      <c r="F345" s="17"/>
    </row>
    <row r="346" spans="1:6" ht="12.75">
      <c r="A346" s="17"/>
      <c r="B346" s="17"/>
      <c r="C346" s="17"/>
      <c r="D346" s="17"/>
      <c r="E346" s="17"/>
      <c r="F346" s="17"/>
    </row>
    <row r="347" spans="1:6" ht="12.75">
      <c r="A347" s="17"/>
      <c r="B347" s="17"/>
      <c r="C347" s="17"/>
      <c r="D347" s="17"/>
      <c r="E347" s="17"/>
      <c r="F347" s="17"/>
    </row>
    <row r="348" spans="1:6" ht="12.75">
      <c r="A348" s="17"/>
      <c r="B348" s="17"/>
      <c r="C348" s="17"/>
      <c r="D348" s="17"/>
      <c r="E348" s="17"/>
      <c r="F348" s="17"/>
    </row>
    <row r="349" spans="1:6" ht="12.75">
      <c r="A349" s="17"/>
      <c r="B349" s="17"/>
      <c r="C349" s="17"/>
      <c r="D349" s="17"/>
      <c r="E349" s="17"/>
      <c r="F349" s="17"/>
    </row>
    <row r="350" spans="1:6" ht="12.75">
      <c r="A350" s="17"/>
      <c r="B350" s="17"/>
      <c r="C350" s="17"/>
      <c r="D350" s="17"/>
      <c r="E350" s="17"/>
      <c r="F350" s="17"/>
    </row>
    <row r="351" spans="1:6" ht="12.75">
      <c r="A351" s="17"/>
      <c r="B351" s="17"/>
      <c r="C351" s="17"/>
      <c r="D351" s="17"/>
      <c r="E351" s="17"/>
      <c r="F351" s="17"/>
    </row>
    <row r="352" spans="1:6" ht="12.75">
      <c r="A352" s="17"/>
      <c r="B352" s="17"/>
      <c r="C352" s="17"/>
      <c r="D352" s="17"/>
      <c r="E352" s="17"/>
      <c r="F352" s="17"/>
    </row>
    <row r="353" spans="1:6" ht="12.75">
      <c r="A353" s="17"/>
      <c r="B353" s="17"/>
      <c r="C353" s="17"/>
      <c r="D353" s="17"/>
      <c r="E353" s="17"/>
      <c r="F353" s="17"/>
    </row>
    <row r="354" spans="1:6" ht="12.75">
      <c r="A354" s="17"/>
      <c r="B354" s="17"/>
      <c r="C354" s="17"/>
      <c r="D354" s="17"/>
      <c r="E354" s="17"/>
      <c r="F354" s="17"/>
    </row>
    <row r="355" spans="1:6" ht="12.75">
      <c r="A355" s="17"/>
      <c r="B355" s="17"/>
      <c r="C355" s="17"/>
      <c r="D355" s="17"/>
      <c r="E355" s="17"/>
      <c r="F355" s="17"/>
    </row>
    <row r="356" spans="1:6" ht="12.75">
      <c r="A356" s="17"/>
      <c r="B356" s="17"/>
      <c r="C356" s="17"/>
      <c r="D356" s="17"/>
      <c r="E356" s="17"/>
      <c r="F356" s="17"/>
    </row>
    <row r="357" spans="1:6" ht="12.75">
      <c r="A357" s="17"/>
      <c r="B357" s="17"/>
      <c r="C357" s="17"/>
      <c r="D357" s="17"/>
      <c r="E357" s="17"/>
      <c r="F357" s="17"/>
    </row>
    <row r="358" spans="1:6" ht="12.75">
      <c r="A358" s="17"/>
      <c r="B358" s="17"/>
      <c r="C358" s="17"/>
      <c r="D358" s="17"/>
      <c r="E358" s="17"/>
      <c r="F358" s="17"/>
    </row>
    <row r="359" spans="1:6" ht="12.75">
      <c r="A359" s="17"/>
      <c r="B359" s="17"/>
      <c r="C359" s="17"/>
      <c r="D359" s="17"/>
      <c r="E359" s="17"/>
      <c r="F359" s="17"/>
    </row>
    <row r="360" spans="1:6" ht="12.75">
      <c r="A360" s="17"/>
      <c r="B360" s="17"/>
      <c r="C360" s="17"/>
      <c r="D360" s="17"/>
      <c r="E360" s="17"/>
      <c r="F360" s="17"/>
    </row>
    <row r="361" spans="1:6" ht="12.75">
      <c r="A361" s="17"/>
      <c r="B361" s="17"/>
      <c r="C361" s="17"/>
      <c r="D361" s="17"/>
      <c r="E361" s="17"/>
      <c r="F361" s="17"/>
    </row>
    <row r="362" spans="1:6" ht="12.75">
      <c r="A362" s="17"/>
      <c r="B362" s="17"/>
      <c r="C362" s="17"/>
      <c r="D362" s="17"/>
      <c r="E362" s="17"/>
      <c r="F362" s="17"/>
    </row>
    <row r="363" spans="1:6" ht="12.75">
      <c r="A363" s="17"/>
      <c r="B363" s="17"/>
      <c r="C363" s="17"/>
      <c r="D363" s="17"/>
      <c r="E363" s="17"/>
      <c r="F363" s="17"/>
    </row>
    <row r="364" spans="1:6" ht="12.75">
      <c r="A364" s="17"/>
      <c r="B364" s="17"/>
      <c r="C364" s="17"/>
      <c r="D364" s="17"/>
      <c r="E364" s="17"/>
      <c r="F364" s="17"/>
    </row>
    <row r="365" spans="1:6" ht="12.75">
      <c r="A365" s="17"/>
      <c r="B365" s="17"/>
      <c r="C365" s="17"/>
      <c r="D365" s="17"/>
      <c r="E365" s="17"/>
      <c r="F365" s="17"/>
    </row>
    <row r="366" spans="1:6" ht="12.75">
      <c r="A366" s="17"/>
      <c r="B366" s="17"/>
      <c r="C366" s="17"/>
      <c r="D366" s="17"/>
      <c r="E366" s="17"/>
      <c r="F366" s="17"/>
    </row>
    <row r="367" spans="1:6" ht="12.75">
      <c r="A367" s="17"/>
      <c r="B367" s="17"/>
      <c r="C367" s="17"/>
      <c r="D367" s="17"/>
      <c r="E367" s="17"/>
      <c r="F367" s="17"/>
    </row>
    <row r="368" spans="1:6" ht="12.75">
      <c r="A368" s="17"/>
      <c r="B368" s="17"/>
      <c r="C368" s="17"/>
      <c r="D368" s="17"/>
      <c r="E368" s="17"/>
      <c r="F368" s="17"/>
    </row>
    <row r="369" spans="1:6" ht="12.75">
      <c r="A369" s="17"/>
      <c r="B369" s="17"/>
      <c r="C369" s="17"/>
      <c r="D369" s="17"/>
      <c r="E369" s="17"/>
      <c r="F369" s="17"/>
    </row>
    <row r="370" spans="1:6" ht="12.75">
      <c r="A370" s="17"/>
      <c r="B370" s="17"/>
      <c r="C370" s="17"/>
      <c r="D370" s="17"/>
      <c r="E370" s="17"/>
      <c r="F370" s="17"/>
    </row>
    <row r="371" spans="1:6" ht="12.75">
      <c r="A371" s="17"/>
      <c r="B371" s="17"/>
      <c r="C371" s="17"/>
      <c r="D371" s="17"/>
      <c r="E371" s="17"/>
      <c r="F371" s="17"/>
    </row>
    <row r="372" spans="1:6" ht="12.75">
      <c r="A372" s="17"/>
      <c r="B372" s="17"/>
      <c r="C372" s="17"/>
      <c r="D372" s="17"/>
      <c r="E372" s="17"/>
      <c r="F372" s="17"/>
    </row>
    <row r="373" spans="1:6" ht="12.75">
      <c r="A373" s="17"/>
      <c r="B373" s="17"/>
      <c r="C373" s="17"/>
      <c r="D373" s="17"/>
      <c r="E373" s="17"/>
      <c r="F373" s="17"/>
    </row>
    <row r="374" spans="1:6" ht="12.75">
      <c r="A374" s="17"/>
      <c r="B374" s="17"/>
      <c r="C374" s="17"/>
      <c r="D374" s="17"/>
      <c r="E374" s="17"/>
      <c r="F374" s="17"/>
    </row>
    <row r="375" spans="1:6" ht="12.75">
      <c r="A375" s="17"/>
      <c r="B375" s="17"/>
      <c r="C375" s="17"/>
      <c r="D375" s="17"/>
      <c r="E375" s="17"/>
      <c r="F375" s="17"/>
    </row>
    <row r="376" spans="1:6" ht="12.75">
      <c r="A376" s="17"/>
      <c r="B376" s="17"/>
      <c r="C376" s="17"/>
      <c r="D376" s="17"/>
      <c r="E376" s="17"/>
      <c r="F376" s="17"/>
    </row>
    <row r="377" spans="1:6" ht="12.75">
      <c r="A377" s="17"/>
      <c r="B377" s="17"/>
      <c r="C377" s="17"/>
      <c r="D377" s="17"/>
      <c r="E377" s="17"/>
      <c r="F377" s="17"/>
    </row>
    <row r="378" spans="1:6" ht="12.75">
      <c r="A378" s="17"/>
      <c r="B378" s="17"/>
      <c r="C378" s="17"/>
      <c r="D378" s="17"/>
      <c r="E378" s="17"/>
      <c r="F378" s="17"/>
    </row>
    <row r="379" spans="1:6" ht="12.75">
      <c r="A379" s="17"/>
      <c r="B379" s="17"/>
      <c r="C379" s="17"/>
      <c r="D379" s="17"/>
      <c r="E379" s="17"/>
      <c r="F379" s="17"/>
    </row>
    <row r="380" spans="1:6" ht="12.75">
      <c r="A380" s="17"/>
      <c r="B380" s="17"/>
      <c r="C380" s="17"/>
      <c r="D380" s="17"/>
      <c r="E380" s="17"/>
      <c r="F380" s="17"/>
    </row>
    <row r="381" spans="1:6" ht="12.75">
      <c r="A381" s="17"/>
      <c r="B381" s="17"/>
      <c r="C381" s="17"/>
      <c r="D381" s="17"/>
      <c r="E381" s="17"/>
      <c r="F381" s="17"/>
    </row>
    <row r="382" spans="1:6" ht="12.75">
      <c r="A382" s="17"/>
      <c r="B382" s="17"/>
      <c r="C382" s="17"/>
      <c r="D382" s="17"/>
      <c r="E382" s="17"/>
      <c r="F382" s="17"/>
    </row>
    <row r="383" spans="1:6" ht="12.75">
      <c r="A383" s="17"/>
      <c r="B383" s="17"/>
      <c r="C383" s="17"/>
      <c r="D383" s="17"/>
      <c r="E383" s="17"/>
      <c r="F383" s="17"/>
    </row>
    <row r="384" spans="1:6" ht="12.75">
      <c r="A384" s="17"/>
      <c r="B384" s="17"/>
      <c r="C384" s="17"/>
      <c r="D384" s="17"/>
      <c r="E384" s="17"/>
      <c r="F384" s="17"/>
    </row>
    <row r="385" spans="1:6" ht="12.75">
      <c r="A385" s="17"/>
      <c r="B385" s="17"/>
      <c r="C385" s="17"/>
      <c r="D385" s="17"/>
      <c r="E385" s="17"/>
      <c r="F385" s="17"/>
    </row>
    <row r="386" spans="1:6" ht="12.75">
      <c r="A386" s="17"/>
      <c r="B386" s="17"/>
      <c r="C386" s="17"/>
      <c r="D386" s="17"/>
      <c r="E386" s="17"/>
      <c r="F386" s="17"/>
    </row>
    <row r="387" spans="1:6" ht="12.75">
      <c r="A387" s="17"/>
      <c r="B387" s="17"/>
      <c r="C387" s="17"/>
      <c r="D387" s="17"/>
      <c r="E387" s="17"/>
      <c r="F387" s="17"/>
    </row>
    <row r="388" spans="1:6" ht="12.75">
      <c r="A388" s="17"/>
      <c r="B388" s="17"/>
      <c r="C388" s="17"/>
      <c r="D388" s="17"/>
      <c r="E388" s="17"/>
      <c r="F388" s="17"/>
    </row>
    <row r="389" spans="1:6" ht="12.75">
      <c r="A389" s="17"/>
      <c r="B389" s="17"/>
      <c r="C389" s="17"/>
      <c r="D389" s="17"/>
      <c r="E389" s="17"/>
      <c r="F389" s="17"/>
    </row>
    <row r="390" spans="1:6" ht="12.75">
      <c r="A390" s="17"/>
      <c r="B390" s="17"/>
      <c r="C390" s="17"/>
      <c r="D390" s="17"/>
      <c r="E390" s="17"/>
      <c r="F390" s="17"/>
    </row>
    <row r="391" spans="1:6" ht="12.75">
      <c r="A391" s="17"/>
      <c r="B391" s="17"/>
      <c r="C391" s="17"/>
      <c r="D391" s="17"/>
      <c r="E391" s="17"/>
      <c r="F391" s="17"/>
    </row>
    <row r="392" spans="1:6" ht="12.75">
      <c r="A392" s="17"/>
      <c r="B392" s="17"/>
      <c r="C392" s="17"/>
      <c r="D392" s="17"/>
      <c r="E392" s="17"/>
      <c r="F392" s="17"/>
    </row>
    <row r="393" spans="1:6" ht="12.75">
      <c r="A393" s="17"/>
      <c r="B393" s="17"/>
      <c r="C393" s="17"/>
      <c r="D393" s="17"/>
      <c r="E393" s="17"/>
      <c r="F393" s="17"/>
    </row>
    <row r="394" spans="1:6" ht="12.75">
      <c r="A394" s="17"/>
      <c r="B394" s="17"/>
      <c r="C394" s="17"/>
      <c r="D394" s="17"/>
      <c r="E394" s="17"/>
      <c r="F394" s="17"/>
    </row>
    <row r="395" spans="1:6" ht="12.75">
      <c r="A395" s="17"/>
      <c r="B395" s="17"/>
      <c r="C395" s="17"/>
      <c r="D395" s="17"/>
      <c r="E395" s="17"/>
      <c r="F395" s="17"/>
    </row>
    <row r="396" spans="1:6" ht="12.75">
      <c r="A396" s="17"/>
      <c r="B396" s="17"/>
      <c r="C396" s="17"/>
      <c r="D396" s="17"/>
      <c r="E396" s="17"/>
      <c r="F396" s="17"/>
    </row>
    <row r="397" spans="1:6" ht="12.75">
      <c r="A397" s="17"/>
      <c r="B397" s="17"/>
      <c r="C397" s="17"/>
      <c r="D397" s="17"/>
      <c r="E397" s="17"/>
      <c r="F397" s="17"/>
    </row>
    <row r="398" spans="1:6" ht="12.75">
      <c r="A398" s="17"/>
      <c r="B398" s="17"/>
      <c r="C398" s="17"/>
      <c r="D398" s="17"/>
      <c r="E398" s="17"/>
      <c r="F398" s="17"/>
    </row>
    <row r="399" spans="1:6" ht="12.75">
      <c r="A399" s="17"/>
      <c r="B399" s="17"/>
      <c r="C399" s="17"/>
      <c r="D399" s="17"/>
      <c r="E399" s="17"/>
      <c r="F399" s="17"/>
    </row>
    <row r="400" spans="1:6" ht="12.75">
      <c r="A400" s="17"/>
      <c r="B400" s="17"/>
      <c r="C400" s="17"/>
      <c r="D400" s="17"/>
      <c r="E400" s="17"/>
      <c r="F400" s="17"/>
    </row>
    <row r="401" spans="1:6" ht="12.75">
      <c r="A401" s="17"/>
      <c r="B401" s="17"/>
      <c r="C401" s="17"/>
      <c r="D401" s="17"/>
      <c r="E401" s="17"/>
      <c r="F401" s="17"/>
    </row>
    <row r="402" spans="1:6" ht="12.75">
      <c r="A402" s="17"/>
      <c r="B402" s="17"/>
      <c r="C402" s="17"/>
      <c r="D402" s="17"/>
      <c r="E402" s="17"/>
      <c r="F402" s="17"/>
    </row>
    <row r="403" spans="1:6" ht="12.75">
      <c r="A403" s="17"/>
      <c r="B403" s="17"/>
      <c r="C403" s="17"/>
      <c r="D403" s="17"/>
      <c r="E403" s="17"/>
      <c r="F403" s="17"/>
    </row>
    <row r="404" spans="1:6" ht="12.75">
      <c r="A404" s="17"/>
      <c r="B404" s="17"/>
      <c r="C404" s="17"/>
      <c r="D404" s="17"/>
      <c r="E404" s="17"/>
      <c r="F404" s="17"/>
    </row>
    <row r="405" spans="1:6" ht="12.75">
      <c r="A405" s="17"/>
      <c r="B405" s="17"/>
      <c r="C405" s="17"/>
      <c r="D405" s="17"/>
      <c r="E405" s="17"/>
      <c r="F405" s="17"/>
    </row>
    <row r="406" spans="1:6" ht="12.75">
      <c r="A406" s="17"/>
      <c r="B406" s="17"/>
      <c r="C406" s="17"/>
      <c r="D406" s="17"/>
      <c r="E406" s="17"/>
      <c r="F406" s="17"/>
    </row>
    <row r="407" spans="1:6" ht="12.75">
      <c r="A407" s="17"/>
      <c r="B407" s="17"/>
      <c r="C407" s="17"/>
      <c r="D407" s="17"/>
      <c r="E407" s="17"/>
      <c r="F407" s="17"/>
    </row>
    <row r="408" spans="1:6" ht="12.75">
      <c r="A408" s="17"/>
      <c r="B408" s="17"/>
      <c r="C408" s="17"/>
      <c r="D408" s="17"/>
      <c r="E408" s="17"/>
      <c r="F408" s="17"/>
    </row>
    <row r="409" spans="1:6" ht="12.75">
      <c r="A409" s="17"/>
      <c r="B409" s="17"/>
      <c r="C409" s="17"/>
      <c r="D409" s="17"/>
      <c r="E409" s="17"/>
      <c r="F409" s="17"/>
    </row>
    <row r="410" spans="1:6" ht="12.75">
      <c r="A410" s="17"/>
      <c r="B410" s="17"/>
      <c r="C410" s="17"/>
      <c r="D410" s="17"/>
      <c r="E410" s="17"/>
      <c r="F410" s="17"/>
    </row>
    <row r="411" spans="1:6" ht="12.75">
      <c r="A411" s="17"/>
      <c r="B411" s="17"/>
      <c r="C411" s="17"/>
      <c r="D411" s="17"/>
      <c r="E411" s="17"/>
      <c r="F411" s="17"/>
    </row>
    <row r="412" spans="1:6" ht="12.75">
      <c r="A412" s="17"/>
      <c r="B412" s="17"/>
      <c r="C412" s="17"/>
      <c r="D412" s="17"/>
      <c r="E412" s="17"/>
      <c r="F412" s="17"/>
    </row>
    <row r="413" spans="1:6" ht="12.75">
      <c r="A413" s="17"/>
      <c r="B413" s="17"/>
      <c r="C413" s="17"/>
      <c r="D413" s="17"/>
      <c r="E413" s="17"/>
      <c r="F413" s="17"/>
    </row>
    <row r="414" spans="1:6" ht="12.75">
      <c r="A414" s="17"/>
      <c r="B414" s="17"/>
      <c r="C414" s="17"/>
      <c r="D414" s="17"/>
      <c r="E414" s="17"/>
      <c r="F414" s="17"/>
    </row>
    <row r="415" spans="1:6" ht="12.75">
      <c r="A415" s="17"/>
      <c r="B415" s="17"/>
      <c r="C415" s="17"/>
      <c r="D415" s="17"/>
      <c r="E415" s="17"/>
      <c r="F415" s="17"/>
    </row>
    <row r="416" spans="1:6" ht="12.75">
      <c r="A416" s="17"/>
      <c r="B416" s="17"/>
      <c r="C416" s="17"/>
      <c r="D416" s="17"/>
      <c r="E416" s="17"/>
      <c r="F416" s="17"/>
    </row>
    <row r="417" spans="1:6" ht="12.75">
      <c r="A417" s="17"/>
      <c r="B417" s="17"/>
      <c r="C417" s="17"/>
      <c r="D417" s="17"/>
      <c r="E417" s="17"/>
      <c r="F417" s="17"/>
    </row>
    <row r="418" spans="1:6" ht="12.75">
      <c r="A418" s="17"/>
      <c r="B418" s="17"/>
      <c r="C418" s="17"/>
      <c r="D418" s="17"/>
      <c r="E418" s="17"/>
      <c r="F418" s="17"/>
    </row>
    <row r="419" spans="1:6" ht="12.75">
      <c r="A419" s="17"/>
      <c r="B419" s="17"/>
      <c r="C419" s="17"/>
      <c r="D419" s="17"/>
      <c r="E419" s="17"/>
      <c r="F419" s="17"/>
    </row>
    <row r="420" spans="1:6" ht="12.75">
      <c r="A420" s="17"/>
      <c r="B420" s="17"/>
      <c r="C420" s="17"/>
      <c r="D420" s="17"/>
      <c r="E420" s="17"/>
      <c r="F420" s="17"/>
    </row>
    <row r="421" spans="1:6" ht="12.75">
      <c r="A421" s="17"/>
      <c r="B421" s="17"/>
      <c r="C421" s="17"/>
      <c r="D421" s="17"/>
      <c r="E421" s="17"/>
      <c r="F421" s="17"/>
    </row>
    <row r="422" spans="1:6" ht="12.75">
      <c r="A422" s="17"/>
      <c r="B422" s="17"/>
      <c r="C422" s="17"/>
      <c r="D422" s="17"/>
      <c r="E422" s="17"/>
      <c r="F422" s="17"/>
    </row>
    <row r="423" spans="1:6" ht="12.75">
      <c r="A423" s="17"/>
      <c r="B423" s="17"/>
      <c r="C423" s="17"/>
      <c r="D423" s="17"/>
      <c r="E423" s="17"/>
      <c r="F423" s="17"/>
    </row>
    <row r="424" spans="1:6" ht="12.75">
      <c r="A424" s="17"/>
      <c r="B424" s="17"/>
      <c r="C424" s="17"/>
      <c r="D424" s="17"/>
      <c r="E424" s="17"/>
      <c r="F424" s="17"/>
    </row>
    <row r="425" spans="1:6" ht="12.75">
      <c r="A425" s="17"/>
      <c r="B425" s="17"/>
      <c r="C425" s="17"/>
      <c r="D425" s="17"/>
      <c r="E425" s="17"/>
      <c r="F425" s="17"/>
    </row>
    <row r="426" spans="1:6" ht="12.75">
      <c r="A426" s="17"/>
      <c r="B426" s="17"/>
      <c r="C426" s="17"/>
      <c r="D426" s="17"/>
      <c r="E426" s="17"/>
      <c r="F426" s="17"/>
    </row>
    <row r="427" spans="1:6" ht="12.75">
      <c r="A427" s="17"/>
      <c r="B427" s="17"/>
      <c r="C427" s="17"/>
      <c r="D427" s="17"/>
      <c r="E427" s="17"/>
      <c r="F427" s="17"/>
    </row>
    <row r="428" spans="1:6" ht="12.75">
      <c r="A428" s="17"/>
      <c r="B428" s="17"/>
      <c r="C428" s="17"/>
      <c r="D428" s="17"/>
      <c r="E428" s="17"/>
      <c r="F428" s="17"/>
    </row>
    <row r="429" spans="1:6" ht="12.75">
      <c r="A429" s="17"/>
      <c r="B429" s="17"/>
      <c r="C429" s="17"/>
      <c r="D429" s="17"/>
      <c r="E429" s="17"/>
      <c r="F429" s="17"/>
    </row>
    <row r="430" spans="1:6" ht="12.75">
      <c r="A430" s="17"/>
      <c r="B430" s="17"/>
      <c r="C430" s="17"/>
      <c r="D430" s="17"/>
      <c r="E430" s="17"/>
      <c r="F430" s="17"/>
    </row>
    <row r="431" spans="1:6" ht="12.75">
      <c r="A431" s="17"/>
      <c r="B431" s="17"/>
      <c r="C431" s="17"/>
      <c r="D431" s="17"/>
      <c r="E431" s="17"/>
      <c r="F431" s="17"/>
    </row>
    <row r="432" spans="1:6" ht="12.75">
      <c r="A432" s="17"/>
      <c r="B432" s="17"/>
      <c r="C432" s="17"/>
      <c r="D432" s="17"/>
      <c r="E432" s="17"/>
      <c r="F432" s="17"/>
    </row>
    <row r="433" spans="1:6" ht="12.75">
      <c r="A433" s="17"/>
      <c r="B433" s="17"/>
      <c r="C433" s="17"/>
      <c r="D433" s="17"/>
      <c r="E433" s="17"/>
      <c r="F433" s="17"/>
    </row>
    <row r="434" spans="1:6" ht="12.75">
      <c r="A434" s="17"/>
      <c r="B434" s="17"/>
      <c r="C434" s="17"/>
      <c r="D434" s="17"/>
      <c r="E434" s="17"/>
      <c r="F434" s="17"/>
    </row>
    <row r="435" spans="1:6" ht="12.75">
      <c r="A435" s="17"/>
      <c r="B435" s="17"/>
      <c r="C435" s="17"/>
      <c r="D435" s="17"/>
      <c r="E435" s="17"/>
      <c r="F435" s="17"/>
    </row>
    <row r="436" spans="1:6" ht="12.75">
      <c r="A436" s="17"/>
      <c r="B436" s="17"/>
      <c r="C436" s="17"/>
      <c r="D436" s="17"/>
      <c r="E436" s="17"/>
      <c r="F436" s="17"/>
    </row>
    <row r="437" spans="1:6" ht="12.75">
      <c r="A437" s="17"/>
      <c r="B437" s="17"/>
      <c r="C437" s="17"/>
      <c r="D437" s="17"/>
      <c r="E437" s="17"/>
      <c r="F437" s="17"/>
    </row>
    <row r="438" spans="1:6" ht="12.75">
      <c r="A438" s="17"/>
      <c r="B438" s="17"/>
      <c r="C438" s="17"/>
      <c r="D438" s="17"/>
      <c r="E438" s="17"/>
      <c r="F438" s="17"/>
    </row>
    <row r="439" spans="1:6" ht="12.75">
      <c r="A439" s="17"/>
      <c r="B439" s="17"/>
      <c r="C439" s="17"/>
      <c r="D439" s="17"/>
      <c r="E439" s="17"/>
      <c r="F439" s="17"/>
    </row>
    <row r="440" spans="1:6" ht="12.75">
      <c r="A440" s="17"/>
      <c r="B440" s="17"/>
      <c r="C440" s="17"/>
      <c r="D440" s="17"/>
      <c r="E440" s="17"/>
      <c r="F440" s="17"/>
    </row>
    <row r="441" spans="1:6" ht="12.75">
      <c r="A441" s="17"/>
      <c r="B441" s="17"/>
      <c r="C441" s="17"/>
      <c r="D441" s="17"/>
      <c r="E441" s="17"/>
      <c r="F441" s="17"/>
    </row>
    <row r="442" spans="1:6" ht="12.75">
      <c r="A442" s="17"/>
      <c r="B442" s="17"/>
      <c r="C442" s="17"/>
      <c r="D442" s="17"/>
      <c r="E442" s="17"/>
      <c r="F442" s="17"/>
    </row>
    <row r="443" spans="1:6" ht="12.75">
      <c r="A443" s="17"/>
      <c r="B443" s="17"/>
      <c r="C443" s="17"/>
      <c r="D443" s="17"/>
      <c r="E443" s="17"/>
      <c r="F443" s="17"/>
    </row>
    <row r="444" spans="1:6" ht="12.75">
      <c r="A444" s="17"/>
      <c r="B444" s="17"/>
      <c r="C444" s="17"/>
      <c r="D444" s="17"/>
      <c r="E444" s="17"/>
      <c r="F444" s="17"/>
    </row>
    <row r="445" spans="1:6" ht="12.75">
      <c r="A445" s="17"/>
      <c r="B445" s="17"/>
      <c r="C445" s="17"/>
      <c r="D445" s="17"/>
      <c r="E445" s="17"/>
      <c r="F445" s="17"/>
    </row>
    <row r="446" spans="1:6" ht="12.75">
      <c r="A446" s="17"/>
      <c r="B446" s="17"/>
      <c r="C446" s="17"/>
      <c r="D446" s="17"/>
      <c r="E446" s="17"/>
      <c r="F446" s="17"/>
    </row>
    <row r="447" spans="1:6" ht="12.75">
      <c r="A447" s="17"/>
      <c r="B447" s="17"/>
      <c r="C447" s="17"/>
      <c r="D447" s="17"/>
      <c r="E447" s="17"/>
      <c r="F447" s="17"/>
    </row>
    <row r="448" spans="1:6" ht="12.75">
      <c r="A448" s="17"/>
      <c r="B448" s="17"/>
      <c r="C448" s="17"/>
      <c r="D448" s="17"/>
      <c r="E448" s="17"/>
      <c r="F448" s="17"/>
    </row>
    <row r="449" spans="1:6" ht="12.75">
      <c r="A449" s="17"/>
      <c r="B449" s="17"/>
      <c r="C449" s="17"/>
      <c r="D449" s="17"/>
      <c r="E449" s="17"/>
      <c r="F449" s="17"/>
    </row>
    <row r="450" spans="1:6" ht="12.75">
      <c r="A450" s="17"/>
      <c r="B450" s="17"/>
      <c r="C450" s="17"/>
      <c r="D450" s="17"/>
      <c r="E450" s="17"/>
      <c r="F450" s="17"/>
    </row>
    <row r="451" spans="1:6" ht="12.75">
      <c r="A451" s="17"/>
      <c r="B451" s="17"/>
      <c r="C451" s="17"/>
      <c r="D451" s="17"/>
      <c r="E451" s="17"/>
      <c r="F451" s="17"/>
    </row>
    <row r="452" spans="1:6" ht="12.75">
      <c r="A452" s="17"/>
      <c r="B452" s="17"/>
      <c r="C452" s="17"/>
      <c r="D452" s="17"/>
      <c r="E452" s="17"/>
      <c r="F452" s="17"/>
    </row>
    <row r="453" spans="1:6" ht="12.75">
      <c r="A453" s="17"/>
      <c r="B453" s="17"/>
      <c r="C453" s="17"/>
      <c r="D453" s="17"/>
      <c r="E453" s="17"/>
      <c r="F453" s="17"/>
    </row>
    <row r="454" spans="1:6" ht="12.75">
      <c r="A454" s="17"/>
      <c r="B454" s="17"/>
      <c r="C454" s="17"/>
      <c r="D454" s="17"/>
      <c r="E454" s="17"/>
      <c r="F454" s="17"/>
    </row>
    <row r="455" spans="1:6" ht="12.75">
      <c r="A455" s="17"/>
      <c r="B455" s="17"/>
      <c r="C455" s="17"/>
      <c r="D455" s="17"/>
      <c r="E455" s="17"/>
      <c r="F455" s="17"/>
    </row>
    <row r="456" spans="1:6" ht="12.75">
      <c r="A456" s="17"/>
      <c r="B456" s="17"/>
      <c r="C456" s="17"/>
      <c r="D456" s="17"/>
      <c r="E456" s="17"/>
      <c r="F456" s="17"/>
    </row>
    <row r="457" spans="1:6" ht="12.75">
      <c r="A457" s="17"/>
      <c r="B457" s="17"/>
      <c r="C457" s="17"/>
      <c r="D457" s="17"/>
      <c r="E457" s="17"/>
      <c r="F457" s="17"/>
    </row>
    <row r="458" spans="1:6" ht="12.75">
      <c r="A458" s="17"/>
      <c r="B458" s="17"/>
      <c r="C458" s="17"/>
      <c r="D458" s="17"/>
      <c r="E458" s="17"/>
      <c r="F458" s="17"/>
    </row>
    <row r="459" spans="1:6" ht="12.75">
      <c r="A459" s="17"/>
      <c r="B459" s="17"/>
      <c r="C459" s="17"/>
      <c r="D459" s="17"/>
      <c r="E459" s="17"/>
      <c r="F459" s="17"/>
    </row>
    <row r="460" spans="1:6" ht="12.75">
      <c r="A460" s="17"/>
      <c r="B460" s="17"/>
      <c r="C460" s="17"/>
      <c r="D460" s="17"/>
      <c r="E460" s="17"/>
      <c r="F460" s="17"/>
    </row>
    <row r="461" spans="1:6" ht="12.75">
      <c r="A461" s="17"/>
      <c r="B461" s="17"/>
      <c r="C461" s="17"/>
      <c r="D461" s="17"/>
      <c r="E461" s="17"/>
      <c r="F461" s="17"/>
    </row>
    <row r="462" spans="1:6" ht="12.75">
      <c r="A462" s="17"/>
      <c r="B462" s="17"/>
      <c r="C462" s="17"/>
      <c r="D462" s="17"/>
      <c r="E462" s="17"/>
      <c r="F462" s="17"/>
    </row>
    <row r="463" spans="1:6" ht="12.75">
      <c r="A463" s="17"/>
      <c r="B463" s="17"/>
      <c r="C463" s="17"/>
      <c r="D463" s="17"/>
      <c r="E463" s="17"/>
      <c r="F463" s="17"/>
    </row>
    <row r="464" spans="1:6" ht="12.75">
      <c r="A464" s="17"/>
      <c r="B464" s="17"/>
      <c r="C464" s="17"/>
      <c r="D464" s="17"/>
      <c r="E464" s="17"/>
      <c r="F464" s="17"/>
    </row>
    <row r="465" spans="1:6" ht="12.75">
      <c r="A465" s="17"/>
      <c r="B465" s="17"/>
      <c r="C465" s="17"/>
      <c r="D465" s="17"/>
      <c r="E465" s="17"/>
      <c r="F465" s="17"/>
    </row>
    <row r="466" spans="1:6" ht="12.75">
      <c r="A466" s="17"/>
      <c r="B466" s="17"/>
      <c r="C466" s="17"/>
      <c r="D466" s="17"/>
      <c r="E466" s="17"/>
      <c r="F466" s="17"/>
    </row>
    <row r="467" spans="1:6" ht="12.75">
      <c r="A467" s="17"/>
      <c r="B467" s="17"/>
      <c r="C467" s="17"/>
      <c r="D467" s="17"/>
      <c r="E467" s="17"/>
      <c r="F467" s="17"/>
    </row>
    <row r="468" spans="1:6" ht="12.75">
      <c r="A468" s="17"/>
      <c r="B468" s="17"/>
      <c r="C468" s="17"/>
      <c r="D468" s="17"/>
      <c r="E468" s="17"/>
      <c r="F468" s="17"/>
    </row>
    <row r="469" spans="1:6" ht="12.75">
      <c r="A469" s="17"/>
      <c r="B469" s="17"/>
      <c r="C469" s="17"/>
      <c r="D469" s="17"/>
      <c r="E469" s="17"/>
      <c r="F469" s="17"/>
    </row>
    <row r="470" spans="1:6" ht="12.75">
      <c r="A470" s="17"/>
      <c r="B470" s="17"/>
      <c r="C470" s="17"/>
      <c r="D470" s="17"/>
      <c r="E470" s="17"/>
      <c r="F470" s="17"/>
    </row>
    <row r="471" spans="1:6" ht="12.75">
      <c r="A471" s="17"/>
      <c r="B471" s="17"/>
      <c r="C471" s="17"/>
      <c r="D471" s="17"/>
      <c r="E471" s="17"/>
      <c r="F471" s="17"/>
    </row>
    <row r="472" spans="1:6" ht="12.75">
      <c r="A472" s="17"/>
      <c r="B472" s="17"/>
      <c r="C472" s="17"/>
      <c r="D472" s="17"/>
      <c r="E472" s="17"/>
      <c r="F472" s="17"/>
    </row>
    <row r="473" spans="1:6" ht="12.75">
      <c r="A473" s="17"/>
      <c r="B473" s="17"/>
      <c r="C473" s="17"/>
      <c r="D473" s="17"/>
      <c r="E473" s="17"/>
      <c r="F473" s="17"/>
    </row>
    <row r="474" spans="1:6" ht="12.75">
      <c r="A474" s="17"/>
      <c r="B474" s="17"/>
      <c r="C474" s="17"/>
      <c r="D474" s="17"/>
      <c r="E474" s="17"/>
      <c r="F474" s="17"/>
    </row>
    <row r="475" spans="1:6" ht="12.75">
      <c r="A475" s="17"/>
      <c r="B475" s="17"/>
      <c r="C475" s="17"/>
      <c r="D475" s="17"/>
      <c r="E475" s="17"/>
      <c r="F475" s="17"/>
    </row>
    <row r="476" spans="1:6" ht="12.75">
      <c r="A476" s="17"/>
      <c r="B476" s="17"/>
      <c r="C476" s="17"/>
      <c r="D476" s="17"/>
      <c r="E476" s="17"/>
      <c r="F476" s="17"/>
    </row>
    <row r="477" spans="1:6" ht="12.75">
      <c r="A477" s="17"/>
      <c r="B477" s="17"/>
      <c r="C477" s="17"/>
      <c r="D477" s="17"/>
      <c r="E477" s="17"/>
      <c r="F477" s="17"/>
    </row>
    <row r="478" spans="1:6" ht="12.75">
      <c r="A478" s="17"/>
      <c r="B478" s="17"/>
      <c r="C478" s="17"/>
      <c r="D478" s="17"/>
      <c r="E478" s="17"/>
      <c r="F478" s="17"/>
    </row>
    <row r="479" spans="1:6" ht="12.75">
      <c r="A479" s="17"/>
      <c r="B479" s="17"/>
      <c r="C479" s="17"/>
      <c r="D479" s="17"/>
      <c r="E479" s="17"/>
      <c r="F479" s="17"/>
    </row>
    <row r="480" spans="1:6" ht="12.75">
      <c r="A480" s="17"/>
      <c r="B480" s="17"/>
      <c r="C480" s="17"/>
      <c r="D480" s="17"/>
      <c r="E480" s="17"/>
      <c r="F480" s="17"/>
    </row>
    <row r="481" spans="1:6" ht="12.75">
      <c r="A481" s="17"/>
      <c r="B481" s="17"/>
      <c r="C481" s="17"/>
      <c r="D481" s="17"/>
      <c r="E481" s="17"/>
      <c r="F481" s="17"/>
    </row>
    <row r="482" spans="1:6" ht="12.75">
      <c r="A482" s="17"/>
      <c r="B482" s="17"/>
      <c r="C482" s="17"/>
      <c r="D482" s="17"/>
      <c r="E482" s="17"/>
      <c r="F482" s="17"/>
    </row>
    <row r="483" spans="1:6" ht="12.75">
      <c r="A483" s="17"/>
      <c r="B483" s="17"/>
      <c r="C483" s="17"/>
      <c r="D483" s="17"/>
      <c r="E483" s="17"/>
      <c r="F483" s="17"/>
    </row>
    <row r="484" spans="1:6" ht="12.75">
      <c r="A484" s="17"/>
      <c r="B484" s="17"/>
      <c r="C484" s="17"/>
      <c r="D484" s="17"/>
      <c r="E484" s="17"/>
      <c r="F484" s="17"/>
    </row>
    <row r="485" spans="1:6" ht="12.75">
      <c r="A485" s="17"/>
      <c r="B485" s="17"/>
      <c r="C485" s="17"/>
      <c r="D485" s="17"/>
      <c r="E485" s="17"/>
      <c r="F485" s="17"/>
    </row>
    <row r="486" spans="1:6" ht="12.75">
      <c r="A486" s="17"/>
      <c r="B486" s="17"/>
      <c r="C486" s="17"/>
      <c r="D486" s="17"/>
      <c r="E486" s="17"/>
      <c r="F486" s="17"/>
    </row>
    <row r="487" spans="1:6" ht="12.75">
      <c r="A487" s="17"/>
      <c r="B487" s="17"/>
      <c r="C487" s="17"/>
      <c r="D487" s="17"/>
      <c r="E487" s="17"/>
      <c r="F487" s="17"/>
    </row>
    <row r="488" spans="1:6" ht="12.75">
      <c r="A488" s="17"/>
      <c r="B488" s="17"/>
      <c r="C488" s="17"/>
      <c r="D488" s="17"/>
      <c r="E488" s="17"/>
      <c r="F488" s="17"/>
    </row>
    <row r="489" spans="1:6" ht="12.75">
      <c r="A489" s="17"/>
      <c r="B489" s="17"/>
      <c r="C489" s="17"/>
      <c r="D489" s="17"/>
      <c r="E489" s="17"/>
      <c r="F489" s="17"/>
    </row>
    <row r="490" spans="1:6" ht="12.75">
      <c r="A490" s="17"/>
      <c r="B490" s="17"/>
      <c r="C490" s="17"/>
      <c r="D490" s="17"/>
      <c r="E490" s="17"/>
      <c r="F490" s="17"/>
    </row>
    <row r="491" spans="1:6" ht="12.75">
      <c r="A491" s="17"/>
      <c r="B491" s="17"/>
      <c r="C491" s="17"/>
      <c r="D491" s="17"/>
      <c r="E491" s="17"/>
      <c r="F491" s="17"/>
    </row>
    <row r="492" spans="1:6" ht="12.75">
      <c r="A492" s="17"/>
      <c r="B492" s="17"/>
      <c r="C492" s="17"/>
      <c r="D492" s="17"/>
      <c r="E492" s="17"/>
      <c r="F492" s="17"/>
    </row>
    <row r="493" spans="1:6" ht="12.75">
      <c r="A493" s="17"/>
      <c r="B493" s="17"/>
      <c r="C493" s="17"/>
      <c r="D493" s="17"/>
      <c r="E493" s="17"/>
      <c r="F493" s="17"/>
    </row>
    <row r="494" spans="1:6" ht="12.75">
      <c r="A494" s="17"/>
      <c r="B494" s="17"/>
      <c r="C494" s="17"/>
      <c r="D494" s="17"/>
      <c r="E494" s="17"/>
      <c r="F494" s="17"/>
    </row>
    <row r="495" spans="1:6" ht="12.75">
      <c r="A495" s="17"/>
      <c r="B495" s="17"/>
      <c r="C495" s="17"/>
      <c r="D495" s="17"/>
      <c r="E495" s="17"/>
      <c r="F495" s="17"/>
    </row>
    <row r="496" spans="1:6" ht="12.75">
      <c r="A496" s="17"/>
      <c r="B496" s="17"/>
      <c r="C496" s="17"/>
      <c r="D496" s="17"/>
      <c r="E496" s="17"/>
      <c r="F496" s="17"/>
    </row>
    <row r="497" spans="1:6" ht="12.75">
      <c r="A497" s="17"/>
      <c r="B497" s="17"/>
      <c r="C497" s="17"/>
      <c r="D497" s="17"/>
      <c r="E497" s="17"/>
      <c r="F497" s="17"/>
    </row>
    <row r="498" spans="1:6" ht="12.75">
      <c r="A498" s="17"/>
      <c r="B498" s="17"/>
      <c r="C498" s="17"/>
      <c r="D498" s="17"/>
      <c r="E498" s="17"/>
      <c r="F498" s="17"/>
    </row>
    <row r="499" spans="1:6" ht="12.75">
      <c r="A499" s="17"/>
      <c r="B499" s="17"/>
      <c r="C499" s="17"/>
      <c r="D499" s="17"/>
      <c r="E499" s="17"/>
      <c r="F499" s="17"/>
    </row>
    <row r="500" spans="1:6" ht="12.75">
      <c r="A500" s="17"/>
      <c r="B500" s="17"/>
      <c r="C500" s="17"/>
      <c r="D500" s="17"/>
      <c r="E500" s="17"/>
      <c r="F500" s="17"/>
    </row>
    <row r="501" spans="1:6" ht="12.75">
      <c r="A501" s="17"/>
      <c r="B501" s="17"/>
      <c r="C501" s="17"/>
      <c r="D501" s="17"/>
      <c r="E501" s="17"/>
      <c r="F501" s="17"/>
    </row>
    <row r="502" spans="1:6" ht="12.75">
      <c r="A502" s="17"/>
      <c r="B502" s="17"/>
      <c r="C502" s="17"/>
      <c r="D502" s="17"/>
      <c r="E502" s="17"/>
      <c r="F502" s="17"/>
    </row>
    <row r="503" spans="1:6" ht="12.75">
      <c r="A503" s="17"/>
      <c r="B503" s="17"/>
      <c r="C503" s="17"/>
      <c r="D503" s="17"/>
      <c r="E503" s="17"/>
      <c r="F503" s="17"/>
    </row>
    <row r="504" spans="1:6" ht="12.75">
      <c r="A504" s="17"/>
      <c r="B504" s="17"/>
      <c r="C504" s="17"/>
      <c r="D504" s="17"/>
      <c r="E504" s="17"/>
      <c r="F504" s="17"/>
    </row>
    <row r="505" spans="1:6" ht="12.75">
      <c r="A505" s="17"/>
      <c r="B505" s="17"/>
      <c r="C505" s="17"/>
      <c r="D505" s="17"/>
      <c r="E505" s="17"/>
      <c r="F505" s="17"/>
    </row>
    <row r="506" spans="1:6" ht="12.75">
      <c r="A506" s="17"/>
      <c r="B506" s="17"/>
      <c r="C506" s="17"/>
      <c r="D506" s="17"/>
      <c r="E506" s="17"/>
      <c r="F506" s="17"/>
    </row>
    <row r="507" spans="1:6" ht="12.75">
      <c r="A507" s="17"/>
      <c r="B507" s="17"/>
      <c r="C507" s="17"/>
      <c r="D507" s="17"/>
      <c r="E507" s="17"/>
      <c r="F507" s="17"/>
    </row>
    <row r="508" spans="1:6" ht="12.75">
      <c r="A508" s="17"/>
      <c r="B508" s="17"/>
      <c r="C508" s="17"/>
      <c r="D508" s="17"/>
      <c r="E508" s="17"/>
      <c r="F508" s="17"/>
    </row>
    <row r="509" spans="1:6" ht="12.75">
      <c r="A509" s="17"/>
      <c r="B509" s="17"/>
      <c r="C509" s="17"/>
      <c r="D509" s="17"/>
      <c r="E509" s="17"/>
      <c r="F509" s="17"/>
    </row>
    <row r="510" spans="1:6" ht="12.75">
      <c r="A510" s="17"/>
      <c r="B510" s="17"/>
      <c r="C510" s="17"/>
      <c r="D510" s="17"/>
      <c r="E510" s="17"/>
      <c r="F510" s="17"/>
    </row>
    <row r="511" spans="1:6" ht="12.75">
      <c r="A511" s="17"/>
      <c r="B511" s="17"/>
      <c r="C511" s="17"/>
      <c r="D511" s="17"/>
      <c r="E511" s="17"/>
      <c r="F511" s="17"/>
    </row>
    <row r="512" spans="1:6" ht="12.75">
      <c r="A512" s="17"/>
      <c r="B512" s="17"/>
      <c r="C512" s="17"/>
      <c r="D512" s="17"/>
      <c r="E512" s="17"/>
      <c r="F512" s="17"/>
    </row>
    <row r="513" spans="1:6" ht="12.75">
      <c r="A513" s="17"/>
      <c r="B513" s="17"/>
      <c r="C513" s="17"/>
      <c r="D513" s="17"/>
      <c r="E513" s="17"/>
      <c r="F513" s="17"/>
    </row>
    <row r="514" spans="1:6" ht="12.75">
      <c r="A514" s="17"/>
      <c r="B514" s="17"/>
      <c r="C514" s="17"/>
      <c r="D514" s="17"/>
      <c r="E514" s="17"/>
      <c r="F514" s="17"/>
    </row>
    <row r="515" spans="1:6" ht="12.75">
      <c r="A515" s="17"/>
      <c r="B515" s="17"/>
      <c r="C515" s="17"/>
      <c r="D515" s="17"/>
      <c r="E515" s="17"/>
      <c r="F515" s="17"/>
    </row>
    <row r="516" spans="1:6" ht="12.75">
      <c r="A516" s="17"/>
      <c r="B516" s="17"/>
      <c r="C516" s="17"/>
      <c r="D516" s="17"/>
      <c r="E516" s="17"/>
      <c r="F516" s="17"/>
    </row>
    <row r="517" spans="1:6" ht="12.75">
      <c r="A517" s="17"/>
      <c r="B517" s="17"/>
      <c r="C517" s="17"/>
      <c r="D517" s="17"/>
      <c r="E517" s="17"/>
      <c r="F517" s="17"/>
    </row>
    <row r="518" spans="1:6" ht="12.75">
      <c r="A518" s="17"/>
      <c r="B518" s="17"/>
      <c r="C518" s="17"/>
      <c r="D518" s="17"/>
      <c r="E518" s="17"/>
      <c r="F518" s="17"/>
    </row>
    <row r="519" spans="1:6" ht="12.75">
      <c r="A519" s="17"/>
      <c r="B519" s="17"/>
      <c r="C519" s="17"/>
      <c r="D519" s="17"/>
      <c r="E519" s="17"/>
      <c r="F519" s="17"/>
    </row>
    <row r="520" spans="1:6" ht="12.75">
      <c r="A520" s="17"/>
      <c r="B520" s="17"/>
      <c r="C520" s="17"/>
      <c r="D520" s="17"/>
      <c r="E520" s="17"/>
      <c r="F520" s="17"/>
    </row>
    <row r="521" spans="1:6" ht="12.75">
      <c r="A521" s="17"/>
      <c r="B521" s="17"/>
      <c r="C521" s="17"/>
      <c r="D521" s="17"/>
      <c r="E521" s="17"/>
      <c r="F521" s="17"/>
    </row>
    <row r="522" spans="1:6" ht="12.75">
      <c r="A522" s="17"/>
      <c r="B522" s="17"/>
      <c r="C522" s="17"/>
      <c r="D522" s="17"/>
      <c r="E522" s="17"/>
      <c r="F522" s="17"/>
    </row>
    <row r="523" spans="1:6" ht="12.75">
      <c r="A523" s="17"/>
      <c r="B523" s="17"/>
      <c r="C523" s="17"/>
      <c r="D523" s="17"/>
      <c r="E523" s="17"/>
      <c r="F523" s="17"/>
    </row>
    <row r="524" spans="1:6" ht="12.75">
      <c r="A524" s="17"/>
      <c r="B524" s="17"/>
      <c r="C524" s="17"/>
      <c r="D524" s="17"/>
      <c r="E524" s="17"/>
      <c r="F524" s="17"/>
    </row>
    <row r="525" spans="1:6" ht="12.75">
      <c r="A525" s="17"/>
      <c r="B525" s="17"/>
      <c r="C525" s="17"/>
      <c r="D525" s="17"/>
      <c r="E525" s="17"/>
      <c r="F525" s="17"/>
    </row>
    <row r="526" spans="1:6" ht="12.75">
      <c r="A526" s="17"/>
      <c r="B526" s="17"/>
      <c r="C526" s="17"/>
      <c r="D526" s="17"/>
      <c r="E526" s="17"/>
      <c r="F526" s="17"/>
    </row>
    <row r="527" spans="1:6" ht="12.75">
      <c r="A527" s="17"/>
      <c r="B527" s="17"/>
      <c r="C527" s="17"/>
      <c r="D527" s="17"/>
      <c r="E527" s="17"/>
      <c r="F527" s="17"/>
    </row>
    <row r="528" spans="1:6" ht="12.75">
      <c r="A528" s="17"/>
      <c r="B528" s="17"/>
      <c r="C528" s="17"/>
      <c r="D528" s="17"/>
      <c r="E528" s="17"/>
      <c r="F528" s="17"/>
    </row>
    <row r="529" spans="1:6" ht="12.75">
      <c r="A529" s="17"/>
      <c r="B529" s="17"/>
      <c r="C529" s="17"/>
      <c r="D529" s="17"/>
      <c r="E529" s="17"/>
      <c r="F529" s="17"/>
    </row>
    <row r="530" spans="1:6" ht="12.75">
      <c r="A530" s="17"/>
      <c r="B530" s="17"/>
      <c r="C530" s="17"/>
      <c r="D530" s="17"/>
      <c r="E530" s="17"/>
      <c r="F530" s="17"/>
    </row>
    <row r="531" spans="1:6" ht="12.75">
      <c r="A531" s="17"/>
      <c r="B531" s="17"/>
      <c r="C531" s="17"/>
      <c r="D531" s="17"/>
      <c r="E531" s="17"/>
      <c r="F531" s="17"/>
    </row>
    <row r="532" spans="1:6" ht="12.75">
      <c r="A532" s="17"/>
      <c r="B532" s="17"/>
      <c r="C532" s="17"/>
      <c r="D532" s="17"/>
      <c r="E532" s="17"/>
      <c r="F532" s="17"/>
    </row>
    <row r="533" spans="1:6" ht="12.75">
      <c r="A533" s="17"/>
      <c r="B533" s="17"/>
      <c r="C533" s="17"/>
      <c r="D533" s="17"/>
      <c r="E533" s="17"/>
      <c r="F533" s="17"/>
    </row>
    <row r="534" spans="1:6" ht="12.75">
      <c r="A534" s="17"/>
      <c r="B534" s="17"/>
      <c r="C534" s="17"/>
      <c r="D534" s="17"/>
      <c r="E534" s="17"/>
      <c r="F534" s="17"/>
    </row>
    <row r="535" spans="1:6" ht="12.75">
      <c r="A535" s="17"/>
      <c r="B535" s="17"/>
      <c r="C535" s="17"/>
      <c r="D535" s="17"/>
      <c r="E535" s="17"/>
      <c r="F535" s="17"/>
    </row>
    <row r="536" spans="1:6" ht="12.75">
      <c r="A536" s="17"/>
      <c r="B536" s="17"/>
      <c r="C536" s="17"/>
      <c r="D536" s="17"/>
      <c r="E536" s="17"/>
      <c r="F536" s="17"/>
    </row>
    <row r="537" spans="1:6" ht="12.75">
      <c r="A537" s="17"/>
      <c r="B537" s="17"/>
      <c r="C537" s="17"/>
      <c r="D537" s="17"/>
      <c r="E537" s="17"/>
      <c r="F537" s="17"/>
    </row>
    <row r="538" spans="1:6" ht="12.75">
      <c r="A538" s="17"/>
      <c r="B538" s="17"/>
      <c r="C538" s="17"/>
      <c r="D538" s="17"/>
      <c r="E538" s="17"/>
      <c r="F538" s="17"/>
    </row>
    <row r="539" spans="1:6" ht="12.75">
      <c r="A539" s="17"/>
      <c r="B539" s="17"/>
      <c r="C539" s="17"/>
      <c r="D539" s="17"/>
      <c r="E539" s="17"/>
      <c r="F539" s="17"/>
    </row>
    <row r="540" spans="1:6" ht="12.75">
      <c r="A540" s="17"/>
      <c r="B540" s="17"/>
      <c r="C540" s="17"/>
      <c r="D540" s="17"/>
      <c r="E540" s="17"/>
      <c r="F540" s="17"/>
    </row>
    <row r="541" spans="1:6" ht="12.75">
      <c r="A541" s="17"/>
      <c r="B541" s="17"/>
      <c r="C541" s="17"/>
      <c r="D541" s="17"/>
      <c r="E541" s="17"/>
      <c r="F541" s="17"/>
    </row>
    <row r="542" spans="1:6" ht="12.75">
      <c r="A542" s="17"/>
      <c r="B542" s="17"/>
      <c r="C542" s="17"/>
      <c r="D542" s="17"/>
      <c r="E542" s="17"/>
      <c r="F542" s="17"/>
    </row>
    <row r="543" spans="1:6" ht="12.75">
      <c r="A543" s="17"/>
      <c r="B543" s="17"/>
      <c r="C543" s="17"/>
      <c r="D543" s="17"/>
      <c r="E543" s="17"/>
      <c r="F543" s="17"/>
    </row>
    <row r="544" spans="1:6" ht="12.75">
      <c r="A544" s="17"/>
      <c r="B544" s="17"/>
      <c r="C544" s="17"/>
      <c r="D544" s="17"/>
      <c r="E544" s="17"/>
      <c r="F544" s="17"/>
    </row>
    <row r="545" spans="1:6" ht="12.75">
      <c r="A545" s="17"/>
      <c r="B545" s="17"/>
      <c r="C545" s="17"/>
      <c r="D545" s="17"/>
      <c r="E545" s="17"/>
      <c r="F545" s="17"/>
    </row>
    <row r="546" spans="1:6" ht="12.75">
      <c r="A546" s="17"/>
      <c r="B546" s="17"/>
      <c r="C546" s="17"/>
      <c r="D546" s="17"/>
      <c r="E546" s="17"/>
      <c r="F546" s="17"/>
    </row>
    <row r="547" spans="1:6" ht="12.75">
      <c r="A547" s="17"/>
      <c r="B547" s="17"/>
      <c r="C547" s="17"/>
      <c r="D547" s="17"/>
      <c r="E547" s="17"/>
      <c r="F547" s="17"/>
    </row>
    <row r="548" spans="1:6" ht="12.75">
      <c r="A548" s="17"/>
      <c r="B548" s="17"/>
      <c r="C548" s="17"/>
      <c r="D548" s="17"/>
      <c r="E548" s="17"/>
      <c r="F548" s="17"/>
    </row>
    <row r="549" spans="1:6" ht="12.75">
      <c r="A549" s="17"/>
      <c r="B549" s="17"/>
      <c r="C549" s="17"/>
      <c r="D549" s="17"/>
      <c r="E549" s="17"/>
      <c r="F549" s="17"/>
    </row>
    <row r="550" spans="1:6" ht="12.75">
      <c r="A550" s="17"/>
      <c r="B550" s="17"/>
      <c r="C550" s="17"/>
      <c r="D550" s="17"/>
      <c r="E550" s="17"/>
      <c r="F550" s="17"/>
    </row>
    <row r="551" spans="1:6" ht="12.75">
      <c r="A551" s="17"/>
      <c r="B551" s="17"/>
      <c r="C551" s="17"/>
      <c r="D551" s="17"/>
      <c r="E551" s="17"/>
      <c r="F551" s="17"/>
    </row>
    <row r="552" spans="1:6" ht="12.75">
      <c r="A552" s="17"/>
      <c r="B552" s="17"/>
      <c r="C552" s="17"/>
      <c r="D552" s="17"/>
      <c r="E552" s="17"/>
      <c r="F552" s="17"/>
    </row>
    <row r="553" spans="1:6" ht="12.75">
      <c r="A553" s="17"/>
      <c r="B553" s="17"/>
      <c r="C553" s="17"/>
      <c r="D553" s="17"/>
      <c r="E553" s="17"/>
      <c r="F553" s="17"/>
    </row>
    <row r="554" spans="1:6" ht="12.75">
      <c r="A554" s="17"/>
      <c r="B554" s="17"/>
      <c r="C554" s="17"/>
      <c r="D554" s="17"/>
      <c r="E554" s="17"/>
      <c r="F554" s="17"/>
    </row>
    <row r="555" spans="1:6" ht="12.75">
      <c r="A555" s="17"/>
      <c r="B555" s="17"/>
      <c r="C555" s="17"/>
      <c r="D555" s="17"/>
      <c r="E555" s="17"/>
      <c r="F555" s="17"/>
    </row>
    <row r="556" spans="1:6" ht="12.75">
      <c r="A556" s="17"/>
      <c r="B556" s="17"/>
      <c r="C556" s="17"/>
      <c r="D556" s="17"/>
      <c r="E556" s="17"/>
      <c r="F556" s="17"/>
    </row>
    <row r="557" spans="1:6" ht="12.75">
      <c r="A557" s="17"/>
      <c r="B557" s="17"/>
      <c r="C557" s="17"/>
      <c r="D557" s="17"/>
      <c r="E557" s="17"/>
      <c r="F557" s="17"/>
    </row>
    <row r="558" spans="1:6" ht="12.75">
      <c r="A558" s="17"/>
      <c r="B558" s="17"/>
      <c r="C558" s="17"/>
      <c r="D558" s="17"/>
      <c r="E558" s="17"/>
      <c r="F558" s="17"/>
    </row>
    <row r="559" spans="1:6" ht="12.75">
      <c r="A559" s="17"/>
      <c r="B559" s="17"/>
      <c r="C559" s="17"/>
      <c r="D559" s="17"/>
      <c r="E559" s="17"/>
      <c r="F559" s="17"/>
    </row>
    <row r="560" spans="1:6" ht="12.75">
      <c r="A560" s="17"/>
      <c r="B560" s="17"/>
      <c r="C560" s="17"/>
      <c r="D560" s="17"/>
      <c r="E560" s="17"/>
      <c r="F560" s="17"/>
    </row>
    <row r="561" spans="1:6" ht="12.75">
      <c r="A561" s="17"/>
      <c r="B561" s="17"/>
      <c r="C561" s="17"/>
      <c r="D561" s="17"/>
      <c r="E561" s="17"/>
      <c r="F561" s="17"/>
    </row>
    <row r="562" spans="1:6" ht="12.75">
      <c r="A562" s="17"/>
      <c r="B562" s="17"/>
      <c r="C562" s="17"/>
      <c r="D562" s="17"/>
      <c r="E562" s="17"/>
      <c r="F562" s="17"/>
    </row>
    <row r="563" spans="1:6" ht="12.75">
      <c r="A563" s="17"/>
      <c r="B563" s="17"/>
      <c r="C563" s="17"/>
      <c r="D563" s="17"/>
      <c r="E563" s="17"/>
      <c r="F563" s="17"/>
    </row>
    <row r="564" spans="1:6" ht="12.75">
      <c r="A564" s="17"/>
      <c r="B564" s="17"/>
      <c r="C564" s="17"/>
      <c r="D564" s="17"/>
      <c r="E564" s="17"/>
      <c r="F564" s="17"/>
    </row>
    <row r="565" spans="1:6" ht="12.75">
      <c r="A565" s="17"/>
      <c r="B565" s="17"/>
      <c r="C565" s="17"/>
      <c r="D565" s="17"/>
      <c r="E565" s="17"/>
      <c r="F565" s="17"/>
    </row>
    <row r="566" spans="1:6" ht="12.75">
      <c r="A566" s="17"/>
      <c r="B566" s="17"/>
      <c r="C566" s="17"/>
      <c r="D566" s="17"/>
      <c r="E566" s="17"/>
      <c r="F566" s="17"/>
    </row>
    <row r="567" spans="1:6" ht="12.75">
      <c r="A567" s="17"/>
      <c r="B567" s="17"/>
      <c r="C567" s="17"/>
      <c r="D567" s="17"/>
      <c r="E567" s="17"/>
      <c r="F567" s="17"/>
    </row>
    <row r="568" spans="1:6" ht="12.75">
      <c r="A568" s="17"/>
      <c r="B568" s="17"/>
      <c r="C568" s="17"/>
      <c r="D568" s="17"/>
      <c r="E568" s="17"/>
      <c r="F568" s="17"/>
    </row>
    <row r="569" spans="1:6" ht="12.75">
      <c r="A569" s="17"/>
      <c r="B569" s="17"/>
      <c r="C569" s="17"/>
      <c r="D569" s="17"/>
      <c r="E569" s="17"/>
      <c r="F569" s="17"/>
    </row>
    <row r="570" spans="1:6" ht="12.75">
      <c r="A570" s="17"/>
      <c r="B570" s="17"/>
      <c r="C570" s="17"/>
      <c r="D570" s="17"/>
      <c r="E570" s="17"/>
      <c r="F570" s="17"/>
    </row>
    <row r="571" spans="1:6" ht="12.75">
      <c r="A571" s="17"/>
      <c r="B571" s="17"/>
      <c r="C571" s="17"/>
      <c r="D571" s="17"/>
      <c r="E571" s="17"/>
      <c r="F571" s="17"/>
    </row>
    <row r="572" spans="1:6" ht="12.75">
      <c r="A572" s="17"/>
      <c r="B572" s="17"/>
      <c r="C572" s="17"/>
      <c r="D572" s="17"/>
      <c r="E572" s="17"/>
      <c r="F572" s="17"/>
    </row>
    <row r="573" spans="1:6" ht="12.75">
      <c r="A573" s="17"/>
      <c r="B573" s="17"/>
      <c r="C573" s="17"/>
      <c r="D573" s="17"/>
      <c r="E573" s="17"/>
      <c r="F573" s="17"/>
    </row>
    <row r="574" spans="1:6" ht="12.75">
      <c r="A574" s="17"/>
      <c r="B574" s="17"/>
      <c r="C574" s="17"/>
      <c r="D574" s="17"/>
      <c r="E574" s="17"/>
      <c r="F574" s="17"/>
    </row>
    <row r="575" spans="1:6" ht="12.75">
      <c r="A575" s="17"/>
      <c r="B575" s="17"/>
      <c r="C575" s="17"/>
      <c r="D575" s="17"/>
      <c r="E575" s="17"/>
      <c r="F575" s="17"/>
    </row>
    <row r="576" spans="1:6" ht="12.75">
      <c r="A576" s="17"/>
      <c r="B576" s="17"/>
      <c r="C576" s="17"/>
      <c r="D576" s="17"/>
      <c r="E576" s="17"/>
      <c r="F576" s="17"/>
    </row>
    <row r="577" spans="1:6" ht="12.75">
      <c r="A577" s="17"/>
      <c r="B577" s="17"/>
      <c r="C577" s="17"/>
      <c r="D577" s="17"/>
      <c r="E577" s="17"/>
      <c r="F577" s="17"/>
    </row>
    <row r="578" spans="1:6" ht="12.75">
      <c r="A578" s="17"/>
      <c r="B578" s="17"/>
      <c r="C578" s="17"/>
      <c r="D578" s="17"/>
      <c r="E578" s="17"/>
      <c r="F578" s="17"/>
    </row>
    <row r="579" spans="1:6" ht="12.75">
      <c r="A579" s="17"/>
      <c r="B579" s="17"/>
      <c r="C579" s="17"/>
      <c r="D579" s="17"/>
      <c r="E579" s="17"/>
      <c r="F579" s="17"/>
    </row>
    <row r="580" spans="1:6" ht="12.75">
      <c r="A580" s="17"/>
      <c r="B580" s="17"/>
      <c r="C580" s="17"/>
      <c r="D580" s="17"/>
      <c r="E580" s="17"/>
      <c r="F580" s="17"/>
    </row>
    <row r="581" spans="1:6" ht="12.75">
      <c r="A581" s="17"/>
      <c r="B581" s="17"/>
      <c r="C581" s="17"/>
      <c r="D581" s="17"/>
      <c r="E581" s="17"/>
      <c r="F581" s="17"/>
    </row>
    <row r="582" spans="1:6" ht="12.75">
      <c r="A582" s="17"/>
      <c r="B582" s="17"/>
      <c r="C582" s="17"/>
      <c r="D582" s="17"/>
      <c r="E582" s="17"/>
      <c r="F582" s="17"/>
    </row>
    <row r="583" spans="1:6" ht="12.75">
      <c r="A583" s="17"/>
      <c r="B583" s="17"/>
      <c r="C583" s="17"/>
      <c r="D583" s="17"/>
      <c r="E583" s="17"/>
      <c r="F583" s="17"/>
    </row>
    <row r="584" spans="1:6" ht="12.75">
      <c r="A584" s="17"/>
      <c r="B584" s="17"/>
      <c r="C584" s="17"/>
      <c r="D584" s="17"/>
      <c r="E584" s="17"/>
      <c r="F584" s="17"/>
    </row>
    <row r="585" spans="1:6" ht="12.75">
      <c r="A585" s="17"/>
      <c r="B585" s="17"/>
      <c r="C585" s="17"/>
      <c r="D585" s="17"/>
      <c r="E585" s="17"/>
      <c r="F585" s="17"/>
    </row>
    <row r="586" spans="1:6" ht="12.75">
      <c r="A586" s="17"/>
      <c r="B586" s="17"/>
      <c r="C586" s="17"/>
      <c r="D586" s="17"/>
      <c r="E586" s="17"/>
      <c r="F586" s="17"/>
    </row>
    <row r="587" spans="1:6" ht="12.75">
      <c r="A587" s="17"/>
      <c r="B587" s="17"/>
      <c r="C587" s="17"/>
      <c r="D587" s="17"/>
      <c r="E587" s="17"/>
      <c r="F587" s="17"/>
    </row>
    <row r="588" spans="1:6" ht="12.75">
      <c r="A588" s="17"/>
      <c r="B588" s="17"/>
      <c r="C588" s="17"/>
      <c r="D588" s="17"/>
      <c r="E588" s="17"/>
      <c r="F588" s="17"/>
    </row>
    <row r="589" spans="1:6" ht="12.75">
      <c r="A589" s="17"/>
      <c r="B589" s="17"/>
      <c r="C589" s="17"/>
      <c r="D589" s="17"/>
      <c r="E589" s="17"/>
      <c r="F589" s="17"/>
    </row>
    <row r="590" spans="1:6" ht="12.75">
      <c r="A590" s="17"/>
      <c r="B590" s="17"/>
      <c r="C590" s="17"/>
      <c r="D590" s="17"/>
      <c r="E590" s="17"/>
      <c r="F590" s="17"/>
    </row>
    <row r="591" spans="1:6" ht="12.75">
      <c r="A591" s="17"/>
      <c r="B591" s="17"/>
      <c r="C591" s="17"/>
      <c r="D591" s="17"/>
      <c r="E591" s="17"/>
      <c r="F591" s="17"/>
    </row>
    <row r="592" spans="1:6" ht="12.75">
      <c r="A592" s="17"/>
      <c r="B592" s="17"/>
      <c r="C592" s="17"/>
      <c r="D592" s="17"/>
      <c r="E592" s="17"/>
      <c r="F592" s="17"/>
    </row>
    <row r="593" spans="1:6" ht="12.75">
      <c r="A593" s="17"/>
      <c r="B593" s="17"/>
      <c r="C593" s="17"/>
      <c r="D593" s="17"/>
      <c r="E593" s="17"/>
      <c r="F593" s="17"/>
    </row>
    <row r="594" spans="1:6" ht="12.75">
      <c r="A594" s="17"/>
      <c r="B594" s="17"/>
      <c r="C594" s="17"/>
      <c r="D594" s="17"/>
      <c r="E594" s="17"/>
      <c r="F594" s="17"/>
    </row>
    <row r="595" spans="1:6" ht="12.75">
      <c r="A595" s="17"/>
      <c r="B595" s="17"/>
      <c r="C595" s="17"/>
      <c r="D595" s="17"/>
      <c r="E595" s="17"/>
      <c r="F595" s="17"/>
    </row>
    <row r="596" spans="1:6" ht="12.75">
      <c r="A596" s="17"/>
      <c r="B596" s="17"/>
      <c r="C596" s="17"/>
      <c r="D596" s="17"/>
      <c r="E596" s="17"/>
      <c r="F596" s="17"/>
    </row>
    <row r="597" spans="1:6" ht="12.75">
      <c r="A597" s="17"/>
      <c r="B597" s="17"/>
      <c r="C597" s="17"/>
      <c r="D597" s="17"/>
      <c r="E597" s="17"/>
      <c r="F597" s="17"/>
    </row>
    <row r="598" spans="1:6" ht="12.75">
      <c r="A598" s="17"/>
      <c r="B598" s="17"/>
      <c r="C598" s="17"/>
      <c r="D598" s="17"/>
      <c r="E598" s="17"/>
      <c r="F598" s="17"/>
    </row>
    <row r="599" spans="1:6" ht="12.75">
      <c r="A599" s="17"/>
      <c r="B599" s="17"/>
      <c r="C599" s="17"/>
      <c r="D599" s="17"/>
      <c r="E599" s="17"/>
      <c r="F599" s="17"/>
    </row>
    <row r="600" spans="1:6" ht="12.75">
      <c r="A600" s="17"/>
      <c r="B600" s="17"/>
      <c r="C600" s="17"/>
      <c r="D600" s="17"/>
      <c r="E600" s="17"/>
      <c r="F600" s="17"/>
    </row>
    <row r="601" spans="1:6" ht="12.75">
      <c r="A601" s="17"/>
      <c r="B601" s="17"/>
      <c r="C601" s="17"/>
      <c r="D601" s="17"/>
      <c r="E601" s="17"/>
      <c r="F601" s="17"/>
    </row>
    <row r="602" spans="1:6" ht="12.75">
      <c r="A602" s="17"/>
      <c r="B602" s="17"/>
      <c r="C602" s="17"/>
      <c r="D602" s="17"/>
      <c r="E602" s="17"/>
      <c r="F602" s="17"/>
    </row>
    <row r="603" spans="1:6" ht="12.75">
      <c r="A603" s="17"/>
      <c r="B603" s="17"/>
      <c r="C603" s="17"/>
      <c r="D603" s="17"/>
      <c r="E603" s="17"/>
      <c r="F603" s="17"/>
    </row>
    <row r="604" spans="1:6" ht="12.75">
      <c r="A604" s="17"/>
      <c r="B604" s="17"/>
      <c r="C604" s="17"/>
      <c r="D604" s="17"/>
      <c r="E604" s="17"/>
      <c r="F604" s="17"/>
    </row>
    <row r="605" spans="1:6" ht="12.75">
      <c r="A605" s="17"/>
      <c r="B605" s="17"/>
      <c r="C605" s="17"/>
      <c r="D605" s="17"/>
      <c r="E605" s="17"/>
      <c r="F605" s="17"/>
    </row>
    <row r="606" spans="1:6" ht="12.75">
      <c r="A606" s="17"/>
      <c r="B606" s="17"/>
      <c r="C606" s="17"/>
      <c r="D606" s="17"/>
      <c r="E606" s="17"/>
      <c r="F606" s="17"/>
    </row>
    <row r="607" spans="1:6" ht="12.75">
      <c r="A607" s="17"/>
      <c r="B607" s="17"/>
      <c r="C607" s="17"/>
      <c r="D607" s="17"/>
      <c r="E607" s="17"/>
      <c r="F607" s="17"/>
    </row>
    <row r="608" spans="1:6" ht="12.75">
      <c r="A608" s="17"/>
      <c r="B608" s="17"/>
      <c r="C608" s="17"/>
      <c r="D608" s="17"/>
      <c r="E608" s="17"/>
      <c r="F608" s="17"/>
    </row>
    <row r="609" spans="1:6" ht="12.75">
      <c r="A609" s="17"/>
      <c r="B609" s="17"/>
      <c r="C609" s="17"/>
      <c r="D609" s="17"/>
      <c r="E609" s="17"/>
      <c r="F609" s="17"/>
    </row>
    <row r="610" spans="1:6" ht="12.75">
      <c r="A610" s="17"/>
      <c r="B610" s="17"/>
      <c r="C610" s="17"/>
      <c r="D610" s="17"/>
      <c r="E610" s="17"/>
      <c r="F610" s="17"/>
    </row>
    <row r="611" spans="1:6" ht="12.75">
      <c r="A611" s="17"/>
      <c r="B611" s="17"/>
      <c r="C611" s="17"/>
      <c r="D611" s="17"/>
      <c r="E611" s="17"/>
      <c r="F611" s="17"/>
    </row>
    <row r="612" spans="1:6" ht="12.75">
      <c r="A612" s="17"/>
      <c r="B612" s="17"/>
      <c r="C612" s="17"/>
      <c r="D612" s="17"/>
      <c r="E612" s="17"/>
      <c r="F612" s="17"/>
    </row>
    <row r="613" spans="1:6" ht="12.75">
      <c r="A613" s="17"/>
      <c r="B613" s="17"/>
      <c r="C613" s="17"/>
      <c r="D613" s="17"/>
      <c r="E613" s="17"/>
      <c r="F613" s="17"/>
    </row>
    <row r="614" spans="1:6" ht="12.75">
      <c r="A614" s="17"/>
      <c r="B614" s="17"/>
      <c r="C614" s="17"/>
      <c r="D614" s="17"/>
      <c r="E614" s="17"/>
      <c r="F614" s="17"/>
    </row>
    <row r="615" spans="1:6" ht="12.75">
      <c r="A615" s="17"/>
      <c r="B615" s="17"/>
      <c r="C615" s="17"/>
      <c r="D615" s="17"/>
      <c r="E615" s="17"/>
      <c r="F615" s="17"/>
    </row>
    <row r="616" spans="1:6" ht="12.75">
      <c r="A616" s="17"/>
      <c r="B616" s="17"/>
      <c r="C616" s="17"/>
      <c r="D616" s="17"/>
      <c r="E616" s="17"/>
      <c r="F616" s="17"/>
    </row>
    <row r="617" spans="1:6" ht="12.75">
      <c r="A617" s="17"/>
      <c r="B617" s="17"/>
      <c r="C617" s="17"/>
      <c r="D617" s="17"/>
      <c r="E617" s="17"/>
      <c r="F617" s="17"/>
    </row>
    <row r="618" spans="1:6" ht="12.75">
      <c r="A618" s="17"/>
      <c r="B618" s="17"/>
      <c r="C618" s="17"/>
      <c r="D618" s="17"/>
      <c r="E618" s="17"/>
      <c r="F618" s="17"/>
    </row>
    <row r="619" spans="1:6" ht="12.75">
      <c r="A619" s="17"/>
      <c r="B619" s="17"/>
      <c r="C619" s="17"/>
      <c r="D619" s="17"/>
      <c r="E619" s="17"/>
      <c r="F619" s="17"/>
    </row>
    <row r="620" spans="1:6" ht="12.75">
      <c r="A620" s="17"/>
      <c r="B620" s="17"/>
      <c r="C620" s="17"/>
      <c r="D620" s="17"/>
      <c r="E620" s="17"/>
      <c r="F620" s="17"/>
    </row>
    <row r="621" spans="1:6" ht="12.75">
      <c r="A621" s="17"/>
      <c r="B621" s="17"/>
      <c r="C621" s="17"/>
      <c r="D621" s="17"/>
      <c r="E621" s="17"/>
      <c r="F621" s="17"/>
    </row>
    <row r="622" spans="1:6" ht="12.75">
      <c r="A622" s="17"/>
      <c r="B622" s="17"/>
      <c r="C622" s="17"/>
      <c r="D622" s="17"/>
      <c r="E622" s="17"/>
      <c r="F622" s="17"/>
    </row>
    <row r="623" spans="1:6" ht="12.75">
      <c r="A623" s="17"/>
      <c r="B623" s="17"/>
      <c r="C623" s="17"/>
      <c r="D623" s="17"/>
      <c r="E623" s="17"/>
      <c r="F623" s="17"/>
    </row>
    <row r="624" spans="1:6" ht="12.75">
      <c r="A624" s="17"/>
      <c r="B624" s="17"/>
      <c r="C624" s="17"/>
      <c r="D624" s="17"/>
      <c r="E624" s="17"/>
      <c r="F624" s="17"/>
    </row>
    <row r="625" spans="1:6" ht="12.75">
      <c r="A625" s="17"/>
      <c r="B625" s="17"/>
      <c r="C625" s="17"/>
      <c r="D625" s="17"/>
      <c r="E625" s="17"/>
      <c r="F625" s="17"/>
    </row>
    <row r="626" spans="1:6" ht="12.75">
      <c r="A626" s="17"/>
      <c r="B626" s="17"/>
      <c r="C626" s="17"/>
      <c r="D626" s="17"/>
      <c r="E626" s="17"/>
      <c r="F626" s="17"/>
    </row>
    <row r="627" spans="1:6" ht="12.75">
      <c r="A627" s="17"/>
      <c r="B627" s="17"/>
      <c r="C627" s="17"/>
      <c r="D627" s="17"/>
      <c r="E627" s="17"/>
      <c r="F627" s="17"/>
    </row>
    <row r="628" spans="1:6" ht="12.75">
      <c r="A628" s="17"/>
      <c r="B628" s="17"/>
      <c r="C628" s="17"/>
      <c r="D628" s="17"/>
      <c r="E628" s="17"/>
      <c r="F628" s="17"/>
    </row>
    <row r="629" spans="1:6" ht="12.75">
      <c r="A629" s="17"/>
      <c r="B629" s="17"/>
      <c r="C629" s="17"/>
      <c r="D629" s="17"/>
      <c r="E629" s="17"/>
      <c r="F629" s="17"/>
    </row>
    <row r="630" spans="1:6" ht="12.75">
      <c r="A630" s="17"/>
      <c r="B630" s="17"/>
      <c r="C630" s="17"/>
      <c r="D630" s="17"/>
      <c r="E630" s="17"/>
      <c r="F630" s="17"/>
    </row>
    <row r="631" spans="1:6" ht="12.75">
      <c r="A631" s="17"/>
      <c r="B631" s="17"/>
      <c r="C631" s="17"/>
      <c r="D631" s="17"/>
      <c r="E631" s="17"/>
      <c r="F631" s="17"/>
    </row>
    <row r="632" spans="1:6" ht="12.75">
      <c r="A632" s="17"/>
      <c r="B632" s="17"/>
      <c r="C632" s="17"/>
      <c r="D632" s="17"/>
      <c r="E632" s="17"/>
      <c r="F632" s="17"/>
    </row>
    <row r="633" spans="1:6" ht="12.75">
      <c r="A633" s="17"/>
      <c r="B633" s="17"/>
      <c r="C633" s="17"/>
      <c r="D633" s="17"/>
      <c r="E633" s="17"/>
      <c r="F633" s="17"/>
    </row>
    <row r="634" spans="1:6" ht="12.75">
      <c r="A634" s="17"/>
      <c r="B634" s="17"/>
      <c r="C634" s="17"/>
      <c r="D634" s="17"/>
      <c r="E634" s="17"/>
      <c r="F634" s="17"/>
    </row>
    <row r="635" spans="1:6" ht="12.75">
      <c r="A635" s="17"/>
      <c r="B635" s="17"/>
      <c r="C635" s="17"/>
      <c r="D635" s="17"/>
      <c r="E635" s="17"/>
      <c r="F635" s="17"/>
    </row>
    <row r="636" spans="1:6" ht="12.75">
      <c r="A636" s="17"/>
      <c r="B636" s="17"/>
      <c r="C636" s="17"/>
      <c r="D636" s="17"/>
      <c r="E636" s="17"/>
      <c r="F636" s="17"/>
    </row>
    <row r="637" spans="1:6" ht="12.75">
      <c r="A637" s="17"/>
      <c r="B637" s="17"/>
      <c r="C637" s="17"/>
      <c r="D637" s="17"/>
      <c r="E637" s="17"/>
      <c r="F637" s="17"/>
    </row>
    <row r="638" spans="1:6" ht="12.75">
      <c r="A638" s="17"/>
      <c r="B638" s="17"/>
      <c r="C638" s="17"/>
      <c r="D638" s="17"/>
      <c r="E638" s="17"/>
      <c r="F638" s="17"/>
    </row>
    <row r="639" spans="1:6" ht="12.75">
      <c r="A639" s="17"/>
      <c r="B639" s="17"/>
      <c r="C639" s="17"/>
      <c r="D639" s="17"/>
      <c r="E639" s="17"/>
      <c r="F639" s="17"/>
    </row>
    <row r="640" spans="1:6" ht="12.75">
      <c r="A640" s="17"/>
      <c r="B640" s="17"/>
      <c r="C640" s="17"/>
      <c r="D640" s="17"/>
      <c r="E640" s="17"/>
      <c r="F640" s="17"/>
    </row>
    <row r="641" spans="1:6" ht="12.75">
      <c r="A641" s="17"/>
      <c r="B641" s="17"/>
      <c r="C641" s="17"/>
      <c r="D641" s="17"/>
      <c r="E641" s="17"/>
      <c r="F641" s="17"/>
    </row>
    <row r="642" spans="1:6" ht="12.75">
      <c r="A642" s="17"/>
      <c r="B642" s="17"/>
      <c r="C642" s="17"/>
      <c r="D642" s="17"/>
      <c r="E642" s="17"/>
      <c r="F642" s="17"/>
    </row>
    <row r="643" spans="1:6" ht="12.75">
      <c r="A643" s="17"/>
      <c r="B643" s="17"/>
      <c r="C643" s="17"/>
      <c r="D643" s="17"/>
      <c r="E643" s="17"/>
      <c r="F643" s="17"/>
    </row>
    <row r="644" spans="1:6" ht="12.75">
      <c r="A644" s="17"/>
      <c r="B644" s="17"/>
      <c r="C644" s="17"/>
      <c r="D644" s="17"/>
      <c r="E644" s="17"/>
      <c r="F644" s="17"/>
    </row>
    <row r="645" spans="1:6" ht="12.75">
      <c r="A645" s="17"/>
      <c r="B645" s="17"/>
      <c r="C645" s="17"/>
      <c r="D645" s="17"/>
      <c r="E645" s="17"/>
      <c r="F645" s="17"/>
    </row>
    <row r="646" spans="1:6" ht="12.75">
      <c r="A646" s="17"/>
      <c r="B646" s="17"/>
      <c r="C646" s="17"/>
      <c r="D646" s="17"/>
      <c r="E646" s="17"/>
      <c r="F646" s="17"/>
    </row>
    <row r="647" spans="1:6" ht="12.75">
      <c r="A647" s="17"/>
      <c r="B647" s="17"/>
      <c r="C647" s="17"/>
      <c r="D647" s="17"/>
      <c r="E647" s="17"/>
      <c r="F647" s="17"/>
    </row>
    <row r="648" spans="1:6" ht="12.75">
      <c r="A648" s="17"/>
      <c r="B648" s="17"/>
      <c r="C648" s="17"/>
      <c r="D648" s="17"/>
      <c r="E648" s="17"/>
      <c r="F648" s="17"/>
    </row>
    <row r="649" spans="1:6" ht="12.75">
      <c r="A649" s="17"/>
      <c r="B649" s="17"/>
      <c r="C649" s="17"/>
      <c r="D649" s="17"/>
      <c r="E649" s="17"/>
      <c r="F649" s="17"/>
    </row>
    <row r="650" spans="1:6" ht="12.75">
      <c r="A650" s="17"/>
      <c r="B650" s="17"/>
      <c r="C650" s="17"/>
      <c r="D650" s="17"/>
      <c r="E650" s="17"/>
      <c r="F650" s="17"/>
    </row>
    <row r="651" spans="1:6" ht="12.75">
      <c r="A651" s="17"/>
      <c r="B651" s="17"/>
      <c r="C651" s="17"/>
      <c r="D651" s="17"/>
      <c r="E651" s="17"/>
      <c r="F651" s="17"/>
    </row>
    <row r="652" spans="1:6" ht="12.75">
      <c r="A652" s="17"/>
      <c r="B652" s="17"/>
      <c r="C652" s="17"/>
      <c r="D652" s="17"/>
      <c r="E652" s="17"/>
      <c r="F652" s="17"/>
    </row>
    <row r="653" spans="1:6" ht="12.75">
      <c r="A653" s="17"/>
      <c r="B653" s="17"/>
      <c r="C653" s="17"/>
      <c r="D653" s="17"/>
      <c r="E653" s="17"/>
      <c r="F653" s="17"/>
    </row>
    <row r="654" spans="1:6" ht="12.75">
      <c r="A654" s="17"/>
      <c r="B654" s="17"/>
      <c r="C654" s="17"/>
      <c r="D654" s="17"/>
      <c r="E654" s="17"/>
      <c r="F654" s="17"/>
    </row>
    <row r="655" spans="1:6" ht="12.75">
      <c r="A655" s="17"/>
      <c r="B655" s="17"/>
      <c r="C655" s="17"/>
      <c r="D655" s="17"/>
      <c r="E655" s="17"/>
      <c r="F655" s="17"/>
    </row>
    <row r="656" spans="1:6" ht="12.75">
      <c r="A656" s="17"/>
      <c r="B656" s="17"/>
      <c r="C656" s="17"/>
      <c r="D656" s="17"/>
      <c r="E656" s="17"/>
      <c r="F656" s="17"/>
    </row>
    <row r="657" spans="1:6" ht="12.75">
      <c r="A657" s="17"/>
      <c r="B657" s="17"/>
      <c r="C657" s="17"/>
      <c r="D657" s="17"/>
      <c r="E657" s="17"/>
      <c r="F657" s="17"/>
    </row>
    <row r="658" spans="1:6" ht="12.75">
      <c r="A658" s="17"/>
      <c r="B658" s="17"/>
      <c r="C658" s="17"/>
      <c r="D658" s="17"/>
      <c r="E658" s="17"/>
      <c r="F658" s="17"/>
    </row>
    <row r="659" spans="1:6" ht="12.75">
      <c r="A659" s="17"/>
      <c r="B659" s="17"/>
      <c r="C659" s="17"/>
      <c r="D659" s="17"/>
      <c r="E659" s="17"/>
      <c r="F659" s="17"/>
    </row>
    <row r="660" spans="1:6" ht="12.75">
      <c r="A660" s="17"/>
      <c r="B660" s="17"/>
      <c r="C660" s="17"/>
      <c r="D660" s="17"/>
      <c r="E660" s="17"/>
      <c r="F660" s="17"/>
    </row>
    <row r="661" spans="1:6" ht="12.75">
      <c r="A661" s="17"/>
      <c r="B661" s="17"/>
      <c r="C661" s="17"/>
      <c r="D661" s="17"/>
      <c r="E661" s="17"/>
      <c r="F661" s="17"/>
    </row>
    <row r="662" spans="1:6" ht="12.75">
      <c r="A662" s="17"/>
      <c r="B662" s="17"/>
      <c r="C662" s="17"/>
      <c r="D662" s="17"/>
      <c r="E662" s="17"/>
      <c r="F662" s="17"/>
    </row>
    <row r="663" spans="1:6" ht="12.75">
      <c r="A663" s="17"/>
      <c r="B663" s="17"/>
      <c r="C663" s="17"/>
      <c r="D663" s="17"/>
      <c r="E663" s="17"/>
      <c r="F663" s="17"/>
    </row>
    <row r="664" spans="1:6" ht="12.75">
      <c r="A664" s="17"/>
      <c r="B664" s="17"/>
      <c r="C664" s="17"/>
      <c r="D664" s="17"/>
      <c r="E664" s="17"/>
      <c r="F664" s="17"/>
    </row>
    <row r="665" spans="1:6" ht="12.75">
      <c r="A665" s="17"/>
      <c r="B665" s="17"/>
      <c r="C665" s="17"/>
      <c r="D665" s="17"/>
      <c r="E665" s="17"/>
      <c r="F665" s="17"/>
    </row>
    <row r="666" spans="1:6" ht="12.75">
      <c r="A666" s="17"/>
      <c r="B666" s="17"/>
      <c r="C666" s="17"/>
      <c r="D666" s="17"/>
      <c r="E666" s="17"/>
      <c r="F666" s="17"/>
    </row>
    <row r="667" spans="1:6" ht="12.75">
      <c r="A667" s="17"/>
      <c r="B667" s="17"/>
      <c r="C667" s="17"/>
      <c r="D667" s="17"/>
      <c r="E667" s="17"/>
      <c r="F667" s="17"/>
    </row>
    <row r="668" spans="1:6" ht="12.75">
      <c r="A668" s="17"/>
      <c r="B668" s="17"/>
      <c r="C668" s="17"/>
      <c r="D668" s="17"/>
      <c r="E668" s="17"/>
      <c r="F668" s="17"/>
    </row>
    <row r="669" spans="1:6" ht="12.75">
      <c r="A669" s="17"/>
      <c r="B669" s="17"/>
      <c r="C669" s="17"/>
      <c r="D669" s="17"/>
      <c r="E669" s="17"/>
      <c r="F669" s="17"/>
    </row>
    <row r="670" spans="1:6" ht="12.75">
      <c r="A670" s="17"/>
      <c r="B670" s="17"/>
      <c r="C670" s="17"/>
      <c r="D670" s="17"/>
      <c r="E670" s="17"/>
      <c r="F670" s="17"/>
    </row>
    <row r="671" spans="1:6" ht="12.75">
      <c r="A671" s="17"/>
      <c r="B671" s="17"/>
      <c r="C671" s="17"/>
      <c r="D671" s="17"/>
      <c r="E671" s="17"/>
      <c r="F671" s="17"/>
    </row>
    <row r="672" spans="1:6" ht="12.75">
      <c r="A672" s="17"/>
      <c r="B672" s="17"/>
      <c r="C672" s="17"/>
      <c r="D672" s="17"/>
      <c r="E672" s="17"/>
      <c r="F672" s="17"/>
    </row>
    <row r="673" spans="1:6" ht="12.75">
      <c r="A673" s="17"/>
      <c r="B673" s="17"/>
      <c r="C673" s="17"/>
      <c r="D673" s="17"/>
      <c r="E673" s="17"/>
      <c r="F673" s="17"/>
    </row>
    <row r="674" spans="1:6" ht="12.75">
      <c r="A674" s="17"/>
      <c r="B674" s="17"/>
      <c r="C674" s="17"/>
      <c r="D674" s="17"/>
      <c r="E674" s="17"/>
      <c r="F674" s="17"/>
    </row>
    <row r="675" spans="1:6" ht="12.75">
      <c r="A675" s="17"/>
      <c r="B675" s="17"/>
      <c r="C675" s="17"/>
      <c r="D675" s="17"/>
      <c r="E675" s="17"/>
      <c r="F675" s="17"/>
    </row>
    <row r="676" spans="1:6" ht="12.75">
      <c r="A676" s="17"/>
      <c r="B676" s="17"/>
      <c r="C676" s="17"/>
      <c r="D676" s="17"/>
      <c r="E676" s="17"/>
      <c r="F676" s="17"/>
    </row>
    <row r="677" spans="1:6" ht="12.75">
      <c r="A677" s="17"/>
      <c r="B677" s="17"/>
      <c r="C677" s="17"/>
      <c r="D677" s="17"/>
      <c r="E677" s="17"/>
      <c r="F677" s="17"/>
    </row>
    <row r="678" spans="1:6" ht="12.75">
      <c r="A678" s="17"/>
      <c r="B678" s="17"/>
      <c r="C678" s="17"/>
      <c r="D678" s="17"/>
      <c r="E678" s="17"/>
      <c r="F678" s="17"/>
    </row>
    <row r="679" spans="1:6" ht="12.75">
      <c r="A679" s="17"/>
      <c r="B679" s="17"/>
      <c r="C679" s="17"/>
      <c r="D679" s="17"/>
      <c r="E679" s="17"/>
      <c r="F679" s="17"/>
    </row>
    <row r="680" spans="1:6" ht="12.75">
      <c r="A680" s="17"/>
      <c r="B680" s="17"/>
      <c r="C680" s="17"/>
      <c r="D680" s="17"/>
      <c r="E680" s="17"/>
      <c r="F680" s="17"/>
    </row>
    <row r="681" spans="1:6" ht="12.75">
      <c r="A681" s="17"/>
      <c r="B681" s="17"/>
      <c r="C681" s="17"/>
      <c r="D681" s="17"/>
      <c r="E681" s="17"/>
      <c r="F681" s="17"/>
    </row>
    <row r="682" spans="1:6" ht="12.75">
      <c r="A682" s="17"/>
      <c r="B682" s="17"/>
      <c r="C682" s="17"/>
      <c r="D682" s="17"/>
      <c r="E682" s="17"/>
      <c r="F682" s="17"/>
    </row>
    <row r="683" spans="1:6" ht="12.75">
      <c r="A683" s="17"/>
      <c r="B683" s="17"/>
      <c r="C683" s="17"/>
      <c r="D683" s="17"/>
      <c r="E683" s="17"/>
      <c r="F683" s="17"/>
    </row>
    <row r="684" spans="1:6" ht="12.75">
      <c r="A684" s="17"/>
      <c r="B684" s="17"/>
      <c r="C684" s="17"/>
      <c r="D684" s="17"/>
      <c r="E684" s="17"/>
      <c r="F684" s="17"/>
    </row>
    <row r="685" spans="1:6" ht="12.75">
      <c r="A685" s="17"/>
      <c r="B685" s="17"/>
      <c r="C685" s="17"/>
      <c r="D685" s="17"/>
      <c r="E685" s="17"/>
      <c r="F685" s="17"/>
    </row>
    <row r="686" spans="1:6" ht="12.75">
      <c r="A686" s="17"/>
      <c r="B686" s="17"/>
      <c r="C686" s="17"/>
      <c r="D686" s="17"/>
      <c r="E686" s="17"/>
      <c r="F686" s="17"/>
    </row>
    <row r="687" spans="1:6" ht="12.75">
      <c r="A687" s="17"/>
      <c r="B687" s="17"/>
      <c r="C687" s="17"/>
      <c r="D687" s="17"/>
      <c r="E687" s="17"/>
      <c r="F687" s="17"/>
    </row>
    <row r="688" spans="1:6" ht="12.75">
      <c r="A688" s="17"/>
      <c r="B688" s="17"/>
      <c r="C688" s="17"/>
      <c r="D688" s="17"/>
      <c r="E688" s="17"/>
      <c r="F688" s="17"/>
    </row>
    <row r="689" spans="1:6" ht="12.75">
      <c r="A689" s="17"/>
      <c r="B689" s="17"/>
      <c r="C689" s="17"/>
      <c r="D689" s="17"/>
      <c r="E689" s="17"/>
      <c r="F689" s="17"/>
    </row>
    <row r="690" spans="1:6" ht="12.75">
      <c r="A690" s="17"/>
      <c r="B690" s="17"/>
      <c r="C690" s="17"/>
      <c r="D690" s="17"/>
      <c r="E690" s="17"/>
      <c r="F690" s="17"/>
    </row>
    <row r="691" spans="1:6" ht="12.75">
      <c r="A691" s="17"/>
      <c r="B691" s="17"/>
      <c r="C691" s="17"/>
      <c r="D691" s="17"/>
      <c r="E691" s="17"/>
      <c r="F691" s="17"/>
    </row>
    <row r="692" spans="1:6" ht="12.75">
      <c r="A692" s="17"/>
      <c r="B692" s="17"/>
      <c r="C692" s="17"/>
      <c r="D692" s="17"/>
      <c r="E692" s="17"/>
      <c r="F692" s="17"/>
    </row>
    <row r="693" spans="1:6" ht="12.75">
      <c r="A693" s="17"/>
      <c r="B693" s="17"/>
      <c r="C693" s="17"/>
      <c r="D693" s="17"/>
      <c r="E693" s="17"/>
      <c r="F693" s="17"/>
    </row>
    <row r="694" spans="1:6" ht="12.75">
      <c r="A694" s="17"/>
      <c r="B694" s="17"/>
      <c r="C694" s="17"/>
      <c r="D694" s="17"/>
      <c r="E694" s="17"/>
      <c r="F694" s="17"/>
    </row>
    <row r="695" spans="1:6" ht="12.75">
      <c r="A695" s="17"/>
      <c r="B695" s="17"/>
      <c r="C695" s="17"/>
      <c r="D695" s="17"/>
      <c r="E695" s="17"/>
      <c r="F695" s="17"/>
    </row>
    <row r="696" spans="1:6" ht="12.75">
      <c r="A696" s="17"/>
      <c r="B696" s="17"/>
      <c r="C696" s="17"/>
      <c r="D696" s="17"/>
      <c r="E696" s="17"/>
      <c r="F696" s="17"/>
    </row>
    <row r="697" spans="1:6" ht="12.75">
      <c r="A697" s="17"/>
      <c r="B697" s="17"/>
      <c r="C697" s="17"/>
      <c r="D697" s="17"/>
      <c r="E697" s="17"/>
      <c r="F697" s="17"/>
    </row>
    <row r="698" spans="1:6" ht="12.75">
      <c r="A698" s="17"/>
      <c r="B698" s="17"/>
      <c r="C698" s="17"/>
      <c r="D698" s="17"/>
      <c r="E698" s="17"/>
      <c r="F698" s="17"/>
    </row>
    <row r="699" spans="1:6" ht="12.75">
      <c r="A699" s="17"/>
      <c r="B699" s="17"/>
      <c r="C699" s="17"/>
      <c r="D699" s="17"/>
      <c r="E699" s="17"/>
      <c r="F699" s="17"/>
    </row>
    <row r="700" spans="1:6" ht="12.75">
      <c r="A700" s="17"/>
      <c r="B700" s="17"/>
      <c r="C700" s="17"/>
      <c r="D700" s="17"/>
      <c r="E700" s="17"/>
      <c r="F700" s="17"/>
    </row>
    <row r="701" spans="1:6" ht="12.75">
      <c r="A701" s="17"/>
      <c r="B701" s="17"/>
      <c r="C701" s="17"/>
      <c r="D701" s="17"/>
      <c r="E701" s="17"/>
      <c r="F701" s="17"/>
    </row>
    <row r="702" spans="1:6" ht="12.75">
      <c r="A702" s="17"/>
      <c r="B702" s="17"/>
      <c r="C702" s="17"/>
      <c r="D702" s="17"/>
      <c r="E702" s="17"/>
      <c r="F702" s="17"/>
    </row>
    <row r="703" spans="1:6" ht="12.75">
      <c r="A703" s="17"/>
      <c r="B703" s="17"/>
      <c r="C703" s="17"/>
      <c r="D703" s="17"/>
      <c r="E703" s="17"/>
      <c r="F703" s="17"/>
    </row>
    <row r="704" spans="1:6" ht="12.75">
      <c r="A704" s="17"/>
      <c r="B704" s="17"/>
      <c r="C704" s="17"/>
      <c r="D704" s="17"/>
      <c r="E704" s="17"/>
      <c r="F704" s="17"/>
    </row>
    <row r="705" spans="1:6" ht="12.75">
      <c r="A705" s="17"/>
      <c r="B705" s="17"/>
      <c r="C705" s="17"/>
      <c r="D705" s="17"/>
      <c r="E705" s="17"/>
      <c r="F705" s="17"/>
    </row>
    <row r="706" spans="1:6" ht="12.75">
      <c r="A706" s="17"/>
      <c r="B706" s="17"/>
      <c r="C706" s="17"/>
      <c r="D706" s="17"/>
      <c r="E706" s="17"/>
      <c r="F706" s="17"/>
    </row>
    <row r="707" spans="1:6" ht="12.75">
      <c r="A707" s="17"/>
      <c r="B707" s="17"/>
      <c r="C707" s="17"/>
      <c r="D707" s="17"/>
      <c r="E707" s="17"/>
      <c r="F707" s="17"/>
    </row>
    <row r="708" spans="1:6" ht="12.75">
      <c r="A708" s="17"/>
      <c r="B708" s="17"/>
      <c r="C708" s="17"/>
      <c r="D708" s="17"/>
      <c r="E708" s="17"/>
      <c r="F708" s="17"/>
    </row>
    <row r="709" spans="1:6" ht="12.75">
      <c r="A709" s="17"/>
      <c r="B709" s="17"/>
      <c r="C709" s="17"/>
      <c r="D709" s="17"/>
      <c r="E709" s="17"/>
      <c r="F709" s="17"/>
    </row>
    <row r="710" spans="1:6" ht="12.75">
      <c r="A710" s="17"/>
      <c r="B710" s="17"/>
      <c r="C710" s="17"/>
      <c r="D710" s="17"/>
      <c r="E710" s="17"/>
      <c r="F710" s="17"/>
    </row>
    <row r="711" spans="1:6" ht="12.75">
      <c r="A711" s="17"/>
      <c r="B711" s="17"/>
      <c r="C711" s="17"/>
      <c r="D711" s="17"/>
      <c r="E711" s="17"/>
      <c r="F711" s="17"/>
    </row>
    <row r="712" spans="1:6" ht="12.75">
      <c r="A712" s="17"/>
      <c r="B712" s="17"/>
      <c r="C712" s="17"/>
      <c r="D712" s="17"/>
      <c r="E712" s="17"/>
      <c r="F712" s="17"/>
    </row>
    <row r="713" spans="1:6" ht="12.75">
      <c r="A713" s="17"/>
      <c r="B713" s="17"/>
      <c r="C713" s="17"/>
      <c r="D713" s="17"/>
      <c r="E713" s="17"/>
      <c r="F713" s="17"/>
    </row>
    <row r="714" spans="1:6" ht="12.75">
      <c r="A714" s="17"/>
      <c r="B714" s="17"/>
      <c r="C714" s="17"/>
      <c r="D714" s="17"/>
      <c r="E714" s="17"/>
      <c r="F714" s="17"/>
    </row>
    <row r="715" spans="1:6" ht="12.75">
      <c r="A715" s="17"/>
      <c r="B715" s="17"/>
      <c r="C715" s="17"/>
      <c r="D715" s="17"/>
      <c r="E715" s="17"/>
      <c r="F715" s="17"/>
    </row>
    <row r="716" spans="1:6" ht="12.75">
      <c r="A716" s="17"/>
      <c r="B716" s="17"/>
      <c r="C716" s="17"/>
      <c r="D716" s="17"/>
      <c r="E716" s="17"/>
      <c r="F716" s="17"/>
    </row>
    <row r="717" spans="1:6" ht="12.75">
      <c r="A717" s="17"/>
      <c r="B717" s="17"/>
      <c r="C717" s="17"/>
      <c r="D717" s="17"/>
      <c r="E717" s="17"/>
      <c r="F717" s="17"/>
    </row>
    <row r="718" spans="1:6" ht="12.75">
      <c r="A718" s="17"/>
      <c r="B718" s="17"/>
      <c r="C718" s="17"/>
      <c r="D718" s="17"/>
      <c r="E718" s="17"/>
      <c r="F718" s="17"/>
    </row>
    <row r="719" spans="1:6" ht="12.75">
      <c r="A719" s="17"/>
      <c r="B719" s="17"/>
      <c r="C719" s="17"/>
      <c r="D719" s="17"/>
      <c r="E719" s="17"/>
      <c r="F719" s="17"/>
    </row>
    <row r="720" spans="1:6" ht="12.75">
      <c r="A720" s="17"/>
      <c r="B720" s="17"/>
      <c r="C720" s="17"/>
      <c r="D720" s="17"/>
      <c r="E720" s="17"/>
      <c r="F720" s="17"/>
    </row>
    <row r="721" spans="1:6" ht="12.75">
      <c r="A721" s="17"/>
      <c r="B721" s="17"/>
      <c r="C721" s="17"/>
      <c r="D721" s="17"/>
      <c r="E721" s="17"/>
      <c r="F721" s="17"/>
    </row>
    <row r="722" spans="1:6" ht="12.75">
      <c r="A722" s="17"/>
      <c r="B722" s="17"/>
      <c r="C722" s="17"/>
      <c r="D722" s="17"/>
      <c r="E722" s="17"/>
      <c r="F722" s="17"/>
    </row>
    <row r="723" spans="1:6" ht="12.75">
      <c r="A723" s="17"/>
      <c r="B723" s="17"/>
      <c r="C723" s="17"/>
      <c r="D723" s="17"/>
      <c r="E723" s="17"/>
      <c r="F723" s="17"/>
    </row>
    <row r="724" spans="1:6" ht="12.75">
      <c r="A724" s="17"/>
      <c r="B724" s="17"/>
      <c r="C724" s="17"/>
      <c r="D724" s="17"/>
      <c r="E724" s="17"/>
      <c r="F724" s="17"/>
    </row>
    <row r="725" spans="1:6" ht="12.75">
      <c r="A725" s="17"/>
      <c r="B725" s="17"/>
      <c r="C725" s="17"/>
      <c r="D725" s="17"/>
      <c r="E725" s="17"/>
      <c r="F725" s="17"/>
    </row>
    <row r="726" spans="1:6" ht="12.75">
      <c r="A726" s="17"/>
      <c r="B726" s="17"/>
      <c r="C726" s="17"/>
      <c r="D726" s="17"/>
      <c r="E726" s="17"/>
      <c r="F726" s="17"/>
    </row>
    <row r="727" spans="1:6" ht="12.75">
      <c r="A727" s="17"/>
      <c r="B727" s="17"/>
      <c r="C727" s="17"/>
      <c r="D727" s="17"/>
      <c r="E727" s="17"/>
      <c r="F727" s="17"/>
    </row>
    <row r="728" spans="1:6" ht="12.75">
      <c r="A728" s="17"/>
      <c r="B728" s="17"/>
      <c r="C728" s="17"/>
      <c r="D728" s="17"/>
      <c r="E728" s="17"/>
      <c r="F728" s="17"/>
    </row>
    <row r="729" spans="1:6" ht="12.75">
      <c r="A729" s="17"/>
      <c r="B729" s="17"/>
      <c r="C729" s="17"/>
      <c r="D729" s="17"/>
      <c r="E729" s="17"/>
      <c r="F729" s="17"/>
    </row>
    <row r="730" spans="1:6" ht="12.75">
      <c r="A730" s="17"/>
      <c r="B730" s="17"/>
      <c r="C730" s="17"/>
      <c r="D730" s="17"/>
      <c r="E730" s="17"/>
      <c r="F730" s="17"/>
    </row>
    <row r="731" spans="1:6" ht="12.75">
      <c r="A731" s="17"/>
      <c r="B731" s="17"/>
      <c r="C731" s="17"/>
      <c r="D731" s="17"/>
      <c r="E731" s="17"/>
      <c r="F731" s="17"/>
    </row>
    <row r="732" spans="1:6" ht="12.75">
      <c r="A732" s="17"/>
      <c r="B732" s="17"/>
      <c r="C732" s="17"/>
      <c r="D732" s="17"/>
      <c r="E732" s="17"/>
      <c r="F732" s="17"/>
    </row>
    <row r="733" spans="1:6" ht="12.75">
      <c r="A733" s="17"/>
      <c r="B733" s="17"/>
      <c r="C733" s="17"/>
      <c r="D733" s="17"/>
      <c r="E733" s="17"/>
      <c r="F733" s="17"/>
    </row>
    <row r="734" spans="1:6" ht="12.75">
      <c r="A734" s="17"/>
      <c r="B734" s="17"/>
      <c r="C734" s="17"/>
      <c r="D734" s="17"/>
      <c r="E734" s="17"/>
      <c r="F734" s="17"/>
    </row>
    <row r="735" spans="1:6" ht="12.75">
      <c r="A735" s="17"/>
      <c r="B735" s="17"/>
      <c r="C735" s="17"/>
      <c r="D735" s="17"/>
      <c r="E735" s="17"/>
      <c r="F735" s="17"/>
    </row>
    <row r="736" spans="1:6" ht="12.75">
      <c r="A736" s="17"/>
      <c r="B736" s="17"/>
      <c r="C736" s="17"/>
      <c r="D736" s="17"/>
      <c r="E736" s="17"/>
      <c r="F736" s="17"/>
    </row>
    <row r="737" spans="1:6" ht="12.75">
      <c r="A737" s="17"/>
      <c r="B737" s="17"/>
      <c r="C737" s="17"/>
      <c r="D737" s="17"/>
      <c r="E737" s="17"/>
      <c r="F737" s="17"/>
    </row>
    <row r="738" spans="1:6" ht="12.75">
      <c r="A738" s="17"/>
      <c r="B738" s="17"/>
      <c r="C738" s="17"/>
      <c r="D738" s="17"/>
      <c r="E738" s="17"/>
      <c r="F738" s="17"/>
    </row>
    <row r="739" spans="1:6" ht="12.75">
      <c r="A739" s="17"/>
      <c r="B739" s="17"/>
      <c r="C739" s="17"/>
      <c r="D739" s="17"/>
      <c r="E739" s="17"/>
      <c r="F739" s="17"/>
    </row>
    <row r="740" spans="1:6" ht="12.75">
      <c r="A740" s="17"/>
      <c r="B740" s="17"/>
      <c r="C740" s="17"/>
      <c r="D740" s="17"/>
      <c r="E740" s="17"/>
      <c r="F740" s="17"/>
    </row>
    <row r="741" spans="1:6" ht="12.75">
      <c r="A741" s="17"/>
      <c r="B741" s="17"/>
      <c r="C741" s="17"/>
      <c r="D741" s="17"/>
      <c r="E741" s="17"/>
      <c r="F741" s="17"/>
    </row>
    <row r="742" spans="1:6" ht="12.75">
      <c r="A742" s="17"/>
      <c r="B742" s="17"/>
      <c r="C742" s="17"/>
      <c r="D742" s="17"/>
      <c r="E742" s="17"/>
      <c r="F742" s="17"/>
    </row>
    <row r="743" spans="1:6" ht="12.75">
      <c r="A743" s="17"/>
      <c r="B743" s="17"/>
      <c r="C743" s="17"/>
      <c r="D743" s="17"/>
      <c r="E743" s="17"/>
      <c r="F743" s="17"/>
    </row>
    <row r="744" spans="1:6" ht="12.75">
      <c r="A744" s="17"/>
      <c r="B744" s="17"/>
      <c r="C744" s="17"/>
      <c r="D744" s="17"/>
      <c r="E744" s="17"/>
      <c r="F744" s="17"/>
    </row>
    <row r="745" spans="1:6" ht="12.75">
      <c r="A745" s="17"/>
      <c r="B745" s="17"/>
      <c r="C745" s="17"/>
      <c r="D745" s="17"/>
      <c r="E745" s="17"/>
      <c r="F745" s="17"/>
    </row>
    <row r="746" spans="1:6" ht="12.75">
      <c r="A746" s="17"/>
      <c r="B746" s="17"/>
      <c r="C746" s="17"/>
      <c r="D746" s="17"/>
      <c r="E746" s="17"/>
      <c r="F746" s="17"/>
    </row>
    <row r="747" spans="1:6" ht="12.75">
      <c r="A747" s="17"/>
      <c r="B747" s="17"/>
      <c r="C747" s="17"/>
      <c r="D747" s="17"/>
      <c r="E747" s="17"/>
      <c r="F747" s="17"/>
    </row>
    <row r="748" spans="1:6" ht="12.75">
      <c r="A748" s="17"/>
      <c r="B748" s="17"/>
      <c r="C748" s="17"/>
      <c r="D748" s="17"/>
      <c r="E748" s="17"/>
      <c r="F748" s="17"/>
    </row>
    <row r="749" spans="1:6" ht="12.75">
      <c r="A749" s="17"/>
      <c r="B749" s="17"/>
      <c r="C749" s="17"/>
      <c r="D749" s="17"/>
      <c r="E749" s="17"/>
      <c r="F749" s="17"/>
    </row>
    <row r="750" spans="1:6" ht="12.75">
      <c r="A750" s="17"/>
      <c r="B750" s="17"/>
      <c r="C750" s="17"/>
      <c r="D750" s="17"/>
      <c r="E750" s="17"/>
      <c r="F750" s="17"/>
    </row>
    <row r="751" spans="1:6" ht="12.75">
      <c r="A751" s="17"/>
      <c r="B751" s="17"/>
      <c r="C751" s="17"/>
      <c r="D751" s="17"/>
      <c r="E751" s="17"/>
      <c r="F751" s="17"/>
    </row>
    <row r="752" spans="1:6" ht="12.75">
      <c r="A752" s="17"/>
      <c r="B752" s="17"/>
      <c r="C752" s="17"/>
      <c r="D752" s="17"/>
      <c r="E752" s="17"/>
      <c r="F752" s="17"/>
    </row>
    <row r="753" spans="1:6" ht="12.75">
      <c r="A753" s="17"/>
      <c r="B753" s="17"/>
      <c r="C753" s="17"/>
      <c r="D753" s="17"/>
      <c r="E753" s="17"/>
      <c r="F753" s="17"/>
    </row>
    <row r="754" spans="1:6" ht="12.75">
      <c r="A754" s="17"/>
      <c r="B754" s="17"/>
      <c r="C754" s="17"/>
      <c r="D754" s="17"/>
      <c r="E754" s="17"/>
      <c r="F754" s="17"/>
    </row>
    <row r="755" spans="1:6" ht="12.75">
      <c r="A755" s="17"/>
      <c r="B755" s="17"/>
      <c r="C755" s="17"/>
      <c r="D755" s="17"/>
      <c r="E755" s="17"/>
      <c r="F755" s="17"/>
    </row>
    <row r="756" spans="1:6" ht="12.75">
      <c r="A756" s="17"/>
      <c r="B756" s="17"/>
      <c r="C756" s="17"/>
      <c r="D756" s="17"/>
      <c r="E756" s="17"/>
      <c r="F756" s="17"/>
    </row>
    <row r="757" spans="1:6" ht="12.75">
      <c r="A757" s="17"/>
      <c r="B757" s="17"/>
      <c r="C757" s="17"/>
      <c r="D757" s="17"/>
      <c r="E757" s="17"/>
      <c r="F757" s="17"/>
    </row>
    <row r="758" spans="1:6" ht="12.75">
      <c r="A758" s="17"/>
      <c r="B758" s="17"/>
      <c r="C758" s="17"/>
      <c r="D758" s="17"/>
      <c r="E758" s="17"/>
      <c r="F758" s="17"/>
    </row>
    <row r="759" spans="1:6" ht="12.75">
      <c r="A759" s="17"/>
      <c r="B759" s="17"/>
      <c r="C759" s="17"/>
      <c r="D759" s="17"/>
      <c r="E759" s="17"/>
      <c r="F759" s="17"/>
    </row>
    <row r="760" spans="1:6" ht="12.75">
      <c r="A760" s="17"/>
      <c r="B760" s="17"/>
      <c r="C760" s="17"/>
      <c r="D760" s="17"/>
      <c r="E760" s="17"/>
      <c r="F760" s="17"/>
    </row>
    <row r="761" spans="1:6" ht="12.75">
      <c r="A761" s="17"/>
      <c r="B761" s="17"/>
      <c r="C761" s="17"/>
      <c r="D761" s="17"/>
      <c r="E761" s="17"/>
      <c r="F761" s="17"/>
    </row>
    <row r="762" spans="1:6" ht="12.75">
      <c r="A762" s="17"/>
      <c r="B762" s="17"/>
      <c r="C762" s="17"/>
      <c r="D762" s="17"/>
      <c r="E762" s="17"/>
      <c r="F762" s="17"/>
    </row>
    <row r="763" spans="1:6" ht="12.75">
      <c r="A763" s="17"/>
      <c r="B763" s="17"/>
      <c r="C763" s="17"/>
      <c r="D763" s="17"/>
      <c r="E763" s="17"/>
      <c r="F763" s="17"/>
    </row>
    <row r="764" spans="1:6" ht="12.75">
      <c r="A764" s="17"/>
      <c r="B764" s="17"/>
      <c r="C764" s="17"/>
      <c r="D764" s="17"/>
      <c r="E764" s="17"/>
      <c r="F764" s="17"/>
    </row>
    <row r="765" spans="1:6" ht="12.75">
      <c r="A765" s="17"/>
      <c r="B765" s="17"/>
      <c r="C765" s="17"/>
      <c r="D765" s="17"/>
      <c r="E765" s="17"/>
      <c r="F765" s="17"/>
    </row>
    <row r="766" spans="1:6" ht="12.75">
      <c r="A766" s="17"/>
      <c r="B766" s="17"/>
      <c r="C766" s="17"/>
      <c r="D766" s="17"/>
      <c r="E766" s="17"/>
      <c r="F766" s="17"/>
    </row>
    <row r="767" spans="1:6" ht="12.75">
      <c r="A767" s="17"/>
      <c r="B767" s="17"/>
      <c r="C767" s="17"/>
      <c r="D767" s="17"/>
      <c r="E767" s="17"/>
      <c r="F767" s="17"/>
    </row>
    <row r="768" spans="1:6" ht="12.75">
      <c r="A768" s="17"/>
      <c r="B768" s="17"/>
      <c r="C768" s="17"/>
      <c r="D768" s="17"/>
      <c r="E768" s="17"/>
      <c r="F768" s="17"/>
    </row>
    <row r="769" spans="1:6" ht="12.75">
      <c r="A769" s="17"/>
      <c r="B769" s="17"/>
      <c r="C769" s="17"/>
      <c r="D769" s="17"/>
      <c r="E769" s="17"/>
      <c r="F769" s="17"/>
    </row>
    <row r="770" spans="1:6" ht="12.75">
      <c r="A770" s="17"/>
      <c r="B770" s="17"/>
      <c r="C770" s="17"/>
      <c r="D770" s="17"/>
      <c r="E770" s="17"/>
      <c r="F770" s="17"/>
    </row>
    <row r="771" spans="1:6" ht="12.75">
      <c r="A771" s="17"/>
      <c r="B771" s="17"/>
      <c r="C771" s="17"/>
      <c r="D771" s="17"/>
      <c r="E771" s="17"/>
      <c r="F771" s="17"/>
    </row>
    <row r="772" spans="1:6" ht="12.75">
      <c r="A772" s="17"/>
      <c r="B772" s="17"/>
      <c r="C772" s="17"/>
      <c r="D772" s="17"/>
      <c r="E772" s="17"/>
      <c r="F772" s="17"/>
    </row>
    <row r="773" spans="1:6" ht="12.75">
      <c r="A773" s="17"/>
      <c r="B773" s="17"/>
      <c r="C773" s="17"/>
      <c r="D773" s="17"/>
      <c r="E773" s="17"/>
      <c r="F773" s="17"/>
    </row>
    <row r="774" spans="1:6" ht="12.75">
      <c r="A774" s="17"/>
      <c r="B774" s="17"/>
      <c r="C774" s="17"/>
      <c r="D774" s="17"/>
      <c r="E774" s="17"/>
      <c r="F774" s="17"/>
    </row>
    <row r="775" spans="1:6" ht="12.75">
      <c r="A775" s="17"/>
      <c r="B775" s="17"/>
      <c r="C775" s="17"/>
      <c r="D775" s="17"/>
      <c r="E775" s="17"/>
      <c r="F775" s="17"/>
    </row>
    <row r="776" spans="1:6" ht="12.75">
      <c r="A776" s="17"/>
      <c r="B776" s="17"/>
      <c r="C776" s="17"/>
      <c r="D776" s="17"/>
      <c r="E776" s="17"/>
      <c r="F776" s="17"/>
    </row>
    <row r="777" spans="1:6" ht="12.75">
      <c r="A777" s="17"/>
      <c r="B777" s="17"/>
      <c r="C777" s="17"/>
      <c r="D777" s="17"/>
      <c r="E777" s="17"/>
      <c r="F777" s="17"/>
    </row>
    <row r="778" spans="1:6" ht="12.75">
      <c r="A778" s="17"/>
      <c r="B778" s="17"/>
      <c r="C778" s="17"/>
      <c r="D778" s="17"/>
      <c r="E778" s="17"/>
      <c r="F778" s="17"/>
    </row>
    <row r="779" spans="1:6" ht="12.75">
      <c r="A779" s="17"/>
      <c r="B779" s="17"/>
      <c r="C779" s="17"/>
      <c r="D779" s="17"/>
      <c r="E779" s="17"/>
      <c r="F779" s="17"/>
    </row>
    <row r="780" spans="1:6" ht="12.75">
      <c r="A780" s="17"/>
      <c r="B780" s="17"/>
      <c r="C780" s="17"/>
      <c r="D780" s="17"/>
      <c r="E780" s="17"/>
      <c r="F780" s="17"/>
    </row>
    <row r="781" spans="1:6" ht="12.75">
      <c r="A781" s="17"/>
      <c r="B781" s="17"/>
      <c r="C781" s="17"/>
      <c r="D781" s="17"/>
      <c r="E781" s="17"/>
      <c r="F781" s="17"/>
    </row>
    <row r="782" spans="1:6" ht="12.75">
      <c r="A782" s="17"/>
      <c r="B782" s="17"/>
      <c r="C782" s="17"/>
      <c r="D782" s="17"/>
      <c r="E782" s="17"/>
      <c r="F782" s="17"/>
    </row>
    <row r="783" spans="1:6" ht="12.75">
      <c r="A783" s="17"/>
      <c r="B783" s="17"/>
      <c r="C783" s="17"/>
      <c r="D783" s="17"/>
      <c r="E783" s="17"/>
      <c r="F783" s="17"/>
    </row>
    <row r="784" spans="1:6" ht="12.75">
      <c r="A784" s="17"/>
      <c r="B784" s="17"/>
      <c r="C784" s="17"/>
      <c r="D784" s="17"/>
      <c r="E784" s="17"/>
      <c r="F784" s="17"/>
    </row>
    <row r="785" spans="1:6" ht="12.75">
      <c r="A785" s="17"/>
      <c r="B785" s="17"/>
      <c r="C785" s="17"/>
      <c r="D785" s="17"/>
      <c r="E785" s="17"/>
      <c r="F785" s="17"/>
    </row>
    <row r="786" spans="1:6" ht="12.75">
      <c r="A786" s="17"/>
      <c r="B786" s="17"/>
      <c r="C786" s="17"/>
      <c r="D786" s="17"/>
      <c r="E786" s="17"/>
      <c r="F786" s="17"/>
    </row>
    <row r="787" spans="1:6" ht="12.75">
      <c r="A787" s="17"/>
      <c r="B787" s="17"/>
      <c r="C787" s="17"/>
      <c r="D787" s="17"/>
      <c r="E787" s="17"/>
      <c r="F787" s="17"/>
    </row>
    <row r="788" spans="1:6" ht="12.75">
      <c r="A788" s="17"/>
      <c r="B788" s="17"/>
      <c r="C788" s="17"/>
      <c r="D788" s="17"/>
      <c r="E788" s="17"/>
      <c r="F788" s="17"/>
    </row>
    <row r="789" spans="1:6" ht="12.75">
      <c r="A789" s="17"/>
      <c r="B789" s="17"/>
      <c r="C789" s="17"/>
      <c r="D789" s="17"/>
      <c r="E789" s="17"/>
      <c r="F789" s="17"/>
    </row>
    <row r="790" spans="1:6" ht="12.75">
      <c r="A790" s="17"/>
      <c r="B790" s="17"/>
      <c r="C790" s="17"/>
      <c r="D790" s="17"/>
      <c r="E790" s="17"/>
      <c r="F790" s="17"/>
    </row>
    <row r="791" spans="1:6" ht="12.75">
      <c r="A791" s="17"/>
      <c r="B791" s="17"/>
      <c r="C791" s="17"/>
      <c r="D791" s="17"/>
      <c r="E791" s="17"/>
      <c r="F791" s="17"/>
    </row>
    <row r="792" spans="1:6" ht="12.75">
      <c r="A792" s="17"/>
      <c r="B792" s="17"/>
      <c r="C792" s="17"/>
      <c r="D792" s="17"/>
      <c r="E792" s="17"/>
      <c r="F792" s="17"/>
    </row>
    <row r="793" spans="1:6" ht="12.75">
      <c r="A793" s="17"/>
      <c r="B793" s="17"/>
      <c r="C793" s="17"/>
      <c r="D793" s="17"/>
      <c r="E793" s="17"/>
      <c r="F793" s="17"/>
    </row>
    <row r="794" spans="1:6" ht="12.75">
      <c r="A794" s="17"/>
      <c r="B794" s="17"/>
      <c r="C794" s="17"/>
      <c r="D794" s="17"/>
      <c r="E794" s="17"/>
      <c r="F794" s="17"/>
    </row>
    <row r="795" spans="1:6" ht="12.75">
      <c r="A795" s="17"/>
      <c r="B795" s="17"/>
      <c r="C795" s="17"/>
      <c r="D795" s="17"/>
      <c r="E795" s="17"/>
      <c r="F795" s="17"/>
    </row>
    <row r="796" spans="1:6" ht="12.75">
      <c r="A796" s="17"/>
      <c r="B796" s="17"/>
      <c r="C796" s="17"/>
      <c r="D796" s="17"/>
      <c r="E796" s="17"/>
      <c r="F796" s="17"/>
    </row>
    <row r="797" spans="1:6" ht="12.75">
      <c r="A797" s="17"/>
      <c r="B797" s="17"/>
      <c r="C797" s="17"/>
      <c r="D797" s="17"/>
      <c r="E797" s="17"/>
      <c r="F797" s="17"/>
    </row>
    <row r="798" spans="1:6" ht="12.75">
      <c r="A798" s="17"/>
      <c r="B798" s="17"/>
      <c r="C798" s="17"/>
      <c r="D798" s="17"/>
      <c r="E798" s="17"/>
      <c r="F798" s="17"/>
    </row>
    <row r="799" spans="1:6" ht="12.75">
      <c r="A799" s="17"/>
      <c r="B799" s="17"/>
      <c r="C799" s="17"/>
      <c r="D799" s="17"/>
      <c r="E799" s="17"/>
      <c r="F799" s="17"/>
    </row>
    <row r="800" spans="1:6" ht="12.75">
      <c r="A800" s="17"/>
      <c r="B800" s="17"/>
      <c r="C800" s="17"/>
      <c r="D800" s="17"/>
      <c r="E800" s="17"/>
      <c r="F800" s="17"/>
    </row>
    <row r="801" spans="1:6" ht="12.75">
      <c r="A801" s="17"/>
      <c r="B801" s="17"/>
      <c r="C801" s="17"/>
      <c r="D801" s="17"/>
      <c r="E801" s="17"/>
      <c r="F801" s="17"/>
    </row>
    <row r="802" spans="1:6" ht="12.75">
      <c r="A802" s="17"/>
      <c r="B802" s="17"/>
      <c r="C802" s="17"/>
      <c r="D802" s="17"/>
      <c r="E802" s="17"/>
      <c r="F802" s="17"/>
    </row>
    <row r="803" spans="1:6" ht="12.75">
      <c r="A803" s="17"/>
      <c r="B803" s="17"/>
      <c r="C803" s="17"/>
      <c r="D803" s="17"/>
      <c r="E803" s="17"/>
      <c r="F803" s="17"/>
    </row>
    <row r="804" spans="1:6" ht="12.75">
      <c r="A804" s="17"/>
      <c r="B804" s="17"/>
      <c r="C804" s="17"/>
      <c r="D804" s="17"/>
      <c r="E804" s="17"/>
      <c r="F804" s="17"/>
    </row>
    <row r="805" spans="1:6" ht="12.75">
      <c r="A805" s="17"/>
      <c r="B805" s="17"/>
      <c r="C805" s="17"/>
      <c r="D805" s="17"/>
      <c r="E805" s="17"/>
      <c r="F805" s="17"/>
    </row>
    <row r="806" spans="1:6" ht="12.75">
      <c r="A806" s="17"/>
      <c r="B806" s="17"/>
      <c r="C806" s="17"/>
      <c r="D806" s="17"/>
      <c r="E806" s="17"/>
      <c r="F806" s="17"/>
    </row>
    <row r="807" spans="1:6" ht="12.75">
      <c r="A807" s="17"/>
      <c r="B807" s="17"/>
      <c r="C807" s="17"/>
      <c r="D807" s="17"/>
      <c r="E807" s="17"/>
      <c r="F807" s="17"/>
    </row>
    <row r="808" spans="1:6" ht="12.75">
      <c r="A808" s="17"/>
      <c r="B808" s="17"/>
      <c r="C808" s="17"/>
      <c r="D808" s="17"/>
      <c r="E808" s="17"/>
      <c r="F808" s="17"/>
    </row>
    <row r="809" spans="1:6" ht="12.75">
      <c r="A809" s="17"/>
      <c r="B809" s="17"/>
      <c r="C809" s="17"/>
      <c r="D809" s="17"/>
      <c r="E809" s="17"/>
      <c r="F809" s="17"/>
    </row>
    <row r="810" spans="1:6" ht="12.75">
      <c r="A810" s="17"/>
      <c r="B810" s="17"/>
      <c r="C810" s="17"/>
      <c r="D810" s="17"/>
      <c r="E810" s="17"/>
      <c r="F810" s="17"/>
    </row>
    <row r="811" spans="1:6" ht="12.75">
      <c r="A811" s="17"/>
      <c r="B811" s="17"/>
      <c r="C811" s="17"/>
      <c r="D811" s="17"/>
      <c r="E811" s="17"/>
      <c r="F811" s="17"/>
    </row>
    <row r="812" spans="1:6" ht="12.75">
      <c r="A812" s="17"/>
      <c r="B812" s="17"/>
      <c r="C812" s="17"/>
      <c r="D812" s="17"/>
      <c r="E812" s="17"/>
      <c r="F812" s="17"/>
    </row>
    <row r="813" spans="1:6" ht="12.75">
      <c r="A813" s="17"/>
      <c r="B813" s="17"/>
      <c r="C813" s="17"/>
      <c r="D813" s="17"/>
      <c r="E813" s="17"/>
      <c r="F813" s="17"/>
    </row>
    <row r="814" spans="1:6" ht="12.75">
      <c r="A814" s="17"/>
      <c r="B814" s="17"/>
      <c r="C814" s="17"/>
      <c r="D814" s="17"/>
      <c r="E814" s="17"/>
      <c r="F814" s="17"/>
    </row>
    <row r="815" spans="1:6" ht="12.75">
      <c r="A815" s="17"/>
      <c r="B815" s="17"/>
      <c r="C815" s="17"/>
      <c r="D815" s="17"/>
      <c r="E815" s="17"/>
      <c r="F815" s="17"/>
    </row>
    <row r="816" spans="1:6" ht="12.75">
      <c r="A816" s="17"/>
      <c r="B816" s="17"/>
      <c r="C816" s="17"/>
      <c r="D816" s="17"/>
      <c r="E816" s="17"/>
      <c r="F816" s="17"/>
    </row>
    <row r="817" spans="1:6" ht="12.75">
      <c r="A817" s="17"/>
      <c r="B817" s="17"/>
      <c r="C817" s="17"/>
      <c r="D817" s="17"/>
      <c r="E817" s="17"/>
      <c r="F817" s="17"/>
    </row>
    <row r="818" spans="1:6" ht="12.75">
      <c r="A818" s="17"/>
      <c r="B818" s="17"/>
      <c r="C818" s="17"/>
      <c r="D818" s="17"/>
      <c r="E818" s="17"/>
      <c r="F818" s="17"/>
    </row>
    <row r="819" spans="1:6" ht="12.75">
      <c r="A819" s="17"/>
      <c r="B819" s="17"/>
      <c r="C819" s="17"/>
      <c r="D819" s="17"/>
      <c r="E819" s="17"/>
      <c r="F819" s="17"/>
    </row>
    <row r="820" spans="1:6" ht="12.75">
      <c r="A820" s="17"/>
      <c r="B820" s="17"/>
      <c r="C820" s="17"/>
      <c r="D820" s="17"/>
      <c r="E820" s="17"/>
      <c r="F820" s="17"/>
    </row>
    <row r="821" spans="1:6" ht="12.75">
      <c r="A821" s="17"/>
      <c r="B821" s="17"/>
      <c r="C821" s="17"/>
      <c r="D821" s="17"/>
      <c r="E821" s="17"/>
      <c r="F821" s="17"/>
    </row>
    <row r="822" spans="1:6" ht="12.75">
      <c r="A822" s="17"/>
      <c r="B822" s="17"/>
      <c r="C822" s="17"/>
      <c r="D822" s="17"/>
      <c r="E822" s="17"/>
      <c r="F822" s="17"/>
    </row>
    <row r="823" spans="1:6" ht="12.75">
      <c r="A823" s="17"/>
      <c r="B823" s="17"/>
      <c r="C823" s="17"/>
      <c r="D823" s="17"/>
      <c r="E823" s="17"/>
      <c r="F823" s="17"/>
    </row>
    <row r="824" spans="1:6" ht="12.75">
      <c r="A824" s="17"/>
      <c r="B824" s="17"/>
      <c r="C824" s="17"/>
      <c r="D824" s="17"/>
      <c r="E824" s="17"/>
      <c r="F824" s="17"/>
    </row>
    <row r="825" spans="1:6" ht="12.75">
      <c r="A825" s="17"/>
      <c r="B825" s="17"/>
      <c r="C825" s="17"/>
      <c r="D825" s="17"/>
      <c r="E825" s="17"/>
      <c r="F825" s="17"/>
    </row>
    <row r="826" spans="1:6" ht="12.75">
      <c r="A826" s="17"/>
      <c r="B826" s="17"/>
      <c r="C826" s="17"/>
      <c r="D826" s="17"/>
      <c r="E826" s="17"/>
      <c r="F826" s="17"/>
    </row>
    <row r="827" spans="1:6" ht="12.75">
      <c r="A827" s="17"/>
      <c r="B827" s="17"/>
      <c r="C827" s="17"/>
      <c r="D827" s="17"/>
      <c r="E827" s="17"/>
      <c r="F827" s="17"/>
    </row>
    <row r="828" spans="1:6" ht="12.75">
      <c r="A828" s="17"/>
      <c r="B828" s="17"/>
      <c r="C828" s="17"/>
      <c r="D828" s="17"/>
      <c r="E828" s="17"/>
      <c r="F828" s="17"/>
    </row>
    <row r="829" spans="1:6" ht="12.75">
      <c r="A829" s="17"/>
      <c r="B829" s="17"/>
      <c r="C829" s="17"/>
      <c r="D829" s="17"/>
      <c r="E829" s="17"/>
      <c r="F829" s="17"/>
    </row>
    <row r="830" spans="1:6" ht="12.75">
      <c r="A830" s="17"/>
      <c r="B830" s="17"/>
      <c r="C830" s="17"/>
      <c r="D830" s="17"/>
      <c r="E830" s="17"/>
      <c r="F830" s="17"/>
    </row>
    <row r="831" spans="1:6" ht="12.75">
      <c r="A831" s="17"/>
      <c r="B831" s="17"/>
      <c r="C831" s="17"/>
      <c r="D831" s="17"/>
      <c r="E831" s="17"/>
      <c r="F831" s="17"/>
    </row>
    <row r="832" spans="1:6" ht="12.75">
      <c r="A832" s="17"/>
      <c r="B832" s="17"/>
      <c r="C832" s="17"/>
      <c r="D832" s="17"/>
      <c r="E832" s="17"/>
      <c r="F832" s="17"/>
    </row>
    <row r="833" spans="1:6" ht="12.75">
      <c r="A833" s="17"/>
      <c r="B833" s="17"/>
      <c r="C833" s="17"/>
      <c r="D833" s="17"/>
      <c r="E833" s="17"/>
      <c r="F833" s="17"/>
    </row>
    <row r="834" spans="1:6" ht="12.75">
      <c r="A834" s="17"/>
      <c r="B834" s="17"/>
      <c r="C834" s="17"/>
      <c r="D834" s="17"/>
      <c r="E834" s="17"/>
      <c r="F834" s="17"/>
    </row>
    <row r="835" spans="1:6" ht="12.75">
      <c r="A835" s="17"/>
      <c r="B835" s="17"/>
      <c r="C835" s="17"/>
      <c r="D835" s="17"/>
      <c r="E835" s="17"/>
      <c r="F835" s="17"/>
    </row>
    <row r="836" spans="1:6" ht="12.75">
      <c r="A836" s="17"/>
      <c r="B836" s="17"/>
      <c r="C836" s="17"/>
      <c r="D836" s="17"/>
      <c r="E836" s="17"/>
      <c r="F836" s="17"/>
    </row>
    <row r="837" spans="1:6" ht="12.75">
      <c r="A837" s="17"/>
      <c r="B837" s="17"/>
      <c r="C837" s="17"/>
      <c r="D837" s="17"/>
      <c r="E837" s="17"/>
      <c r="F837" s="17"/>
    </row>
    <row r="838" spans="1:6" ht="12.75">
      <c r="A838" s="17"/>
      <c r="B838" s="17"/>
      <c r="C838" s="17"/>
      <c r="D838" s="17"/>
      <c r="E838" s="17"/>
      <c r="F838" s="17"/>
    </row>
    <row r="839" spans="1:6" ht="12.75">
      <c r="A839" s="17"/>
      <c r="B839" s="17"/>
      <c r="C839" s="17"/>
      <c r="D839" s="17"/>
      <c r="E839" s="17"/>
      <c r="F839" s="17"/>
    </row>
    <row r="840" spans="1:6" ht="12.75">
      <c r="A840" s="17"/>
      <c r="B840" s="17"/>
      <c r="C840" s="17"/>
      <c r="D840" s="17"/>
      <c r="E840" s="17"/>
      <c r="F840" s="17"/>
    </row>
    <row r="841" spans="1:6" ht="12.75">
      <c r="A841" s="17"/>
      <c r="B841" s="17"/>
      <c r="C841" s="17"/>
      <c r="D841" s="17"/>
      <c r="E841" s="17"/>
      <c r="F841" s="17"/>
    </row>
    <row r="842" spans="1:6" ht="12.75">
      <c r="A842" s="17"/>
      <c r="B842" s="17"/>
      <c r="C842" s="17"/>
      <c r="D842" s="17"/>
      <c r="E842" s="17"/>
      <c r="F842" s="17"/>
    </row>
    <row r="843" spans="1:6" ht="12.75">
      <c r="A843" s="17"/>
      <c r="B843" s="17"/>
      <c r="C843" s="17"/>
      <c r="D843" s="17"/>
      <c r="E843" s="17"/>
      <c r="F843" s="17"/>
    </row>
    <row r="844" spans="1:6" ht="12.75">
      <c r="A844" s="17"/>
      <c r="B844" s="17"/>
      <c r="C844" s="17"/>
      <c r="D844" s="17"/>
      <c r="E844" s="17"/>
      <c r="F844" s="17"/>
    </row>
    <row r="845" spans="1:6" ht="12.75">
      <c r="A845" s="17"/>
      <c r="B845" s="17"/>
      <c r="C845" s="17"/>
      <c r="D845" s="17"/>
      <c r="E845" s="17"/>
      <c r="F845" s="17"/>
    </row>
    <row r="846" spans="1:6" ht="12.75">
      <c r="A846" s="17"/>
      <c r="B846" s="17"/>
      <c r="C846" s="17"/>
      <c r="D846" s="17"/>
      <c r="E846" s="17"/>
      <c r="F846" s="17"/>
    </row>
    <row r="847" spans="1:6" ht="12.75">
      <c r="A847" s="17"/>
      <c r="B847" s="17"/>
      <c r="C847" s="17"/>
      <c r="D847" s="17"/>
      <c r="E847" s="17"/>
      <c r="F847" s="17"/>
    </row>
    <row r="848" spans="1:6" ht="12.75">
      <c r="A848" s="17"/>
      <c r="B848" s="17"/>
      <c r="C848" s="17"/>
      <c r="D848" s="17"/>
      <c r="E848" s="17"/>
      <c r="F848" s="17"/>
    </row>
    <row r="849" spans="1:6" ht="12.75">
      <c r="A849" s="17"/>
      <c r="B849" s="17"/>
      <c r="C849" s="17"/>
      <c r="D849" s="17"/>
      <c r="E849" s="17"/>
      <c r="F849" s="17"/>
    </row>
    <row r="850" spans="1:6" ht="12.75">
      <c r="A850" s="17"/>
      <c r="B850" s="17"/>
      <c r="C850" s="17"/>
      <c r="D850" s="17"/>
      <c r="E850" s="17"/>
      <c r="F850" s="17"/>
    </row>
    <row r="851" spans="1:6" ht="12.75">
      <c r="A851" s="17"/>
      <c r="B851" s="17"/>
      <c r="C851" s="17"/>
      <c r="D851" s="17"/>
      <c r="E851" s="17"/>
      <c r="F851" s="17"/>
    </row>
    <row r="852" spans="1:6" ht="12.75">
      <c r="A852" s="17"/>
      <c r="B852" s="17"/>
      <c r="C852" s="17"/>
      <c r="D852" s="17"/>
      <c r="E852" s="17"/>
      <c r="F852" s="17"/>
    </row>
    <row r="853" spans="1:6" ht="12.75">
      <c r="A853" s="17"/>
      <c r="B853" s="17"/>
      <c r="C853" s="17"/>
      <c r="D853" s="17"/>
      <c r="E853" s="17"/>
      <c r="F853" s="17"/>
    </row>
    <row r="854" spans="1:6" ht="12.75">
      <c r="A854" s="17"/>
      <c r="B854" s="17"/>
      <c r="C854" s="17"/>
      <c r="D854" s="17"/>
      <c r="E854" s="17"/>
      <c r="F854" s="17"/>
    </row>
    <row r="855" spans="1:6" ht="12.75">
      <c r="A855" s="17"/>
      <c r="B855" s="17"/>
      <c r="C855" s="17"/>
      <c r="D855" s="17"/>
      <c r="E855" s="17"/>
      <c r="F855" s="17"/>
    </row>
    <row r="856" spans="1:6" ht="12.75">
      <c r="A856" s="17"/>
      <c r="B856" s="17"/>
      <c r="C856" s="17"/>
      <c r="D856" s="17"/>
      <c r="E856" s="17"/>
      <c r="F856" s="17"/>
    </row>
    <row r="857" spans="1:6" ht="12.75">
      <c r="A857" s="17"/>
      <c r="B857" s="17"/>
      <c r="C857" s="17"/>
      <c r="D857" s="17"/>
      <c r="E857" s="17"/>
      <c r="F857" s="17"/>
    </row>
    <row r="858" spans="1:6" ht="12.75">
      <c r="A858" s="17"/>
      <c r="B858" s="17"/>
      <c r="C858" s="17"/>
      <c r="D858" s="17"/>
      <c r="E858" s="17"/>
      <c r="F858" s="17"/>
    </row>
    <row r="859" spans="1:6" ht="12.75">
      <c r="A859" s="17"/>
      <c r="B859" s="17"/>
      <c r="C859" s="17"/>
      <c r="D859" s="17"/>
      <c r="E859" s="17"/>
      <c r="F859" s="17"/>
    </row>
    <row r="860" spans="1:6" ht="12.75">
      <c r="A860" s="17"/>
      <c r="B860" s="17"/>
      <c r="C860" s="17"/>
      <c r="D860" s="17"/>
      <c r="E860" s="17"/>
      <c r="F860" s="17"/>
    </row>
    <row r="861" spans="1:6" ht="12.75">
      <c r="A861" s="17"/>
      <c r="B861" s="17"/>
      <c r="C861" s="17"/>
      <c r="D861" s="17"/>
      <c r="E861" s="17"/>
      <c r="F861" s="17"/>
    </row>
    <row r="862" spans="1:6" ht="12.75">
      <c r="A862" s="17"/>
      <c r="B862" s="17"/>
      <c r="C862" s="17"/>
      <c r="D862" s="17"/>
      <c r="E862" s="17"/>
      <c r="F862" s="17"/>
    </row>
    <row r="863" spans="1:6" ht="12.75">
      <c r="A863" s="17"/>
      <c r="B863" s="17"/>
      <c r="C863" s="17"/>
      <c r="D863" s="17"/>
      <c r="E863" s="17"/>
      <c r="F863" s="17"/>
    </row>
    <row r="864" spans="1:6" ht="12.75">
      <c r="A864" s="17"/>
      <c r="B864" s="17"/>
      <c r="C864" s="17"/>
      <c r="D864" s="17"/>
      <c r="E864" s="17"/>
      <c r="F864" s="17"/>
    </row>
    <row r="865" spans="1:6" ht="12.75">
      <c r="A865" s="17"/>
      <c r="B865" s="17"/>
      <c r="C865" s="17"/>
      <c r="D865" s="17"/>
      <c r="E865" s="17"/>
      <c r="F865" s="17"/>
    </row>
    <row r="866" spans="1:6" ht="12.75">
      <c r="A866" s="17"/>
      <c r="B866" s="17"/>
      <c r="C866" s="17"/>
      <c r="D866" s="17"/>
      <c r="E866" s="17"/>
      <c r="F866" s="17"/>
    </row>
    <row r="867" spans="1:6" ht="12.75">
      <c r="A867" s="17"/>
      <c r="B867" s="17"/>
      <c r="C867" s="17"/>
      <c r="D867" s="17"/>
      <c r="E867" s="17"/>
      <c r="F867" s="17"/>
    </row>
    <row r="868" spans="1:6" ht="12.75">
      <c r="A868" s="17"/>
      <c r="B868" s="17"/>
      <c r="C868" s="17"/>
      <c r="D868" s="17"/>
      <c r="E868" s="17"/>
      <c r="F868" s="17"/>
    </row>
    <row r="869" spans="1:6" ht="12.75">
      <c r="A869" s="17"/>
      <c r="B869" s="17"/>
      <c r="C869" s="17"/>
      <c r="D869" s="17"/>
      <c r="E869" s="17"/>
      <c r="F869" s="17"/>
    </row>
    <row r="870" spans="1:6" ht="12.75">
      <c r="A870" s="17"/>
      <c r="B870" s="17"/>
      <c r="C870" s="17"/>
      <c r="D870" s="17"/>
      <c r="E870" s="17"/>
      <c r="F870" s="17"/>
    </row>
    <row r="871" spans="1:6" ht="12.75">
      <c r="A871" s="17"/>
      <c r="B871" s="17"/>
      <c r="C871" s="17"/>
      <c r="D871" s="17"/>
      <c r="E871" s="17"/>
      <c r="F871" s="17"/>
    </row>
    <row r="872" spans="1:6" ht="12.75">
      <c r="A872" s="17"/>
      <c r="B872" s="17"/>
      <c r="C872" s="17"/>
      <c r="D872" s="17"/>
      <c r="E872" s="17"/>
      <c r="F872" s="17"/>
    </row>
    <row r="873" spans="1:6" ht="12.75">
      <c r="A873" s="17"/>
      <c r="B873" s="17"/>
      <c r="C873" s="17"/>
      <c r="D873" s="17"/>
      <c r="E873" s="17"/>
      <c r="F873" s="17"/>
    </row>
    <row r="874" spans="1:6" ht="12.75">
      <c r="A874" s="17"/>
      <c r="B874" s="17"/>
      <c r="C874" s="17"/>
      <c r="D874" s="17"/>
      <c r="E874" s="17"/>
      <c r="F874" s="17"/>
    </row>
    <row r="875" spans="1:6" ht="12.75">
      <c r="A875" s="17"/>
      <c r="B875" s="17"/>
      <c r="C875" s="17"/>
      <c r="D875" s="17"/>
      <c r="E875" s="17"/>
      <c r="F875" s="17"/>
    </row>
    <row r="876" spans="1:6" ht="12.75">
      <c r="A876" s="17"/>
      <c r="B876" s="17"/>
      <c r="C876" s="17"/>
      <c r="D876" s="17"/>
      <c r="E876" s="17"/>
      <c r="F876" s="17"/>
    </row>
    <row r="877" spans="1:6" ht="12.75">
      <c r="A877" s="17"/>
      <c r="B877" s="17"/>
      <c r="C877" s="17"/>
      <c r="D877" s="17"/>
      <c r="E877" s="17"/>
      <c r="F877" s="17"/>
    </row>
    <row r="878" spans="1:6" ht="12.75">
      <c r="A878" s="17"/>
      <c r="B878" s="17"/>
      <c r="C878" s="17"/>
      <c r="D878" s="17"/>
      <c r="E878" s="17"/>
      <c r="F878" s="17"/>
    </row>
    <row r="879" spans="1:6" ht="12.75">
      <c r="A879" s="17"/>
      <c r="B879" s="17"/>
      <c r="C879" s="17"/>
      <c r="D879" s="17"/>
      <c r="E879" s="17"/>
      <c r="F879" s="17"/>
    </row>
    <row r="880" spans="1:6" ht="12.75">
      <c r="A880" s="17"/>
      <c r="B880" s="17"/>
      <c r="C880" s="17"/>
      <c r="D880" s="17"/>
      <c r="E880" s="17"/>
      <c r="F880" s="17"/>
    </row>
    <row r="881" spans="1:6" ht="12.75">
      <c r="A881" s="17"/>
      <c r="B881" s="17"/>
      <c r="C881" s="17"/>
      <c r="D881" s="17"/>
      <c r="E881" s="17"/>
      <c r="F881" s="17"/>
    </row>
    <row r="882" spans="1:6" ht="12.75">
      <c r="A882" s="17"/>
      <c r="B882" s="17"/>
      <c r="C882" s="17"/>
      <c r="D882" s="17"/>
      <c r="E882" s="17"/>
      <c r="F882" s="17"/>
    </row>
    <row r="883" spans="1:6" ht="12.75">
      <c r="A883" s="17"/>
      <c r="B883" s="17"/>
      <c r="C883" s="17"/>
      <c r="D883" s="17"/>
      <c r="E883" s="17"/>
      <c r="F883" s="17"/>
    </row>
    <row r="884" spans="1:6" ht="12.75">
      <c r="A884" s="17"/>
      <c r="B884" s="17"/>
      <c r="C884" s="17"/>
      <c r="D884" s="17"/>
      <c r="E884" s="17"/>
      <c r="F884" s="17"/>
    </row>
    <row r="885" spans="1:6" ht="12.75">
      <c r="A885" s="17"/>
      <c r="B885" s="17"/>
      <c r="C885" s="17"/>
      <c r="D885" s="17"/>
      <c r="E885" s="17"/>
      <c r="F885" s="17"/>
    </row>
    <row r="886" spans="1:6" ht="12.75">
      <c r="A886" s="17"/>
      <c r="B886" s="17"/>
      <c r="C886" s="17"/>
      <c r="D886" s="17"/>
      <c r="E886" s="17"/>
      <c r="F886" s="17"/>
    </row>
    <row r="887" spans="1:6" ht="12.75">
      <c r="A887" s="17"/>
      <c r="B887" s="17"/>
      <c r="C887" s="17"/>
      <c r="D887" s="17"/>
      <c r="E887" s="17"/>
      <c r="F887" s="17"/>
    </row>
    <row r="888" spans="1:6" ht="12.75">
      <c r="A888" s="17"/>
      <c r="B888" s="17"/>
      <c r="C888" s="17"/>
      <c r="D888" s="17"/>
      <c r="E888" s="17"/>
      <c r="F888" s="17"/>
    </row>
    <row r="889" spans="1:6" ht="12.75">
      <c r="A889" s="17"/>
      <c r="B889" s="17"/>
      <c r="C889" s="17"/>
      <c r="D889" s="17"/>
      <c r="E889" s="17"/>
      <c r="F889" s="17"/>
    </row>
    <row r="890" spans="1:6" ht="12.75">
      <c r="A890" s="17"/>
      <c r="B890" s="17"/>
      <c r="C890" s="17"/>
      <c r="D890" s="17"/>
      <c r="E890" s="17"/>
      <c r="F890" s="17"/>
    </row>
    <row r="891" spans="1:6" ht="12.75">
      <c r="A891" s="17"/>
      <c r="B891" s="17"/>
      <c r="C891" s="17"/>
      <c r="D891" s="17"/>
      <c r="E891" s="17"/>
      <c r="F891" s="17"/>
    </row>
    <row r="892" spans="1:6" ht="12.75">
      <c r="A892" s="17"/>
      <c r="B892" s="17"/>
      <c r="C892" s="17"/>
      <c r="D892" s="17"/>
      <c r="E892" s="17"/>
      <c r="F892" s="17"/>
    </row>
    <row r="893" spans="1:6" ht="12.75">
      <c r="A893" s="17"/>
      <c r="B893" s="17"/>
      <c r="C893" s="17"/>
      <c r="D893" s="17"/>
      <c r="E893" s="17"/>
      <c r="F893" s="17"/>
    </row>
    <row r="894" spans="1:6" ht="12.75">
      <c r="A894" s="17"/>
      <c r="B894" s="17"/>
      <c r="C894" s="17"/>
      <c r="D894" s="17"/>
      <c r="E894" s="17"/>
      <c r="F894" s="17"/>
    </row>
    <row r="895" spans="1:6" ht="12.75">
      <c r="A895" s="17"/>
      <c r="B895" s="17"/>
      <c r="C895" s="17"/>
      <c r="D895" s="17"/>
      <c r="E895" s="17"/>
      <c r="F895" s="17"/>
    </row>
    <row r="896" spans="1:6" ht="12.75">
      <c r="A896" s="17"/>
      <c r="B896" s="17"/>
      <c r="C896" s="17"/>
      <c r="D896" s="17"/>
      <c r="E896" s="17"/>
      <c r="F896" s="17"/>
    </row>
    <row r="897" spans="1:6" ht="12.75">
      <c r="A897" s="17"/>
      <c r="B897" s="17"/>
      <c r="C897" s="17"/>
      <c r="D897" s="17"/>
      <c r="E897" s="17"/>
      <c r="F897" s="17"/>
    </row>
    <row r="898" spans="1:6" ht="12.75">
      <c r="A898" s="17"/>
      <c r="B898" s="17"/>
      <c r="C898" s="17"/>
      <c r="D898" s="17"/>
      <c r="E898" s="17"/>
      <c r="F898" s="17"/>
    </row>
    <row r="899" spans="1:6" ht="12.75">
      <c r="A899" s="17"/>
      <c r="B899" s="17"/>
      <c r="C899" s="17"/>
      <c r="D899" s="17"/>
      <c r="E899" s="17"/>
      <c r="F899" s="17"/>
    </row>
    <row r="900" spans="1:6" ht="12.75">
      <c r="A900" s="17"/>
      <c r="B900" s="17"/>
      <c r="C900" s="17"/>
      <c r="D900" s="17"/>
      <c r="E900" s="17"/>
      <c r="F900" s="17"/>
    </row>
    <row r="901" spans="1:6" ht="12.75">
      <c r="A901" s="17"/>
      <c r="B901" s="17"/>
      <c r="C901" s="17"/>
      <c r="D901" s="17"/>
      <c r="E901" s="17"/>
      <c r="F901" s="17"/>
    </row>
    <row r="902" spans="1:6" ht="12.75">
      <c r="A902" s="17"/>
      <c r="B902" s="17"/>
      <c r="C902" s="17"/>
      <c r="D902" s="17"/>
      <c r="E902" s="17"/>
      <c r="F902" s="17"/>
    </row>
    <row r="903" spans="1:6" ht="12.75">
      <c r="A903" s="17"/>
      <c r="B903" s="17"/>
      <c r="C903" s="17"/>
      <c r="D903" s="17"/>
      <c r="E903" s="17"/>
      <c r="F903" s="17"/>
    </row>
    <row r="904" spans="1:6" ht="12.75">
      <c r="A904" s="17"/>
      <c r="B904" s="17"/>
      <c r="C904" s="17"/>
      <c r="D904" s="17"/>
      <c r="E904" s="17"/>
      <c r="F904" s="17"/>
    </row>
    <row r="905" spans="1:6" ht="12.75">
      <c r="A905" s="17"/>
      <c r="B905" s="17"/>
      <c r="C905" s="17"/>
      <c r="D905" s="17"/>
      <c r="E905" s="17"/>
      <c r="F905" s="17"/>
    </row>
    <row r="906" spans="1:6" ht="12.75">
      <c r="A906" s="17"/>
      <c r="B906" s="17"/>
      <c r="C906" s="17"/>
      <c r="D906" s="17"/>
      <c r="E906" s="17"/>
      <c r="F906" s="17"/>
    </row>
    <row r="907" spans="1:6" ht="12.75">
      <c r="A907" s="17"/>
      <c r="B907" s="17"/>
      <c r="C907" s="17"/>
      <c r="D907" s="17"/>
      <c r="E907" s="17"/>
      <c r="F907" s="17"/>
    </row>
    <row r="908" spans="1:6" ht="12.75">
      <c r="A908" s="17"/>
      <c r="B908" s="17"/>
      <c r="C908" s="17"/>
      <c r="D908" s="17"/>
      <c r="E908" s="17"/>
      <c r="F908" s="17"/>
    </row>
    <row r="909" spans="1:6" ht="12.75">
      <c r="A909" s="17"/>
      <c r="B909" s="17"/>
      <c r="C909" s="17"/>
      <c r="D909" s="17"/>
      <c r="E909" s="17"/>
      <c r="F909" s="17"/>
    </row>
    <row r="910" spans="1:6" ht="12.75">
      <c r="A910" s="17"/>
      <c r="B910" s="17"/>
      <c r="C910" s="17"/>
      <c r="D910" s="17"/>
      <c r="E910" s="17"/>
      <c r="F910" s="17"/>
    </row>
    <row r="911" spans="1:6" ht="12.75">
      <c r="A911" s="17"/>
      <c r="B911" s="17"/>
      <c r="C911" s="17"/>
      <c r="D911" s="17"/>
      <c r="E911" s="17"/>
      <c r="F911" s="17"/>
    </row>
    <row r="912" spans="1:6" ht="12.75">
      <c r="A912" s="17"/>
      <c r="B912" s="17"/>
      <c r="C912" s="17"/>
      <c r="D912" s="17"/>
      <c r="E912" s="17"/>
      <c r="F912" s="17"/>
    </row>
    <row r="913" spans="1:6" ht="12.75">
      <c r="A913" s="17"/>
      <c r="B913" s="17"/>
      <c r="C913" s="17"/>
      <c r="D913" s="17"/>
      <c r="E913" s="17"/>
      <c r="F913" s="17"/>
    </row>
    <row r="914" spans="1:6" ht="12.75">
      <c r="A914" s="17"/>
      <c r="B914" s="17"/>
      <c r="C914" s="17"/>
      <c r="D914" s="17"/>
      <c r="E914" s="17"/>
      <c r="F914" s="17"/>
    </row>
    <row r="915" spans="1:6" ht="12.75">
      <c r="A915" s="17"/>
      <c r="B915" s="17"/>
      <c r="C915" s="17"/>
      <c r="D915" s="17"/>
      <c r="E915" s="17"/>
      <c r="F915" s="17"/>
    </row>
    <row r="916" spans="1:6" ht="12.75">
      <c r="A916" s="17"/>
      <c r="B916" s="17"/>
      <c r="C916" s="17"/>
      <c r="D916" s="17"/>
      <c r="E916" s="17"/>
      <c r="F916" s="17"/>
    </row>
    <row r="917" spans="1:6" ht="12.75">
      <c r="A917" s="17"/>
      <c r="B917" s="17"/>
      <c r="C917" s="17"/>
      <c r="D917" s="17"/>
      <c r="E917" s="17"/>
      <c r="F917" s="17"/>
    </row>
    <row r="918" spans="1:6" ht="12.75">
      <c r="A918" s="17"/>
      <c r="B918" s="17"/>
      <c r="C918" s="17"/>
      <c r="D918" s="17"/>
      <c r="E918" s="17"/>
      <c r="F918" s="17"/>
    </row>
    <row r="919" spans="1:6" ht="12.75">
      <c r="A919" s="17"/>
      <c r="B919" s="17"/>
      <c r="C919" s="17"/>
      <c r="D919" s="17"/>
      <c r="E919" s="17"/>
      <c r="F919" s="17"/>
    </row>
    <row r="920" spans="1:6" ht="12.75">
      <c r="A920" s="17"/>
      <c r="B920" s="17"/>
      <c r="C920" s="17"/>
      <c r="D920" s="17"/>
      <c r="E920" s="17"/>
      <c r="F920" s="17"/>
    </row>
    <row r="921" spans="1:6" ht="12.75">
      <c r="A921" s="17"/>
      <c r="B921" s="17"/>
      <c r="C921" s="17"/>
      <c r="D921" s="17"/>
      <c r="E921" s="17"/>
      <c r="F921" s="17"/>
    </row>
    <row r="922" spans="1:6" ht="12.75">
      <c r="A922" s="17"/>
      <c r="B922" s="17"/>
      <c r="C922" s="17"/>
      <c r="D922" s="17"/>
      <c r="E922" s="17"/>
      <c r="F922" s="17"/>
    </row>
    <row r="923" spans="1:6" ht="12.75">
      <c r="A923" s="17"/>
      <c r="B923" s="17"/>
      <c r="C923" s="17"/>
      <c r="D923" s="17"/>
      <c r="E923" s="17"/>
      <c r="F923" s="17"/>
    </row>
    <row r="924" spans="1:6" ht="12.75">
      <c r="A924" s="17"/>
      <c r="B924" s="17"/>
      <c r="C924" s="17"/>
      <c r="D924" s="17"/>
      <c r="E924" s="17"/>
      <c r="F924" s="17"/>
    </row>
    <row r="925" spans="1:6" ht="12.75">
      <c r="A925" s="17"/>
      <c r="B925" s="17"/>
      <c r="C925" s="17"/>
      <c r="D925" s="17"/>
      <c r="E925" s="17"/>
      <c r="F925" s="17"/>
    </row>
    <row r="926" spans="1:6" ht="12.75">
      <c r="A926" s="17"/>
      <c r="B926" s="17"/>
      <c r="C926" s="17"/>
      <c r="D926" s="17"/>
      <c r="E926" s="17"/>
      <c r="F926" s="17"/>
    </row>
    <row r="927" spans="1:6" ht="12.75">
      <c r="A927" s="17"/>
      <c r="B927" s="17"/>
      <c r="C927" s="17"/>
      <c r="D927" s="17"/>
      <c r="E927" s="17"/>
      <c r="F927" s="17"/>
    </row>
    <row r="928" spans="1:6" ht="12.75">
      <c r="A928" s="17"/>
      <c r="B928" s="17"/>
      <c r="C928" s="17"/>
      <c r="D928" s="17"/>
      <c r="E928" s="17"/>
      <c r="F928" s="17"/>
    </row>
    <row r="929" spans="1:6" ht="12.75">
      <c r="A929" s="17"/>
      <c r="B929" s="17"/>
      <c r="C929" s="17"/>
      <c r="D929" s="17"/>
      <c r="E929" s="17"/>
      <c r="F929" s="17"/>
    </row>
    <row r="930" spans="1:6" ht="12.75">
      <c r="A930" s="17"/>
      <c r="B930" s="17"/>
      <c r="C930" s="17"/>
      <c r="D930" s="17"/>
      <c r="E930" s="17"/>
      <c r="F930" s="17"/>
    </row>
    <row r="931" spans="1:6" ht="12.75">
      <c r="A931" s="17"/>
      <c r="B931" s="17"/>
      <c r="C931" s="17"/>
      <c r="D931" s="17"/>
      <c r="E931" s="17"/>
      <c r="F931" s="17"/>
    </row>
    <row r="932" spans="1:6" ht="12.75">
      <c r="A932" s="17"/>
      <c r="B932" s="17"/>
      <c r="C932" s="17"/>
      <c r="D932" s="17"/>
      <c r="E932" s="17"/>
      <c r="F932" s="17"/>
    </row>
    <row r="933" spans="1:6" ht="12.75">
      <c r="A933" s="17"/>
      <c r="B933" s="17"/>
      <c r="C933" s="17"/>
      <c r="D933" s="17"/>
      <c r="E933" s="17"/>
      <c r="F933" s="17"/>
    </row>
    <row r="934" spans="1:6" ht="12.75">
      <c r="A934" s="17"/>
      <c r="B934" s="17"/>
      <c r="C934" s="17"/>
      <c r="D934" s="17"/>
      <c r="E934" s="17"/>
      <c r="F934" s="17"/>
    </row>
    <row r="935" spans="1:6" ht="12.75">
      <c r="A935" s="17"/>
      <c r="B935" s="17"/>
      <c r="C935" s="17"/>
      <c r="D935" s="17"/>
      <c r="E935" s="17"/>
      <c r="F935" s="17"/>
    </row>
    <row r="936" spans="1:6" ht="12.75">
      <c r="A936" s="17"/>
      <c r="B936" s="17"/>
      <c r="C936" s="17"/>
      <c r="D936" s="17"/>
      <c r="E936" s="17"/>
      <c r="F936" s="17"/>
    </row>
    <row r="937" spans="1:6" ht="12.75">
      <c r="A937" s="17"/>
      <c r="B937" s="17"/>
      <c r="C937" s="17"/>
      <c r="D937" s="17"/>
      <c r="E937" s="17"/>
      <c r="F937" s="17"/>
    </row>
    <row r="938" spans="1:6" ht="12.75">
      <c r="A938" s="17"/>
      <c r="B938" s="17"/>
      <c r="C938" s="17"/>
      <c r="D938" s="17"/>
      <c r="E938" s="17"/>
      <c r="F938" s="17"/>
    </row>
    <row r="939" spans="1:6" ht="12.75">
      <c r="A939" s="17"/>
      <c r="B939" s="17"/>
      <c r="C939" s="17"/>
      <c r="D939" s="17"/>
      <c r="E939" s="17"/>
      <c r="F939" s="17"/>
    </row>
    <row r="940" spans="1:6" ht="12.75">
      <c r="A940" s="17"/>
      <c r="B940" s="17"/>
      <c r="C940" s="17"/>
      <c r="D940" s="17"/>
      <c r="E940" s="17"/>
      <c r="F940" s="17"/>
    </row>
    <row r="941" spans="1:6" ht="12.75">
      <c r="A941" s="17"/>
      <c r="B941" s="17"/>
      <c r="C941" s="17"/>
      <c r="D941" s="17"/>
      <c r="E941" s="17"/>
      <c r="F941" s="17"/>
    </row>
    <row r="942" spans="1:6" ht="12.75">
      <c r="A942" s="17"/>
      <c r="B942" s="17"/>
      <c r="C942" s="17"/>
      <c r="D942" s="17"/>
      <c r="E942" s="17"/>
      <c r="F942" s="17"/>
    </row>
    <row r="943" spans="1:6" ht="12.75">
      <c r="A943" s="17"/>
      <c r="B943" s="17"/>
      <c r="C943" s="17"/>
      <c r="D943" s="17"/>
      <c r="E943" s="17"/>
      <c r="F943" s="17"/>
    </row>
    <row r="944" spans="1:6" ht="12.75">
      <c r="A944" s="17"/>
      <c r="B944" s="17"/>
      <c r="C944" s="17"/>
      <c r="D944" s="17"/>
      <c r="E944" s="17"/>
      <c r="F944" s="17"/>
    </row>
    <row r="945" spans="1:6" ht="12.75">
      <c r="A945" s="17"/>
      <c r="B945" s="17"/>
      <c r="C945" s="17"/>
      <c r="D945" s="17"/>
      <c r="E945" s="17"/>
      <c r="F945" s="17"/>
    </row>
    <row r="946" spans="1:6" ht="12.75">
      <c r="A946" s="17"/>
      <c r="B946" s="17"/>
      <c r="C946" s="17"/>
      <c r="D946" s="17"/>
      <c r="E946" s="17"/>
      <c r="F946" s="17"/>
    </row>
    <row r="947" spans="1:6" ht="12.75">
      <c r="A947" s="17"/>
      <c r="B947" s="17"/>
      <c r="C947" s="17"/>
      <c r="D947" s="17"/>
      <c r="E947" s="17"/>
      <c r="F947" s="17"/>
    </row>
    <row r="948" spans="1:6" ht="12.75">
      <c r="A948" s="17"/>
      <c r="B948" s="17"/>
      <c r="C948" s="17"/>
      <c r="D948" s="17"/>
      <c r="E948" s="17"/>
      <c r="F948" s="17"/>
    </row>
    <row r="949" spans="1:6" ht="12.75">
      <c r="A949" s="17"/>
      <c r="B949" s="17"/>
      <c r="C949" s="17"/>
      <c r="D949" s="17"/>
      <c r="E949" s="17"/>
      <c r="F949" s="17"/>
    </row>
    <row r="950" spans="1:6" ht="12.75">
      <c r="A950" s="17"/>
      <c r="B950" s="17"/>
      <c r="C950" s="17"/>
      <c r="D950" s="17"/>
      <c r="E950" s="17"/>
      <c r="F950" s="17"/>
    </row>
    <row r="951" spans="1:6" ht="12.75">
      <c r="A951" s="17"/>
      <c r="B951" s="17"/>
      <c r="C951" s="17"/>
      <c r="D951" s="17"/>
      <c r="E951" s="17"/>
      <c r="F951" s="17"/>
    </row>
    <row r="952" spans="1:6" ht="12.75">
      <c r="A952" s="17"/>
      <c r="B952" s="17"/>
      <c r="C952" s="17"/>
      <c r="D952" s="17"/>
      <c r="E952" s="17"/>
      <c r="F952" s="17"/>
    </row>
    <row r="953" spans="1:6" ht="12.75">
      <c r="A953" s="17"/>
      <c r="B953" s="17"/>
      <c r="C953" s="17"/>
      <c r="D953" s="17"/>
      <c r="E953" s="17"/>
      <c r="F953" s="17"/>
    </row>
    <row r="954" spans="1:6" ht="12.75">
      <c r="A954" s="17"/>
      <c r="B954" s="17"/>
      <c r="C954" s="17"/>
      <c r="D954" s="17"/>
      <c r="E954" s="17"/>
      <c r="F954" s="17"/>
    </row>
    <row r="955" spans="1:6" ht="12.75">
      <c r="A955" s="17"/>
      <c r="B955" s="17"/>
      <c r="C955" s="17"/>
      <c r="D955" s="17"/>
      <c r="E955" s="17"/>
      <c r="F955" s="17"/>
    </row>
    <row r="956" spans="1:6" ht="12.75">
      <c r="A956" s="17"/>
      <c r="B956" s="17"/>
      <c r="C956" s="17"/>
      <c r="D956" s="17"/>
      <c r="E956" s="17"/>
      <c r="F956" s="17"/>
    </row>
    <row r="957" spans="1:6" ht="12.75">
      <c r="A957" s="17"/>
      <c r="B957" s="17"/>
      <c r="C957" s="17"/>
      <c r="D957" s="17"/>
      <c r="E957" s="17"/>
      <c r="F957" s="17"/>
    </row>
    <row r="958" spans="1:6" ht="12.75">
      <c r="A958" s="17"/>
      <c r="B958" s="17"/>
      <c r="C958" s="17"/>
      <c r="D958" s="17"/>
      <c r="E958" s="17"/>
      <c r="F958" s="17"/>
    </row>
    <row r="959" spans="1:6" ht="12.75">
      <c r="A959" s="17"/>
      <c r="B959" s="17"/>
      <c r="C959" s="17"/>
      <c r="D959" s="17"/>
      <c r="E959" s="17"/>
      <c r="F959" s="17"/>
    </row>
    <row r="960" spans="1:6" ht="12.75">
      <c r="A960" s="17"/>
      <c r="B960" s="17"/>
      <c r="C960" s="17"/>
      <c r="D960" s="17"/>
      <c r="E960" s="17"/>
      <c r="F960" s="17"/>
    </row>
    <row r="961" spans="1:6" ht="12.75">
      <c r="A961" s="17"/>
      <c r="B961" s="17"/>
      <c r="C961" s="17"/>
      <c r="D961" s="17"/>
      <c r="E961" s="17"/>
      <c r="F961" s="17"/>
    </row>
    <row r="962" spans="1:6" ht="12.75">
      <c r="A962" s="17"/>
      <c r="B962" s="17"/>
      <c r="C962" s="17"/>
      <c r="D962" s="17"/>
      <c r="E962" s="17"/>
      <c r="F962" s="17"/>
    </row>
    <row r="963" spans="1:6" ht="12.75">
      <c r="A963" s="17"/>
      <c r="B963" s="17"/>
      <c r="C963" s="17"/>
      <c r="D963" s="17"/>
      <c r="E963" s="17"/>
      <c r="F963" s="17"/>
    </row>
    <row r="964" spans="1:6" ht="12.75">
      <c r="A964" s="17"/>
      <c r="B964" s="17"/>
      <c r="C964" s="17"/>
      <c r="D964" s="17"/>
      <c r="E964" s="17"/>
      <c r="F964" s="17"/>
    </row>
    <row r="965" spans="1:6" ht="12.75">
      <c r="A965" s="17"/>
      <c r="B965" s="17"/>
      <c r="C965" s="17"/>
      <c r="D965" s="17"/>
      <c r="E965" s="17"/>
      <c r="F965" s="17"/>
    </row>
    <row r="966" spans="1:6" ht="12.75">
      <c r="A966" s="17"/>
      <c r="B966" s="17"/>
      <c r="C966" s="17"/>
      <c r="D966" s="17"/>
      <c r="E966" s="17"/>
      <c r="F966" s="17"/>
    </row>
    <row r="967" spans="1:6" ht="12.75">
      <c r="A967" s="17"/>
      <c r="B967" s="17"/>
      <c r="C967" s="17"/>
      <c r="D967" s="17"/>
      <c r="E967" s="17"/>
      <c r="F967" s="17"/>
    </row>
    <row r="968" spans="1:6" ht="12.75">
      <c r="A968" s="17"/>
      <c r="B968" s="17"/>
      <c r="C968" s="17"/>
      <c r="D968" s="17"/>
      <c r="E968" s="17"/>
      <c r="F968" s="17"/>
    </row>
    <row r="969" spans="1:6" ht="12.75">
      <c r="A969" s="17"/>
      <c r="B969" s="17"/>
      <c r="C969" s="17"/>
      <c r="D969" s="17"/>
      <c r="E969" s="17"/>
      <c r="F969" s="17"/>
    </row>
    <row r="970" spans="1:6" ht="12.75">
      <c r="A970" s="17"/>
      <c r="B970" s="17"/>
      <c r="C970" s="17"/>
      <c r="D970" s="17"/>
      <c r="E970" s="17"/>
      <c r="F970" s="17"/>
    </row>
    <row r="971" spans="1:6" ht="12.75">
      <c r="A971" s="17"/>
      <c r="B971" s="17"/>
      <c r="C971" s="17"/>
      <c r="D971" s="17"/>
      <c r="E971" s="17"/>
      <c r="F971" s="17"/>
    </row>
    <row r="972" spans="1:6" ht="12.75">
      <c r="A972" s="17"/>
      <c r="B972" s="17"/>
      <c r="C972" s="17"/>
      <c r="D972" s="17"/>
      <c r="E972" s="17"/>
      <c r="F972" s="17"/>
    </row>
    <row r="973" spans="1:6" ht="12.75">
      <c r="A973" s="17"/>
      <c r="B973" s="17"/>
      <c r="C973" s="17"/>
      <c r="D973" s="17"/>
      <c r="E973" s="17"/>
      <c r="F973" s="17"/>
    </row>
    <row r="974" spans="1:6" ht="12.75">
      <c r="A974" s="17"/>
      <c r="B974" s="17"/>
      <c r="C974" s="17"/>
      <c r="D974" s="17"/>
      <c r="E974" s="17"/>
      <c r="F974" s="17"/>
    </row>
    <row r="975" spans="1:6" ht="12.75">
      <c r="A975" s="17"/>
      <c r="B975" s="17"/>
      <c r="C975" s="17"/>
      <c r="D975" s="17"/>
      <c r="E975" s="17"/>
      <c r="F975" s="17"/>
    </row>
    <row r="976" spans="1:6" ht="12.75">
      <c r="A976" s="17"/>
      <c r="B976" s="17"/>
      <c r="C976" s="17"/>
      <c r="D976" s="17"/>
      <c r="E976" s="17"/>
      <c r="F976" s="17"/>
    </row>
    <row r="977" spans="1:6" ht="12.75">
      <c r="A977" s="17"/>
      <c r="B977" s="17"/>
      <c r="C977" s="17"/>
      <c r="D977" s="17"/>
      <c r="E977" s="17"/>
      <c r="F977" s="17"/>
    </row>
    <row r="978" spans="1:6" ht="12.75">
      <c r="A978" s="17"/>
      <c r="B978" s="17"/>
      <c r="C978" s="17"/>
      <c r="D978" s="17"/>
      <c r="E978" s="17"/>
      <c r="F978" s="17"/>
    </row>
    <row r="979" spans="1:6" ht="12.75">
      <c r="A979" s="17"/>
      <c r="B979" s="17"/>
      <c r="C979" s="17"/>
      <c r="D979" s="17"/>
      <c r="E979" s="17"/>
      <c r="F979" s="17"/>
    </row>
    <row r="980" spans="1:6" ht="12.75">
      <c r="A980" s="17"/>
      <c r="B980" s="17"/>
      <c r="C980" s="17"/>
      <c r="D980" s="17"/>
      <c r="E980" s="17"/>
      <c r="F980" s="17"/>
    </row>
    <row r="981" spans="1:6" ht="12.75">
      <c r="A981" s="17"/>
      <c r="B981" s="17"/>
      <c r="C981" s="17"/>
      <c r="D981" s="17"/>
      <c r="E981" s="17"/>
      <c r="F981" s="17"/>
    </row>
    <row r="982" spans="1:6" ht="12.75">
      <c r="A982" s="17"/>
      <c r="B982" s="17"/>
      <c r="C982" s="17"/>
      <c r="D982" s="17"/>
      <c r="E982" s="17"/>
      <c r="F982" s="17"/>
    </row>
    <row r="983" spans="1:6" ht="12.75">
      <c r="A983" s="17"/>
      <c r="B983" s="17"/>
      <c r="C983" s="17"/>
      <c r="D983" s="17"/>
      <c r="E983" s="17"/>
      <c r="F983" s="17"/>
    </row>
    <row r="984" spans="1:6" ht="12.75">
      <c r="A984" s="17"/>
      <c r="B984" s="17"/>
      <c r="C984" s="17"/>
      <c r="D984" s="17"/>
      <c r="E984" s="17"/>
      <c r="F984" s="17"/>
    </row>
    <row r="985" spans="1:6" ht="12.75">
      <c r="A985" s="17"/>
      <c r="B985" s="17"/>
      <c r="C985" s="17"/>
      <c r="D985" s="17"/>
      <c r="E985" s="17"/>
      <c r="F985" s="17"/>
    </row>
    <row r="986" spans="1:6" ht="12.75">
      <c r="A986" s="17"/>
      <c r="B986" s="17"/>
      <c r="C986" s="17"/>
      <c r="D986" s="17"/>
      <c r="E986" s="17"/>
      <c r="F986" s="17"/>
    </row>
    <row r="987" spans="1:6" ht="12.75">
      <c r="A987" s="17"/>
      <c r="B987" s="17"/>
      <c r="C987" s="17"/>
      <c r="D987" s="17"/>
      <c r="E987" s="17"/>
      <c r="F987" s="17"/>
    </row>
    <row r="988" spans="1:6" ht="12.75">
      <c r="A988" s="17"/>
      <c r="B988" s="17"/>
      <c r="C988" s="17"/>
      <c r="D988" s="17"/>
      <c r="E988" s="17"/>
      <c r="F988" s="17"/>
    </row>
    <row r="989" spans="1:6" ht="12.75">
      <c r="A989" s="17"/>
      <c r="B989" s="17"/>
      <c r="C989" s="17"/>
      <c r="D989" s="17"/>
      <c r="E989" s="17"/>
      <c r="F989" s="17"/>
    </row>
    <row r="990" spans="1:6" ht="12.75">
      <c r="A990" s="17"/>
      <c r="B990" s="17"/>
      <c r="C990" s="17"/>
      <c r="D990" s="17"/>
      <c r="E990" s="17"/>
      <c r="F990" s="17"/>
    </row>
    <row r="991" spans="1:6" ht="12.75">
      <c r="A991" s="17"/>
      <c r="B991" s="17"/>
      <c r="C991" s="17"/>
      <c r="D991" s="17"/>
      <c r="E991" s="17"/>
      <c r="F991" s="17"/>
    </row>
  </sheetData>
  <mergeCells count="4">
    <mergeCell ref="E15:H15"/>
    <mergeCell ref="J16:K16"/>
    <mergeCell ref="E16:H16"/>
    <mergeCell ref="A11:D11"/>
  </mergeCells>
  <pageMargins left="0.7" right="0.7" top="0.75" bottom="0.75" header="0.3" footer="0.3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1E3D1-EB84-4FC1-8DFC-D5F6CEC5850A}">
  <dimension ref="A1:B27"/>
  <sheetViews>
    <sheetView tabSelected="1" topLeftCell="A4" workbookViewId="0">
      <selection activeCell="B57" sqref="B57"/>
    </sheetView>
  </sheetViews>
  <sheetFormatPr defaultRowHeight="12.75"/>
  <cols>
    <col min="1" max="1" width="27.85546875" bestFit="1" customWidth="1"/>
    <col min="2" max="2" width="27.7109375" bestFit="1" customWidth="1"/>
    <col min="3" max="3" width="11.28515625" bestFit="1" customWidth="1"/>
  </cols>
  <sheetData>
    <row r="1" spans="1:2">
      <c r="A1" s="22" t="s">
        <v>225</v>
      </c>
      <c r="B1" s="39">
        <v>2026</v>
      </c>
    </row>
    <row r="3" spans="1:2">
      <c r="A3" s="24" t="s">
        <v>226</v>
      </c>
      <c r="B3" s="73" t="s">
        <v>16761</v>
      </c>
    </row>
    <row r="4" spans="1:2">
      <c r="A4" s="30" t="s">
        <v>135</v>
      </c>
      <c r="B4" s="92">
        <v>14594</v>
      </c>
    </row>
    <row r="5" spans="1:2">
      <c r="A5" s="108" t="s">
        <v>16733</v>
      </c>
      <c r="B5" s="93">
        <v>4823</v>
      </c>
    </row>
    <row r="6" spans="1:2">
      <c r="A6" s="108" t="s">
        <v>16734</v>
      </c>
      <c r="B6" s="93">
        <v>4894</v>
      </c>
    </row>
    <row r="7" spans="1:2">
      <c r="A7" s="108" t="s">
        <v>16732</v>
      </c>
      <c r="B7" s="93">
        <v>4877</v>
      </c>
    </row>
    <row r="8" spans="1:2">
      <c r="A8" s="31" t="s">
        <v>136</v>
      </c>
      <c r="B8" s="93">
        <v>122553</v>
      </c>
    </row>
    <row r="9" spans="1:2">
      <c r="A9" s="108" t="s">
        <v>16733</v>
      </c>
      <c r="B9" s="93">
        <v>40953</v>
      </c>
    </row>
    <row r="10" spans="1:2">
      <c r="A10" s="108" t="s">
        <v>16734</v>
      </c>
      <c r="B10" s="93">
        <v>39230</v>
      </c>
    </row>
    <row r="11" spans="1:2">
      <c r="A11" s="108" t="s">
        <v>16732</v>
      </c>
      <c r="B11" s="93">
        <v>42370</v>
      </c>
    </row>
    <row r="12" spans="1:2">
      <c r="A12" s="31" t="s">
        <v>138</v>
      </c>
      <c r="B12" s="93">
        <v>14725</v>
      </c>
    </row>
    <row r="13" spans="1:2">
      <c r="A13" s="108" t="s">
        <v>16733</v>
      </c>
      <c r="B13" s="93">
        <v>5708</v>
      </c>
    </row>
    <row r="14" spans="1:2">
      <c r="A14" s="108" t="s">
        <v>16734</v>
      </c>
      <c r="B14" s="93">
        <v>4042</v>
      </c>
    </row>
    <row r="15" spans="1:2">
      <c r="A15" s="108" t="s">
        <v>16732</v>
      </c>
      <c r="B15" s="93">
        <v>4975</v>
      </c>
    </row>
    <row r="16" spans="1:2">
      <c r="A16" s="31" t="s">
        <v>134</v>
      </c>
      <c r="B16" s="93">
        <v>5444</v>
      </c>
    </row>
    <row r="17" spans="1:2">
      <c r="A17" s="108" t="s">
        <v>16733</v>
      </c>
      <c r="B17" s="93"/>
    </row>
    <row r="18" spans="1:2">
      <c r="A18" s="108" t="s">
        <v>16734</v>
      </c>
      <c r="B18" s="93">
        <v>2226</v>
      </c>
    </row>
    <row r="19" spans="1:2">
      <c r="A19" s="108" t="s">
        <v>16732</v>
      </c>
      <c r="B19" s="93">
        <v>3218</v>
      </c>
    </row>
    <row r="20" spans="1:2">
      <c r="A20" s="31" t="s">
        <v>139</v>
      </c>
      <c r="B20" s="93">
        <v>4700</v>
      </c>
    </row>
    <row r="21" spans="1:2">
      <c r="A21" s="108" t="s">
        <v>16733</v>
      </c>
      <c r="B21" s="93">
        <v>992</v>
      </c>
    </row>
    <row r="22" spans="1:2">
      <c r="A22" s="108" t="s">
        <v>16732</v>
      </c>
      <c r="B22" s="93">
        <v>3708</v>
      </c>
    </row>
    <row r="23" spans="1:2">
      <c r="A23" s="31" t="s">
        <v>140</v>
      </c>
      <c r="B23" s="93">
        <v>22827</v>
      </c>
    </row>
    <row r="24" spans="1:2">
      <c r="A24" s="108" t="s">
        <v>16733</v>
      </c>
      <c r="B24" s="93">
        <v>7362</v>
      </c>
    </row>
    <row r="25" spans="1:2">
      <c r="A25" s="108" t="s">
        <v>16734</v>
      </c>
      <c r="B25" s="93">
        <v>7854</v>
      </c>
    </row>
    <row r="26" spans="1:2">
      <c r="A26" s="108" t="s">
        <v>16732</v>
      </c>
      <c r="B26" s="93">
        <v>7611</v>
      </c>
    </row>
    <row r="27" spans="1:2">
      <c r="A27" s="32" t="s">
        <v>227</v>
      </c>
      <c r="B27" s="94">
        <v>184843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E4BE8-E77E-484B-81D7-02863A7729E9}">
  <dimension ref="A1:E12"/>
  <sheetViews>
    <sheetView workbookViewId="0">
      <selection activeCell="B12" sqref="B12"/>
    </sheetView>
  </sheetViews>
  <sheetFormatPr defaultRowHeight="12.75"/>
  <cols>
    <col min="1" max="1" width="12.7109375" bestFit="1" customWidth="1"/>
    <col min="2" max="2" width="16.140625" bestFit="1" customWidth="1"/>
    <col min="4" max="4" width="12.7109375" bestFit="1" customWidth="1"/>
    <col min="5" max="5" width="16.140625" bestFit="1" customWidth="1"/>
  </cols>
  <sheetData>
    <row r="1" spans="1:5">
      <c r="A1" s="22" t="s">
        <v>89</v>
      </c>
      <c r="B1" s="23" t="s">
        <v>16609</v>
      </c>
      <c r="D1" s="22" t="s">
        <v>89</v>
      </c>
      <c r="E1" s="23" t="s">
        <v>16609</v>
      </c>
    </row>
    <row r="2" spans="1:5">
      <c r="A2" s="22" t="s">
        <v>225</v>
      </c>
      <c r="B2" s="39">
        <v>2025</v>
      </c>
      <c r="D2" s="22" t="s">
        <v>225</v>
      </c>
      <c r="E2" s="39">
        <v>2026</v>
      </c>
    </row>
    <row r="3" spans="1:5">
      <c r="D3" s="144"/>
      <c r="E3" s="144"/>
    </row>
    <row r="4" spans="1:5">
      <c r="A4" s="169" t="s">
        <v>16755</v>
      </c>
      <c r="B4" s="170" t="s">
        <v>16756</v>
      </c>
      <c r="D4" s="169" t="s">
        <v>16755</v>
      </c>
      <c r="E4" s="170" t="s">
        <v>16756</v>
      </c>
    </row>
    <row r="5" spans="1:5">
      <c r="A5" s="89">
        <v>33264</v>
      </c>
      <c r="B5" s="91">
        <v>12977</v>
      </c>
      <c r="D5" s="89">
        <v>12873</v>
      </c>
      <c r="E5" s="91">
        <v>2065</v>
      </c>
    </row>
    <row r="7" spans="1:5" ht="14.25">
      <c r="A7" s="178" t="s">
        <v>16751</v>
      </c>
      <c r="B7" s="178"/>
    </row>
    <row r="8" spans="1:5" s="144" customFormat="1">
      <c r="A8" s="181" t="s">
        <v>16742</v>
      </c>
      <c r="B8" s="182"/>
    </row>
    <row r="9" spans="1:5">
      <c r="A9" s="169" t="s">
        <v>16755</v>
      </c>
      <c r="B9" s="170" t="s">
        <v>16756</v>
      </c>
    </row>
    <row r="10" spans="1:5">
      <c r="A10">
        <f>SUM(GETPIVOTDATA("ICLs Received",$A$4)+GETPIVOTDATA("ICLs Received",$D$4))</f>
        <v>46137</v>
      </c>
      <c r="B10">
        <f>SUM(GETPIVOTDATA("ICLs Sent",$A$4)+GETPIVOTDATA("ICLs Sent",$D$4))</f>
        <v>15042</v>
      </c>
    </row>
    <row r="12" spans="1:5">
      <c r="A12" s="38" t="s">
        <v>16757</v>
      </c>
      <c r="B12">
        <f>SUM(A10+B10)</f>
        <v>61179</v>
      </c>
    </row>
  </sheetData>
  <mergeCells count="2">
    <mergeCell ref="A8:B8"/>
    <mergeCell ref="A7:B7"/>
  </mergeCells>
  <pageMargins left="0.7" right="0.7" top="0.75" bottom="0.75" header="0.3" footer="0.3"/>
  <pageSetup orientation="portrait" horizontalDpi="0" verticalDpi="0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outlinePr summaryBelow="0" summaryRight="0"/>
  </sheetPr>
  <dimension ref="A1:I86"/>
  <sheetViews>
    <sheetView showGridLines="0" workbookViewId="0">
      <selection activeCell="G9" sqref="G9"/>
    </sheetView>
  </sheetViews>
  <sheetFormatPr defaultColWidth="12.5703125" defaultRowHeight="15.75" customHeight="1"/>
  <cols>
    <col min="1" max="1" width="27.28515625" bestFit="1" customWidth="1"/>
    <col min="2" max="2" width="19.85546875" bestFit="1" customWidth="1"/>
    <col min="3" max="3" width="23.28515625" bestFit="1" customWidth="1"/>
    <col min="4" max="4" width="11.28515625" bestFit="1" customWidth="1"/>
    <col min="5" max="5" width="25.85546875" bestFit="1" customWidth="1"/>
    <col min="6" max="6" width="25.28515625" bestFit="1" customWidth="1"/>
    <col min="7" max="7" width="19.42578125" bestFit="1" customWidth="1"/>
    <col min="8" max="8" width="18.7109375" bestFit="1" customWidth="1"/>
    <col min="9" max="9" width="15.85546875" bestFit="1" customWidth="1"/>
    <col min="10" max="10" width="36" bestFit="1" customWidth="1"/>
  </cols>
  <sheetData>
    <row r="1" spans="1:5" ht="32.25" customHeight="1">
      <c r="A1" s="183" t="s">
        <v>16674</v>
      </c>
      <c r="B1" s="183"/>
      <c r="C1" s="183"/>
      <c r="D1" s="183"/>
      <c r="E1" s="183"/>
    </row>
    <row r="4" spans="1:5" ht="15.75" customHeight="1">
      <c r="A4" s="187" t="s">
        <v>16622</v>
      </c>
      <c r="B4" s="187"/>
      <c r="C4" s="187"/>
      <c r="D4" s="187"/>
      <c r="E4" s="187"/>
    </row>
    <row r="5" spans="1:5" ht="15.75" customHeight="1">
      <c r="A5" s="64" t="s">
        <v>225</v>
      </c>
      <c r="B5" s="61">
        <v>2025</v>
      </c>
    </row>
    <row r="7" spans="1:5" ht="15.75" customHeight="1">
      <c r="A7" s="60" t="s">
        <v>16623</v>
      </c>
      <c r="B7" s="60" t="s">
        <v>16624</v>
      </c>
      <c r="C7" s="60" t="s">
        <v>16625</v>
      </c>
      <c r="D7" s="60" t="s">
        <v>16626</v>
      </c>
      <c r="E7" s="65"/>
    </row>
    <row r="8" spans="1:5" ht="15.75" customHeight="1">
      <c r="A8" s="95">
        <v>436</v>
      </c>
      <c r="B8" s="95">
        <v>2</v>
      </c>
      <c r="C8" s="95">
        <v>50</v>
      </c>
      <c r="D8" s="95">
        <v>8100</v>
      </c>
    </row>
    <row r="9" spans="1:5" ht="18" customHeight="1"/>
    <row r="10" spans="1:5" ht="18" customHeight="1"/>
    <row r="11" spans="1:5" ht="18" customHeight="1"/>
    <row r="12" spans="1:5" ht="18" customHeight="1">
      <c r="A12" s="187" t="s">
        <v>16627</v>
      </c>
      <c r="B12" s="187"/>
      <c r="C12" s="187"/>
      <c r="D12" s="187"/>
      <c r="E12" s="187"/>
    </row>
    <row r="13" spans="1:5" ht="15.75" customHeight="1">
      <c r="A13" s="64" t="s">
        <v>225</v>
      </c>
      <c r="B13" s="61">
        <v>2025</v>
      </c>
    </row>
    <row r="15" spans="1:5" ht="15.75" customHeight="1">
      <c r="A15" s="60" t="s">
        <v>16628</v>
      </c>
      <c r="B15" s="60" t="s">
        <v>16629</v>
      </c>
      <c r="C15" s="60" t="s">
        <v>16630</v>
      </c>
      <c r="D15" s="60" t="s">
        <v>16631</v>
      </c>
      <c r="E15" s="60" t="s">
        <v>16632</v>
      </c>
    </row>
    <row r="16" spans="1:5" ht="15.75" customHeight="1">
      <c r="A16" s="95">
        <v>1044</v>
      </c>
      <c r="B16" s="95">
        <v>32101</v>
      </c>
      <c r="C16" s="95">
        <v>73</v>
      </c>
      <c r="D16" s="95">
        <v>3</v>
      </c>
      <c r="E16" s="95">
        <v>58</v>
      </c>
    </row>
    <row r="21" spans="1:5" ht="15.75" customHeight="1">
      <c r="A21" s="187" t="s">
        <v>16633</v>
      </c>
      <c r="B21" s="187"/>
      <c r="C21" s="187"/>
      <c r="D21" s="187"/>
    </row>
    <row r="22" spans="1:5" ht="15.75" customHeight="1">
      <c r="A22" s="64" t="s">
        <v>225</v>
      </c>
      <c r="B22" s="61">
        <v>2025</v>
      </c>
    </row>
    <row r="24" spans="1:5" ht="15.75" customHeight="1">
      <c r="A24" s="60" t="s">
        <v>16634</v>
      </c>
      <c r="B24" s="60" t="s">
        <v>16635</v>
      </c>
      <c r="C24" s="60" t="s">
        <v>16636</v>
      </c>
      <c r="D24" s="60" t="s">
        <v>16637</v>
      </c>
      <c r="E24" s="65"/>
    </row>
    <row r="25" spans="1:5" ht="15.75" customHeight="1">
      <c r="A25" s="95">
        <v>372</v>
      </c>
      <c r="B25" s="95">
        <v>326</v>
      </c>
      <c r="C25" s="95">
        <v>3385</v>
      </c>
      <c r="D25" s="95">
        <v>15701</v>
      </c>
    </row>
    <row r="28" spans="1:5" ht="15.75" customHeight="1">
      <c r="A28" s="187" t="s">
        <v>16673</v>
      </c>
      <c r="B28" s="187"/>
      <c r="C28" s="187"/>
      <c r="D28" s="187"/>
      <c r="E28" s="187"/>
    </row>
    <row r="29" spans="1:5" ht="15.75" customHeight="1">
      <c r="A29" s="64" t="s">
        <v>225</v>
      </c>
      <c r="B29" s="61">
        <v>2025</v>
      </c>
    </row>
    <row r="31" spans="1:5" s="29" customFormat="1" ht="27" customHeight="1">
      <c r="A31" s="62" t="s">
        <v>16638</v>
      </c>
      <c r="B31" s="62" t="s">
        <v>16639</v>
      </c>
      <c r="C31" s="62" t="s">
        <v>16640</v>
      </c>
      <c r="D31" s="62" t="s">
        <v>16641</v>
      </c>
      <c r="E31" s="65"/>
    </row>
    <row r="32" spans="1:5" ht="15.75" customHeight="1">
      <c r="A32" s="95">
        <v>27</v>
      </c>
      <c r="B32" s="95">
        <v>327</v>
      </c>
      <c r="C32" s="95">
        <v>60</v>
      </c>
      <c r="D32" s="95">
        <v>18</v>
      </c>
    </row>
    <row r="37" spans="1:9" ht="15.75" customHeight="1">
      <c r="A37" s="186" t="s">
        <v>16642</v>
      </c>
      <c r="B37" s="186"/>
    </row>
    <row r="38" spans="1:9" ht="15.75" customHeight="1">
      <c r="A38" s="64" t="s">
        <v>225</v>
      </c>
      <c r="B38" s="61">
        <v>2025</v>
      </c>
    </row>
    <row r="39" spans="1:9" ht="15.75" customHeight="1">
      <c r="A39" s="179"/>
      <c r="B39" s="179"/>
    </row>
    <row r="40" spans="1:9" ht="15.75" customHeight="1">
      <c r="A40" s="60" t="s">
        <v>16643</v>
      </c>
      <c r="B40" s="60" t="s">
        <v>16644</v>
      </c>
      <c r="C40" s="65"/>
      <c r="D40" s="65"/>
      <c r="E40" s="65"/>
      <c r="F40" s="65"/>
      <c r="G40" s="65"/>
      <c r="H40" s="65"/>
      <c r="I40" s="65"/>
    </row>
    <row r="41" spans="1:9" ht="15.75" customHeight="1">
      <c r="A41" s="95">
        <v>3563</v>
      </c>
      <c r="B41" s="95">
        <v>3864</v>
      </c>
    </row>
    <row r="44" spans="1:9" ht="15.75" customHeight="1">
      <c r="A44" s="186" t="s">
        <v>161</v>
      </c>
      <c r="B44" s="186"/>
    </row>
    <row r="45" spans="1:9" ht="15.75" customHeight="1">
      <c r="A45" s="64" t="s">
        <v>225</v>
      </c>
      <c r="B45" s="61">
        <v>2025</v>
      </c>
    </row>
    <row r="46" spans="1:9" ht="15.75" customHeight="1">
      <c r="A46" s="63"/>
    </row>
    <row r="47" spans="1:9" ht="15.75" customHeight="1">
      <c r="A47" s="60" t="s">
        <v>16645</v>
      </c>
    </row>
    <row r="48" spans="1:9" ht="15.75" customHeight="1">
      <c r="A48" s="95">
        <v>974</v>
      </c>
    </row>
    <row r="51" spans="1:9" ht="15.75" customHeight="1">
      <c r="A51" s="187" t="s">
        <v>16646</v>
      </c>
      <c r="B51" s="187"/>
      <c r="C51" s="187"/>
      <c r="D51" s="187"/>
      <c r="E51" s="187"/>
      <c r="F51" s="187"/>
      <c r="G51" s="187"/>
      <c r="H51" s="187"/>
      <c r="I51" s="187"/>
    </row>
    <row r="52" spans="1:9" ht="15.75" customHeight="1">
      <c r="A52" s="64" t="s">
        <v>225</v>
      </c>
      <c r="B52" s="61">
        <v>2025</v>
      </c>
    </row>
    <row r="53" spans="1:9" ht="15.75" customHeight="1">
      <c r="A53" s="188"/>
      <c r="B53" s="188"/>
      <c r="C53" s="188"/>
      <c r="D53" s="188"/>
      <c r="E53" s="188"/>
      <c r="F53" s="188"/>
      <c r="G53" s="188"/>
      <c r="H53" s="188"/>
      <c r="I53" s="188"/>
    </row>
    <row r="54" spans="1:9" ht="15.75" customHeight="1">
      <c r="A54" s="60" t="s">
        <v>16647</v>
      </c>
      <c r="B54" s="60" t="s">
        <v>16648</v>
      </c>
      <c r="C54" s="60" t="s">
        <v>16649</v>
      </c>
      <c r="D54" s="60" t="s">
        <v>16650</v>
      </c>
      <c r="E54" s="60" t="s">
        <v>16651</v>
      </c>
      <c r="F54" s="60" t="s">
        <v>16652</v>
      </c>
      <c r="G54" s="60" t="s">
        <v>16653</v>
      </c>
      <c r="H54" s="60" t="s">
        <v>16654</v>
      </c>
      <c r="I54" s="60" t="s">
        <v>16655</v>
      </c>
    </row>
    <row r="55" spans="1:9" ht="15.75" customHeight="1">
      <c r="A55" s="95">
        <v>455</v>
      </c>
      <c r="B55" s="95">
        <v>2192</v>
      </c>
      <c r="C55" s="95">
        <v>15449</v>
      </c>
      <c r="D55" s="95">
        <v>3196</v>
      </c>
      <c r="E55" s="95">
        <v>39270</v>
      </c>
      <c r="F55" s="95">
        <v>10339</v>
      </c>
      <c r="G55" s="95">
        <v>2696</v>
      </c>
      <c r="H55" s="95">
        <v>2876</v>
      </c>
      <c r="I55" s="95">
        <v>1160</v>
      </c>
    </row>
    <row r="58" spans="1:9" ht="15.75" customHeight="1">
      <c r="A58" s="187" t="s">
        <v>16656</v>
      </c>
      <c r="B58" s="187"/>
      <c r="C58" s="187"/>
      <c r="D58" s="187"/>
    </row>
    <row r="59" spans="1:9" ht="15.75" customHeight="1">
      <c r="A59" s="64" t="s">
        <v>225</v>
      </c>
      <c r="B59" s="60" t="s">
        <v>221</v>
      </c>
    </row>
    <row r="60" spans="1:9" ht="15.75" customHeight="1">
      <c r="A60" s="188"/>
      <c r="B60" s="188"/>
      <c r="C60" s="188"/>
      <c r="D60" s="188"/>
    </row>
    <row r="61" spans="1:9" ht="15.75" customHeight="1">
      <c r="A61" s="60" t="s">
        <v>16657</v>
      </c>
      <c r="B61" s="60" t="s">
        <v>16658</v>
      </c>
      <c r="C61" s="60" t="s">
        <v>16659</v>
      </c>
      <c r="D61" s="60" t="s">
        <v>16660</v>
      </c>
      <c r="E61" s="65"/>
      <c r="F61" s="65"/>
      <c r="G61" s="65"/>
      <c r="H61" s="65"/>
      <c r="I61" s="65"/>
    </row>
    <row r="62" spans="1:9" ht="15.75" customHeight="1">
      <c r="A62" s="95">
        <v>31421</v>
      </c>
      <c r="B62" s="95">
        <v>59610</v>
      </c>
      <c r="C62" s="95">
        <v>16636</v>
      </c>
      <c r="D62" s="95">
        <v>32</v>
      </c>
    </row>
    <row r="66" spans="1:3" ht="15.75" customHeight="1">
      <c r="A66" s="184" t="s">
        <v>16661</v>
      </c>
      <c r="B66" s="185"/>
      <c r="C66" s="185"/>
    </row>
    <row r="67" spans="1:3" ht="15.75" customHeight="1">
      <c r="A67" s="64" t="s">
        <v>225</v>
      </c>
      <c r="B67" s="61">
        <v>2025</v>
      </c>
    </row>
    <row r="69" spans="1:3" ht="15.75" customHeight="1">
      <c r="A69" s="60" t="s">
        <v>16662</v>
      </c>
      <c r="B69" s="60" t="s">
        <v>16663</v>
      </c>
      <c r="C69" s="60" t="s">
        <v>16664</v>
      </c>
    </row>
    <row r="70" spans="1:3" ht="15.75" customHeight="1">
      <c r="A70" s="95">
        <v>1367</v>
      </c>
      <c r="B70" s="95">
        <v>711</v>
      </c>
      <c r="C70" s="95">
        <v>4541</v>
      </c>
    </row>
    <row r="74" spans="1:3" ht="15.75" customHeight="1">
      <c r="A74" s="184" t="s">
        <v>16665</v>
      </c>
      <c r="B74" s="185"/>
      <c r="C74" s="185"/>
    </row>
    <row r="75" spans="1:3" ht="15.75" customHeight="1">
      <c r="A75" s="64" t="s">
        <v>225</v>
      </c>
      <c r="B75" s="61">
        <v>2025</v>
      </c>
    </row>
    <row r="77" spans="1:3" ht="15.75" customHeight="1">
      <c r="A77" s="60" t="s">
        <v>16666</v>
      </c>
      <c r="B77" s="60" t="s">
        <v>16667</v>
      </c>
      <c r="C77" s="65"/>
    </row>
    <row r="78" spans="1:3" ht="15.75" customHeight="1">
      <c r="A78" s="95">
        <v>120</v>
      </c>
      <c r="B78" s="95">
        <v>980</v>
      </c>
    </row>
    <row r="82" spans="1:3" ht="15.75" customHeight="1">
      <c r="A82" s="185" t="s">
        <v>16668</v>
      </c>
      <c r="B82" s="185"/>
      <c r="C82" s="185"/>
    </row>
    <row r="83" spans="1:3" ht="15.75" customHeight="1">
      <c r="A83" s="22" t="s">
        <v>225</v>
      </c>
      <c r="B83" s="23" t="s">
        <v>221</v>
      </c>
    </row>
    <row r="85" spans="1:3" ht="15.75" customHeight="1">
      <c r="A85" s="25" t="s">
        <v>16669</v>
      </c>
      <c r="B85" s="27" t="s">
        <v>16670</v>
      </c>
    </row>
    <row r="86" spans="1:3" ht="15.75" customHeight="1">
      <c r="A86" s="89">
        <v>3465</v>
      </c>
      <c r="B86" s="91">
        <v>3</v>
      </c>
    </row>
  </sheetData>
  <mergeCells count="15">
    <mergeCell ref="A1:E1"/>
    <mergeCell ref="A74:C74"/>
    <mergeCell ref="A82:C82"/>
    <mergeCell ref="A44:B44"/>
    <mergeCell ref="A51:I51"/>
    <mergeCell ref="A53:I53"/>
    <mergeCell ref="A58:D58"/>
    <mergeCell ref="A60:D60"/>
    <mergeCell ref="A66:C66"/>
    <mergeCell ref="A39:B39"/>
    <mergeCell ref="A4:E4"/>
    <mergeCell ref="A12:E12"/>
    <mergeCell ref="A21:D21"/>
    <mergeCell ref="A28:E28"/>
    <mergeCell ref="A37:B37"/>
  </mergeCells>
  <pageMargins left="0.7" right="0.7" top="0.75" bottom="0.75" header="0.3" footer="0.3"/>
  <pageSetup orientation="landscape" horizontalDpi="0" verticalDpi="0" r:id="rId1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51"/>
  <sheetViews>
    <sheetView workbookViewId="0">
      <selection activeCell="I35" sqref="I35"/>
    </sheetView>
  </sheetViews>
  <sheetFormatPr defaultColWidth="12.5703125" defaultRowHeight="15.75" customHeight="1"/>
  <cols>
    <col min="1" max="1" width="12.85546875" style="29" bestFit="1" customWidth="1"/>
    <col min="2" max="2" width="13.7109375" style="29" bestFit="1" customWidth="1"/>
    <col min="3" max="3" width="14.7109375" style="29" bestFit="1" customWidth="1"/>
    <col min="4" max="4" width="15.7109375" style="29" bestFit="1" customWidth="1"/>
    <col min="5" max="5" width="14.28515625" style="29" bestFit="1" customWidth="1"/>
    <col min="6" max="6" width="24.5703125" bestFit="1" customWidth="1"/>
    <col min="7" max="7" width="27.140625" bestFit="1" customWidth="1"/>
  </cols>
  <sheetData>
    <row r="1" spans="1:6" ht="15.75" customHeight="1">
      <c r="A1" s="22" t="s">
        <v>89</v>
      </c>
      <c r="B1" s="23" t="s">
        <v>16732</v>
      </c>
      <c r="C1"/>
    </row>
    <row r="2" spans="1:6" ht="15.75" customHeight="1">
      <c r="A2"/>
      <c r="B2"/>
      <c r="C2"/>
    </row>
    <row r="3" spans="1:6" ht="15.75" customHeight="1">
      <c r="A3" s="24" t="s">
        <v>226</v>
      </c>
      <c r="B3" s="25" t="s">
        <v>55</v>
      </c>
      <c r="C3" s="26" t="s">
        <v>56</v>
      </c>
      <c r="D3" s="26" t="s">
        <v>57</v>
      </c>
      <c r="E3" s="26" t="s">
        <v>58</v>
      </c>
      <c r="F3" s="27" t="s">
        <v>232</v>
      </c>
    </row>
    <row r="4" spans="1:6" ht="15.75" customHeight="1">
      <c r="A4" s="30">
        <v>2025</v>
      </c>
      <c r="B4" s="83">
        <v>93</v>
      </c>
      <c r="C4" s="84">
        <v>15</v>
      </c>
      <c r="D4" s="84">
        <v>25</v>
      </c>
      <c r="E4" s="84">
        <v>68</v>
      </c>
      <c r="F4" s="85">
        <v>13</v>
      </c>
    </row>
    <row r="5" spans="1:6" ht="15.75" customHeight="1">
      <c r="A5" s="31">
        <v>2026</v>
      </c>
      <c r="B5" s="86">
        <v>58</v>
      </c>
      <c r="C5" s="87">
        <v>17</v>
      </c>
      <c r="D5" s="87">
        <v>14</v>
      </c>
      <c r="E5" s="87">
        <v>37</v>
      </c>
      <c r="F5" s="88">
        <v>4</v>
      </c>
    </row>
    <row r="6" spans="1:6" ht="15.75" customHeight="1">
      <c r="A6" s="32" t="s">
        <v>227</v>
      </c>
      <c r="B6" s="89">
        <v>151</v>
      </c>
      <c r="C6" s="90">
        <v>32</v>
      </c>
      <c r="D6" s="90">
        <v>39</v>
      </c>
      <c r="E6" s="90">
        <v>105</v>
      </c>
      <c r="F6" s="91">
        <v>17</v>
      </c>
    </row>
    <row r="7" spans="1:6" ht="15.75" customHeight="1">
      <c r="A7"/>
      <c r="B7"/>
      <c r="C7"/>
      <c r="D7"/>
      <c r="E7"/>
    </row>
    <row r="8" spans="1:6" ht="15.75" customHeight="1">
      <c r="A8" s="22" t="s">
        <v>89</v>
      </c>
      <c r="B8" s="23" t="s">
        <v>16732</v>
      </c>
      <c r="C8"/>
      <c r="D8"/>
      <c r="E8"/>
    </row>
    <row r="9" spans="1:6" ht="15.75" customHeight="1">
      <c r="A9"/>
      <c r="B9"/>
      <c r="C9"/>
      <c r="D9"/>
      <c r="E9"/>
    </row>
    <row r="10" spans="1:6" ht="15.75" customHeight="1">
      <c r="A10" s="24" t="s">
        <v>226</v>
      </c>
      <c r="B10" s="25" t="s">
        <v>71</v>
      </c>
      <c r="C10" s="26" t="s">
        <v>72</v>
      </c>
      <c r="D10" s="26" t="s">
        <v>73</v>
      </c>
      <c r="E10" s="26" t="s">
        <v>74</v>
      </c>
      <c r="F10" s="27" t="s">
        <v>75</v>
      </c>
    </row>
    <row r="11" spans="1:6" ht="15.75" customHeight="1">
      <c r="A11" s="30">
        <v>2025</v>
      </c>
      <c r="B11" s="83">
        <v>2633</v>
      </c>
      <c r="C11" s="84">
        <v>229</v>
      </c>
      <c r="D11" s="84">
        <v>264</v>
      </c>
      <c r="E11" s="84">
        <v>636</v>
      </c>
      <c r="F11" s="85">
        <v>277</v>
      </c>
    </row>
    <row r="12" spans="1:6" ht="15.75" customHeight="1">
      <c r="A12" s="31">
        <v>2026</v>
      </c>
      <c r="B12" s="86">
        <v>1822</v>
      </c>
      <c r="C12" s="87">
        <v>206</v>
      </c>
      <c r="D12" s="87">
        <v>120</v>
      </c>
      <c r="E12" s="87">
        <v>328</v>
      </c>
      <c r="F12" s="88">
        <v>230</v>
      </c>
    </row>
    <row r="13" spans="1:6" ht="15.75" customHeight="1">
      <c r="A13" s="32" t="s">
        <v>227</v>
      </c>
      <c r="B13" s="89">
        <v>4455</v>
      </c>
      <c r="C13" s="90">
        <v>435</v>
      </c>
      <c r="D13" s="90">
        <v>384</v>
      </c>
      <c r="E13" s="90">
        <v>964</v>
      </c>
      <c r="F13" s="91">
        <v>507</v>
      </c>
    </row>
    <row r="14" spans="1:6" ht="15.75" customHeight="1">
      <c r="A14"/>
      <c r="B14"/>
      <c r="C14"/>
      <c r="D14"/>
      <c r="E14"/>
    </row>
    <row r="15" spans="1:6" s="37" customFormat="1" ht="15.75" customHeight="1"/>
    <row r="16" spans="1:6" ht="15.75" customHeight="1">
      <c r="A16" s="38" t="s">
        <v>52</v>
      </c>
      <c r="B16"/>
      <c r="C16"/>
      <c r="D16"/>
      <c r="E16"/>
    </row>
    <row r="17" spans="1:5" ht="15.75" customHeight="1">
      <c r="A17" s="22" t="s">
        <v>225</v>
      </c>
      <c r="B17" s="39">
        <v>2024</v>
      </c>
      <c r="C17"/>
      <c r="D17"/>
      <c r="E17"/>
    </row>
    <row r="18" spans="1:5" ht="15.75" customHeight="1">
      <c r="A18"/>
      <c r="B18"/>
      <c r="C18"/>
      <c r="D18"/>
      <c r="E18"/>
    </row>
    <row r="19" spans="1:5" ht="15.75" customHeight="1">
      <c r="A19" s="25" t="s">
        <v>16586</v>
      </c>
      <c r="B19" s="26" t="s">
        <v>16587</v>
      </c>
      <c r="C19" s="26" t="s">
        <v>16588</v>
      </c>
      <c r="D19" s="26" t="s">
        <v>16589</v>
      </c>
      <c r="E19" s="27" t="s">
        <v>16590</v>
      </c>
    </row>
    <row r="20" spans="1:5" ht="12.75">
      <c r="A20" s="89"/>
      <c r="B20" s="90">
        <v>56</v>
      </c>
      <c r="C20" s="90"/>
      <c r="D20" s="90"/>
      <c r="E20" s="91"/>
    </row>
    <row r="21" spans="1:5" ht="15.75" customHeight="1">
      <c r="A21"/>
      <c r="B21"/>
      <c r="C21"/>
    </row>
    <row r="22" spans="1:5" ht="15.75" customHeight="1">
      <c r="A22" s="22" t="s">
        <v>225</v>
      </c>
      <c r="B22" s="39">
        <v>2026</v>
      </c>
      <c r="C22"/>
    </row>
    <row r="23" spans="1:5" ht="15.75" customHeight="1">
      <c r="A23"/>
      <c r="B23"/>
      <c r="C23"/>
    </row>
    <row r="24" spans="1:5" ht="12.75">
      <c r="A24" s="25" t="s">
        <v>16601</v>
      </c>
      <c r="B24" s="26" t="s">
        <v>16602</v>
      </c>
      <c r="C24" s="26" t="s">
        <v>16603</v>
      </c>
      <c r="D24" s="26" t="s">
        <v>16604</v>
      </c>
      <c r="E24" s="27" t="s">
        <v>16605</v>
      </c>
    </row>
    <row r="25" spans="1:5" ht="12.75">
      <c r="A25" s="89">
        <v>496</v>
      </c>
      <c r="B25" s="90">
        <v>57</v>
      </c>
      <c r="C25" s="90">
        <v>270</v>
      </c>
      <c r="D25" s="90">
        <v>121</v>
      </c>
      <c r="E25" s="91">
        <v>196</v>
      </c>
    </row>
    <row r="26" spans="1:5" s="36" customFormat="1" ht="12.75"/>
    <row r="27" spans="1:5" ht="12.75">
      <c r="A27" s="38" t="s">
        <v>53</v>
      </c>
      <c r="B27"/>
      <c r="C27"/>
    </row>
    <row r="28" spans="1:5" ht="12.75">
      <c r="A28" s="22" t="s">
        <v>225</v>
      </c>
      <c r="B28" s="39">
        <v>2024</v>
      </c>
      <c r="C28"/>
    </row>
    <row r="29" spans="1:5" ht="12.75">
      <c r="A29"/>
      <c r="B29"/>
      <c r="C29"/>
    </row>
    <row r="30" spans="1:5" ht="12.75">
      <c r="A30" s="25" t="s">
        <v>16591</v>
      </c>
      <c r="B30" s="26" t="s">
        <v>16592</v>
      </c>
      <c r="C30" s="26" t="s">
        <v>16593</v>
      </c>
      <c r="D30" s="26" t="s">
        <v>16594</v>
      </c>
      <c r="E30" s="27" t="s">
        <v>16595</v>
      </c>
    </row>
    <row r="31" spans="1:5" ht="12.75">
      <c r="A31" s="89"/>
      <c r="B31" s="90"/>
      <c r="C31" s="90"/>
      <c r="D31" s="90"/>
      <c r="E31" s="91"/>
    </row>
    <row r="32" spans="1:5" ht="12.75">
      <c r="A32" s="22" t="s">
        <v>225</v>
      </c>
      <c r="B32" s="39">
        <v>2024</v>
      </c>
      <c r="C32"/>
    </row>
    <row r="33" spans="1:5" ht="12.75">
      <c r="A33"/>
      <c r="B33"/>
      <c r="C33"/>
    </row>
    <row r="34" spans="1:5" ht="12.75">
      <c r="A34" s="25" t="s">
        <v>16596</v>
      </c>
      <c r="B34" s="26" t="s">
        <v>16597</v>
      </c>
      <c r="C34" s="26" t="s">
        <v>16598</v>
      </c>
      <c r="D34" s="26" t="s">
        <v>16599</v>
      </c>
      <c r="E34" s="27" t="s">
        <v>16600</v>
      </c>
    </row>
    <row r="35" spans="1:5" ht="12.75">
      <c r="A35" s="89"/>
      <c r="B35" s="90"/>
      <c r="C35" s="90"/>
      <c r="D35" s="90"/>
      <c r="E35" s="91"/>
    </row>
    <row r="36" spans="1:5" ht="12.75">
      <c r="A36"/>
      <c r="B36"/>
      <c r="C36"/>
    </row>
    <row r="37" spans="1:5" ht="12.75">
      <c r="A37"/>
      <c r="B37"/>
      <c r="C37"/>
    </row>
    <row r="38" spans="1:5" ht="12.75">
      <c r="A38"/>
      <c r="B38"/>
      <c r="C38"/>
    </row>
    <row r="39" spans="1:5" ht="12.75">
      <c r="A39"/>
      <c r="B39"/>
      <c r="C39"/>
    </row>
    <row r="40" spans="1:5" ht="12.75">
      <c r="A40"/>
      <c r="B40"/>
      <c r="C40"/>
    </row>
    <row r="41" spans="1:5" ht="12.75">
      <c r="A41"/>
      <c r="B41"/>
      <c r="C41"/>
    </row>
    <row r="42" spans="1:5" ht="12.75">
      <c r="A42"/>
      <c r="B42"/>
      <c r="C42"/>
    </row>
    <row r="43" spans="1:5" ht="12.75">
      <c r="A43"/>
      <c r="B43"/>
      <c r="C43"/>
    </row>
    <row r="44" spans="1:5" ht="12.75">
      <c r="A44"/>
      <c r="B44"/>
      <c r="C44"/>
    </row>
    <row r="45" spans="1:5" ht="12.75">
      <c r="A45"/>
      <c r="B45"/>
      <c r="C45"/>
    </row>
    <row r="46" spans="1:5" ht="12.75">
      <c r="A46"/>
      <c r="B46"/>
      <c r="C46"/>
    </row>
    <row r="47" spans="1:5" ht="12.75">
      <c r="A47"/>
      <c r="B47"/>
      <c r="C47"/>
    </row>
    <row r="48" spans="1:5" ht="12.75">
      <c r="A48"/>
      <c r="B48"/>
      <c r="C48"/>
    </row>
    <row r="49" spans="1:3" ht="12.75">
      <c r="A49"/>
      <c r="B49"/>
      <c r="C49"/>
    </row>
    <row r="50" spans="1:3" ht="12.75">
      <c r="A50"/>
      <c r="B50"/>
      <c r="C50"/>
    </row>
    <row r="51" spans="1:3" ht="12.75">
      <c r="A51"/>
      <c r="B51"/>
      <c r="C51"/>
    </row>
  </sheetData>
  <pageMargins left="0.7" right="0.7" top="0.75" bottom="0.75" header="0.3" footer="0.3"/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752BA-927F-4962-AF24-457297B0A91F}">
  <dimension ref="A1:P32"/>
  <sheetViews>
    <sheetView workbookViewId="0">
      <selection activeCell="E25" sqref="E25"/>
    </sheetView>
  </sheetViews>
  <sheetFormatPr defaultRowHeight="12.75"/>
  <cols>
    <col min="1" max="1" width="12.85546875" bestFit="1" customWidth="1"/>
    <col min="2" max="2" width="16.140625" bestFit="1" customWidth="1"/>
    <col min="3" max="3" width="12.85546875" bestFit="1" customWidth="1"/>
    <col min="4" max="4" width="14" bestFit="1" customWidth="1"/>
    <col min="5" max="5" width="12.42578125" bestFit="1" customWidth="1"/>
    <col min="6" max="6" width="28.140625" bestFit="1" customWidth="1"/>
    <col min="9" max="9" width="12.85546875" bestFit="1" customWidth="1"/>
    <col min="10" max="10" width="16.140625" bestFit="1" customWidth="1"/>
    <col min="11" max="11" width="14.7109375" bestFit="1" customWidth="1"/>
    <col min="12" max="12" width="15.7109375" bestFit="1" customWidth="1"/>
    <col min="13" max="13" width="14.28515625" bestFit="1" customWidth="1"/>
    <col min="14" max="14" width="24.5703125" bestFit="1" customWidth="1"/>
    <col min="15" max="15" width="19.140625" customWidth="1"/>
  </cols>
  <sheetData>
    <row r="1" spans="1:16">
      <c r="A1" s="22" t="s">
        <v>89</v>
      </c>
      <c r="B1" s="23" t="s">
        <v>16609</v>
      </c>
      <c r="C1" s="144"/>
      <c r="D1" s="29"/>
      <c r="E1" s="29"/>
      <c r="F1" s="144"/>
      <c r="I1" s="22" t="s">
        <v>89</v>
      </c>
      <c r="J1" s="23" t="s">
        <v>16609</v>
      </c>
      <c r="K1" s="144"/>
      <c r="L1" s="144"/>
      <c r="M1" s="144"/>
      <c r="N1" s="144"/>
    </row>
    <row r="2" spans="1:16">
      <c r="A2" s="144"/>
      <c r="B2" s="144"/>
      <c r="C2" s="144"/>
      <c r="D2" s="29"/>
      <c r="E2" s="29"/>
      <c r="F2" s="144"/>
      <c r="I2" s="144"/>
      <c r="J2" s="144"/>
      <c r="K2" s="144"/>
      <c r="L2" s="144"/>
      <c r="M2" s="144"/>
      <c r="N2" s="144"/>
    </row>
    <row r="3" spans="1:16">
      <c r="A3" s="24" t="s">
        <v>226</v>
      </c>
      <c r="B3" s="25" t="s">
        <v>55</v>
      </c>
      <c r="C3" s="26" t="s">
        <v>56</v>
      </c>
      <c r="D3" s="26" t="s">
        <v>57</v>
      </c>
      <c r="E3" s="26" t="s">
        <v>58</v>
      </c>
      <c r="F3" s="27" t="s">
        <v>232</v>
      </c>
      <c r="I3" s="24" t="s">
        <v>226</v>
      </c>
      <c r="J3" s="25" t="s">
        <v>71</v>
      </c>
      <c r="K3" s="26" t="s">
        <v>72</v>
      </c>
      <c r="L3" s="26" t="s">
        <v>73</v>
      </c>
      <c r="M3" s="26" t="s">
        <v>74</v>
      </c>
      <c r="N3" s="27" t="s">
        <v>75</v>
      </c>
    </row>
    <row r="4" spans="1:16">
      <c r="A4" s="30">
        <v>2025</v>
      </c>
      <c r="B4" s="83">
        <v>262</v>
      </c>
      <c r="C4" s="84">
        <v>79</v>
      </c>
      <c r="D4" s="84">
        <v>121</v>
      </c>
      <c r="E4" s="84">
        <v>266</v>
      </c>
      <c r="F4" s="85">
        <v>72</v>
      </c>
      <c r="I4" s="30">
        <v>2025</v>
      </c>
      <c r="J4" s="83">
        <v>7554</v>
      </c>
      <c r="K4" s="84">
        <v>1367</v>
      </c>
      <c r="L4" s="84">
        <v>1426</v>
      </c>
      <c r="M4" s="84">
        <v>1923</v>
      </c>
      <c r="N4" s="85">
        <v>3730</v>
      </c>
    </row>
    <row r="5" spans="1:16">
      <c r="A5" s="32" t="s">
        <v>227</v>
      </c>
      <c r="B5" s="89">
        <v>262</v>
      </c>
      <c r="C5" s="90">
        <v>79</v>
      </c>
      <c r="D5" s="90">
        <v>121</v>
      </c>
      <c r="E5" s="90">
        <v>266</v>
      </c>
      <c r="F5" s="91">
        <v>72</v>
      </c>
      <c r="I5" s="32" t="s">
        <v>227</v>
      </c>
      <c r="J5" s="89">
        <v>7554</v>
      </c>
      <c r="K5" s="90">
        <v>1367</v>
      </c>
      <c r="L5" s="90">
        <v>1426</v>
      </c>
      <c r="M5" s="90">
        <v>1923</v>
      </c>
      <c r="N5" s="91">
        <v>3730</v>
      </c>
    </row>
    <row r="7" spans="1:16">
      <c r="A7" s="144"/>
      <c r="B7" s="144"/>
      <c r="C7" s="144"/>
      <c r="D7" s="144"/>
      <c r="E7" s="144"/>
      <c r="F7" s="144"/>
    </row>
    <row r="11" spans="1:16">
      <c r="A11" s="22" t="s">
        <v>89</v>
      </c>
      <c r="B11" s="23" t="s">
        <v>16609</v>
      </c>
      <c r="C11" s="144"/>
      <c r="D11" s="29"/>
      <c r="E11" s="29"/>
      <c r="F11" s="144"/>
      <c r="I11" s="22" t="s">
        <v>89</v>
      </c>
      <c r="J11" s="23" t="s">
        <v>16609</v>
      </c>
      <c r="K11" s="144"/>
      <c r="L11" s="144"/>
      <c r="M11" s="144"/>
      <c r="N11" s="144"/>
      <c r="O11" s="144"/>
      <c r="P11" s="144"/>
    </row>
    <row r="12" spans="1:16">
      <c r="A12" s="144"/>
      <c r="B12" s="144"/>
      <c r="C12" s="144"/>
      <c r="D12" s="29"/>
      <c r="E12" s="29"/>
      <c r="F12" s="144"/>
      <c r="I12" s="144"/>
      <c r="J12" s="144"/>
      <c r="K12" s="144"/>
      <c r="L12" s="144"/>
      <c r="M12" s="144"/>
      <c r="N12" s="144"/>
      <c r="O12" s="144"/>
      <c r="P12" s="144"/>
    </row>
    <row r="13" spans="1:16">
      <c r="A13" s="24" t="s">
        <v>226</v>
      </c>
      <c r="B13" s="25" t="s">
        <v>55</v>
      </c>
      <c r="C13" s="26" t="s">
        <v>56</v>
      </c>
      <c r="D13" s="26" t="s">
        <v>57</v>
      </c>
      <c r="E13" s="26" t="s">
        <v>58</v>
      </c>
      <c r="F13" s="27" t="s">
        <v>232</v>
      </c>
      <c r="G13" s="65"/>
      <c r="H13" s="65"/>
      <c r="I13" s="24" t="s">
        <v>226</v>
      </c>
      <c r="J13" s="25" t="s">
        <v>71</v>
      </c>
      <c r="K13" s="26" t="s">
        <v>72</v>
      </c>
      <c r="L13" s="26" t="s">
        <v>73</v>
      </c>
      <c r="M13" s="26" t="s">
        <v>74</v>
      </c>
      <c r="N13" s="27" t="s">
        <v>75</v>
      </c>
      <c r="O13" s="65"/>
      <c r="P13" s="65"/>
    </row>
    <row r="14" spans="1:16">
      <c r="A14" s="30">
        <v>2026</v>
      </c>
      <c r="B14" s="83">
        <v>146</v>
      </c>
      <c r="C14" s="84">
        <v>48</v>
      </c>
      <c r="D14" s="84">
        <v>42</v>
      </c>
      <c r="E14" s="84">
        <v>104</v>
      </c>
      <c r="F14" s="85">
        <v>15</v>
      </c>
      <c r="I14" s="30">
        <v>2026</v>
      </c>
      <c r="J14" s="83">
        <v>4324</v>
      </c>
      <c r="K14" s="84">
        <v>562</v>
      </c>
      <c r="L14" s="84">
        <v>349</v>
      </c>
      <c r="M14" s="84">
        <v>766</v>
      </c>
      <c r="N14" s="85">
        <v>659</v>
      </c>
      <c r="O14" s="144"/>
      <c r="P14" s="144"/>
    </row>
    <row r="15" spans="1:16">
      <c r="A15" s="32" t="s">
        <v>227</v>
      </c>
      <c r="B15" s="89">
        <v>146</v>
      </c>
      <c r="C15" s="90">
        <v>48</v>
      </c>
      <c r="D15" s="90">
        <v>42</v>
      </c>
      <c r="E15" s="90">
        <v>104</v>
      </c>
      <c r="F15" s="91">
        <v>15</v>
      </c>
      <c r="I15" s="32" t="s">
        <v>227</v>
      </c>
      <c r="J15" s="89">
        <v>4324</v>
      </c>
      <c r="K15" s="90">
        <v>562</v>
      </c>
      <c r="L15" s="90">
        <v>349</v>
      </c>
      <c r="M15" s="90">
        <v>766</v>
      </c>
      <c r="N15" s="91">
        <v>659</v>
      </c>
      <c r="O15" s="144"/>
      <c r="P15" s="144"/>
    </row>
    <row r="16" spans="1:16">
      <c r="A16" s="144"/>
      <c r="B16" s="144"/>
      <c r="C16" s="144"/>
      <c r="D16" s="144"/>
      <c r="E16" s="144"/>
      <c r="F16" s="144"/>
      <c r="I16" s="144"/>
      <c r="J16" s="144"/>
      <c r="K16" s="144"/>
      <c r="L16" s="144"/>
      <c r="M16" s="144"/>
      <c r="N16" s="144"/>
      <c r="O16" s="144"/>
      <c r="P16" s="144"/>
    </row>
    <row r="17" spans="1:16">
      <c r="I17" s="144"/>
      <c r="J17" s="144"/>
      <c r="K17" s="144"/>
      <c r="L17" s="144"/>
      <c r="M17" s="144"/>
      <c r="N17" s="144"/>
      <c r="O17" s="144"/>
      <c r="P17" s="144"/>
    </row>
    <row r="18" spans="1:16" ht="14.25">
      <c r="A18" s="178" t="s">
        <v>16751</v>
      </c>
      <c r="B18" s="178"/>
      <c r="C18" s="178"/>
      <c r="D18" s="178"/>
      <c r="E18" s="178"/>
      <c r="F18" s="178"/>
      <c r="I18" s="178" t="s">
        <v>16751</v>
      </c>
      <c r="J18" s="178"/>
      <c r="K18" s="178"/>
      <c r="L18" s="178"/>
      <c r="M18" s="178"/>
      <c r="N18" s="178"/>
      <c r="O18" s="144"/>
    </row>
    <row r="19" spans="1:16">
      <c r="A19" s="181" t="s">
        <v>16742</v>
      </c>
      <c r="B19" s="182"/>
      <c r="C19" s="182"/>
      <c r="D19" s="182"/>
      <c r="E19" s="182"/>
      <c r="F19" s="182"/>
      <c r="I19" s="181" t="s">
        <v>16742</v>
      </c>
      <c r="J19" s="182"/>
      <c r="K19" s="182"/>
      <c r="L19" s="182"/>
      <c r="M19" s="182"/>
      <c r="N19" s="182"/>
    </row>
    <row r="20" spans="1:16">
      <c r="A20" s="38" t="s">
        <v>16753</v>
      </c>
      <c r="B20" s="25" t="s">
        <v>55</v>
      </c>
      <c r="C20" s="26" t="s">
        <v>56</v>
      </c>
      <c r="D20" s="26" t="s">
        <v>57</v>
      </c>
      <c r="E20" s="26" t="s">
        <v>58</v>
      </c>
      <c r="F20" s="27" t="s">
        <v>232</v>
      </c>
      <c r="J20" s="25" t="s">
        <v>71</v>
      </c>
      <c r="K20" s="26" t="s">
        <v>72</v>
      </c>
      <c r="L20" s="26" t="s">
        <v>73</v>
      </c>
      <c r="M20" s="26" t="s">
        <v>74</v>
      </c>
      <c r="N20" s="27" t="s">
        <v>75</v>
      </c>
    </row>
    <row r="21" spans="1:16">
      <c r="B21">
        <f>SUM(GETPIVOTDATA("Sessions 0-5",$A$3,"Year",2025)+GETPIVOTDATA("Sessions 0-5",$A$13,"Year",2026))</f>
        <v>408</v>
      </c>
      <c r="C21">
        <f>SUM(GETPIVOTDATA("Sessions 6-11",$A$3,"Year",2025)+GETPIVOTDATA("Sessions 6-11",$A$13,"Year",2026))</f>
        <v>127</v>
      </c>
      <c r="D21">
        <f>SUM(GETPIVOTDATA("Sessions 12-18",$A$3,"Year",2025)+GETPIVOTDATA("Sessions 12-18",$A$13,"Year",2026))</f>
        <v>163</v>
      </c>
      <c r="E21">
        <f>SUM(GETPIVOTDATA("Sessions 19+",$A$3,"Year",2025)+GETPIVOTDATA("Sessions 19+",$A$13,"Year",2026))</f>
        <v>370</v>
      </c>
      <c r="F21">
        <f>SUM(GETPIVOTDATA("Sessions GENERAL INTEREST",$A$3,"Year",2025)+GETPIVOTDATA("Sessions GENERAL INTEREST",$A$13,"Year",2026))</f>
        <v>87</v>
      </c>
      <c r="I21" s="38" t="s">
        <v>16753</v>
      </c>
      <c r="J21">
        <f>SUM(GETPIVOTDATA("Attendance 0-5",$I$3,"Year",2025)+GETPIVOTDATA("Attendance 0-5",$I$13,"Year",2026))</f>
        <v>11878</v>
      </c>
      <c r="K21">
        <f>SUM(GETPIVOTDATA("Attendance 6-11",$I$3,"Year",2025)+GETPIVOTDATA("Attendance 6-11",$I$13,"Year",2026))</f>
        <v>1929</v>
      </c>
      <c r="L21">
        <f>SUM(GETPIVOTDATA("Attendance 12-18",$I$3,"Year",2025)+GETPIVOTDATA("Attendance 12-18",$I$13,"Year",2026))</f>
        <v>1775</v>
      </c>
      <c r="M21">
        <f>SUM(GETPIVOTDATA("Attendance 19+",$I$13,"Year",2026)+GETPIVOTDATA("Attendance 19+",$I$3,"Year",2025))</f>
        <v>2689</v>
      </c>
      <c r="N21">
        <f>SUM(GETPIVOTDATA("Attendance General Interest",$I$3,"Year",2025)+GETPIVOTDATA("Attendance General Interest",$I$13,"Year",2026))</f>
        <v>4389</v>
      </c>
    </row>
    <row r="23" spans="1:16">
      <c r="I23" s="38" t="s">
        <v>16760</v>
      </c>
      <c r="J23">
        <f>SUM(J21:N21)</f>
        <v>22660</v>
      </c>
    </row>
    <row r="24" spans="1:16">
      <c r="A24" s="38" t="s">
        <v>16759</v>
      </c>
      <c r="B24">
        <f>SUM(B21:F21)</f>
        <v>1155</v>
      </c>
    </row>
    <row r="29" spans="1:16">
      <c r="A29" s="179"/>
      <c r="B29" s="179"/>
      <c r="C29" s="179"/>
      <c r="D29" s="179"/>
      <c r="E29" s="179"/>
      <c r="F29" s="179"/>
      <c r="G29" s="165"/>
      <c r="H29" s="165"/>
      <c r="I29" s="165"/>
      <c r="J29" s="165"/>
      <c r="K29" s="165"/>
      <c r="L29" s="165"/>
      <c r="M29" s="165"/>
      <c r="N29" s="165"/>
    </row>
    <row r="31" spans="1:16">
      <c r="A31" s="23"/>
      <c r="B31" s="23"/>
      <c r="C31" s="144"/>
      <c r="D31" s="29"/>
      <c r="E31" s="29"/>
      <c r="F31" s="144"/>
      <c r="I31" s="23"/>
      <c r="J31" s="23"/>
      <c r="K31" s="144"/>
      <c r="L31" s="144"/>
      <c r="M31" s="144"/>
      <c r="N31" s="144"/>
    </row>
    <row r="32" spans="1:16">
      <c r="A32" s="144"/>
      <c r="B32" s="144"/>
      <c r="C32" s="144"/>
      <c r="D32" s="29"/>
      <c r="E32" s="29"/>
      <c r="F32" s="144"/>
      <c r="I32" s="144"/>
      <c r="J32" s="144"/>
      <c r="K32" s="144"/>
      <c r="L32" s="144"/>
      <c r="M32" s="144"/>
      <c r="N32" s="144"/>
    </row>
  </sheetData>
  <mergeCells count="5">
    <mergeCell ref="A29:F29"/>
    <mergeCell ref="A19:F19"/>
    <mergeCell ref="A18:F18"/>
    <mergeCell ref="I18:N18"/>
    <mergeCell ref="I19:N19"/>
  </mergeCells>
  <pageMargins left="0.7" right="0.7" top="0.75" bottom="0.75" header="0.3" footer="0.3"/>
  <pageSetup orientation="portrait" horizontalDpi="0" verticalDpi="0"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C096C-1A69-402C-8685-A3FC92745255}">
  <sheetPr>
    <tabColor theme="0"/>
  </sheetPr>
  <dimension ref="A1:P14"/>
  <sheetViews>
    <sheetView workbookViewId="0">
      <selection activeCell="H12" sqref="H12:K12"/>
    </sheetView>
  </sheetViews>
  <sheetFormatPr defaultRowHeight="12.75"/>
  <cols>
    <col min="1" max="1" width="12.85546875" bestFit="1" customWidth="1"/>
    <col min="2" max="2" width="11.7109375" bestFit="1" customWidth="1"/>
    <col min="3" max="3" width="10.28515625" bestFit="1" customWidth="1"/>
    <col min="4" max="4" width="13.42578125" bestFit="1" customWidth="1"/>
    <col min="5" max="5" width="16.28515625" bestFit="1" customWidth="1"/>
    <col min="8" max="8" width="11.7109375" bestFit="1" customWidth="1"/>
    <col min="9" max="9" width="16.140625" bestFit="1" customWidth="1"/>
    <col min="10" max="10" width="13.42578125" bestFit="1" customWidth="1"/>
    <col min="11" max="11" width="16.28515625" bestFit="1" customWidth="1"/>
    <col min="13" max="13" width="11.7109375" bestFit="1" customWidth="1"/>
    <col min="14" max="14" width="16.140625" bestFit="1" customWidth="1"/>
    <col min="15" max="15" width="13.42578125" bestFit="1" customWidth="1"/>
    <col min="16" max="16" width="16.28515625" bestFit="1" customWidth="1"/>
  </cols>
  <sheetData>
    <row r="1" spans="1:16">
      <c r="A1" s="22" t="s">
        <v>89</v>
      </c>
      <c r="B1" s="23" t="s">
        <v>16732</v>
      </c>
      <c r="H1" s="22" t="s">
        <v>89</v>
      </c>
      <c r="I1" s="23" t="s">
        <v>16609</v>
      </c>
      <c r="J1" s="144"/>
      <c r="K1" s="144"/>
      <c r="L1" s="144"/>
      <c r="M1" s="22" t="s">
        <v>89</v>
      </c>
      <c r="N1" s="23" t="s">
        <v>16609</v>
      </c>
      <c r="O1" s="144"/>
      <c r="P1" s="144"/>
    </row>
    <row r="2" spans="1:16">
      <c r="H2" s="22" t="s">
        <v>225</v>
      </c>
      <c r="I2" s="39">
        <v>2025</v>
      </c>
      <c r="J2" s="144"/>
      <c r="K2" s="144"/>
      <c r="L2" s="144"/>
      <c r="M2" s="22" t="s">
        <v>225</v>
      </c>
      <c r="N2" s="39">
        <v>2026</v>
      </c>
      <c r="O2" s="144"/>
      <c r="P2" s="144"/>
    </row>
    <row r="3" spans="1:16">
      <c r="A3" s="24" t="s">
        <v>226</v>
      </c>
      <c r="B3" s="25" t="s">
        <v>234</v>
      </c>
      <c r="C3" s="26" t="s">
        <v>79</v>
      </c>
      <c r="D3" s="26" t="s">
        <v>235</v>
      </c>
      <c r="E3" s="27" t="s">
        <v>236</v>
      </c>
      <c r="M3" s="144"/>
      <c r="N3" s="144"/>
      <c r="O3" s="144"/>
      <c r="P3" s="144"/>
    </row>
    <row r="4" spans="1:16">
      <c r="A4" s="30">
        <v>2025</v>
      </c>
      <c r="B4" s="83">
        <v>26431</v>
      </c>
      <c r="C4" s="84">
        <v>53</v>
      </c>
      <c r="D4" s="84">
        <v>1262</v>
      </c>
      <c r="E4" s="85">
        <v>5287</v>
      </c>
      <c r="H4" s="25" t="s">
        <v>234</v>
      </c>
      <c r="I4" s="26" t="s">
        <v>79</v>
      </c>
      <c r="J4" s="26" t="s">
        <v>235</v>
      </c>
      <c r="K4" s="27" t="s">
        <v>236</v>
      </c>
      <c r="M4" s="25" t="s">
        <v>234</v>
      </c>
      <c r="N4" s="26" t="s">
        <v>79</v>
      </c>
      <c r="O4" s="26" t="s">
        <v>235</v>
      </c>
      <c r="P4" s="27" t="s">
        <v>236</v>
      </c>
    </row>
    <row r="5" spans="1:16">
      <c r="A5" s="31">
        <v>2026</v>
      </c>
      <c r="B5" s="86">
        <v>28476</v>
      </c>
      <c r="C5" s="87">
        <v>39</v>
      </c>
      <c r="D5" s="87">
        <v>2319</v>
      </c>
      <c r="E5" s="88">
        <v>46299</v>
      </c>
      <c r="H5" s="89">
        <v>183822</v>
      </c>
      <c r="I5" s="90">
        <v>312</v>
      </c>
      <c r="J5" s="90">
        <v>13378</v>
      </c>
      <c r="K5" s="91">
        <v>67571</v>
      </c>
      <c r="M5" s="89">
        <v>85083</v>
      </c>
      <c r="N5" s="90">
        <v>112</v>
      </c>
      <c r="O5" s="90">
        <v>6479</v>
      </c>
      <c r="P5" s="91">
        <v>106581</v>
      </c>
    </row>
    <row r="6" spans="1:16">
      <c r="A6" s="32" t="s">
        <v>227</v>
      </c>
      <c r="B6" s="89">
        <v>54907</v>
      </c>
      <c r="C6" s="90">
        <v>92</v>
      </c>
      <c r="D6" s="90">
        <v>3581</v>
      </c>
      <c r="E6" s="91">
        <v>51586</v>
      </c>
    </row>
    <row r="11" spans="1:16" ht="15">
      <c r="H11" s="189" t="s">
        <v>16751</v>
      </c>
      <c r="I11" s="189"/>
      <c r="J11" s="189"/>
      <c r="K11" s="189"/>
    </row>
    <row r="12" spans="1:16">
      <c r="H12" s="181" t="s">
        <v>16742</v>
      </c>
      <c r="I12" s="181"/>
      <c r="J12" s="181"/>
      <c r="K12" s="181"/>
      <c r="L12" s="168"/>
      <c r="M12" s="168"/>
    </row>
    <row r="13" spans="1:16">
      <c r="H13" s="25" t="s">
        <v>234</v>
      </c>
      <c r="I13" s="26" t="s">
        <v>79</v>
      </c>
      <c r="J13" s="26" t="s">
        <v>235</v>
      </c>
      <c r="K13" s="27" t="s">
        <v>236</v>
      </c>
    </row>
    <row r="14" spans="1:16">
      <c r="H14">
        <f>SUM(GETPIVOTDATA("Website Hits",$H$4)+GETPIVOTDATA("Website Hits",$M$4))</f>
        <v>268905</v>
      </c>
      <c r="I14">
        <f>SUM(GETPIVOTDATA("Contact Us",$H$4)+GETPIVOTDATA("Contact Us",$M$4))</f>
        <v>424</v>
      </c>
      <c r="J14">
        <f>SUM(GETPIVOTDATA("YCLApp Users",$H$4)+GETPIVOTDATA("YCLApp Users",$M$4))</f>
        <v>19857</v>
      </c>
      <c r="K14">
        <f>SUM(GETPIVOTDATA("YCLApp Sessions",$H$4)+GETPIVOTDATA("YCLApp Sessions",$M$4))</f>
        <v>174152</v>
      </c>
    </row>
  </sheetData>
  <mergeCells count="2">
    <mergeCell ref="H11:K11"/>
    <mergeCell ref="H12:K12"/>
  </mergeCells>
  <pageMargins left="0.7" right="0.7" top="0.75" bottom="0.75" header="0.3" footer="0.3"/>
  <pageSetup orientation="portrait" horizontalDpi="0" verticalDpi="0" r:id="rId4"/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491CF-3C7A-4EF7-9314-2179FADE559D}">
  <dimension ref="A1:F32"/>
  <sheetViews>
    <sheetView workbookViewId="0">
      <selection activeCell="B1" sqref="B1"/>
    </sheetView>
  </sheetViews>
  <sheetFormatPr defaultColWidth="19" defaultRowHeight="12.75"/>
  <cols>
    <col min="1" max="1" width="12.85546875" bestFit="1" customWidth="1"/>
    <col min="2" max="2" width="53.42578125" style="29" bestFit="1" customWidth="1"/>
    <col min="3" max="3" width="37.7109375" style="29" bestFit="1" customWidth="1"/>
    <col min="4" max="4" width="54" style="29" bestFit="1" customWidth="1"/>
    <col min="5" max="5" width="46" style="29" bestFit="1" customWidth="1"/>
    <col min="6" max="6" width="56.5703125" style="29" bestFit="1" customWidth="1"/>
  </cols>
  <sheetData>
    <row r="1" spans="1:6">
      <c r="A1" s="22" t="s">
        <v>89</v>
      </c>
      <c r="B1" s="40" t="s">
        <v>16701</v>
      </c>
    </row>
    <row r="2" spans="1:6">
      <c r="A2" s="22" t="s">
        <v>90</v>
      </c>
      <c r="B2" s="23" t="s">
        <v>16609</v>
      </c>
    </row>
    <row r="3" spans="1:6">
      <c r="B3"/>
      <c r="C3"/>
      <c r="D3"/>
      <c r="E3"/>
      <c r="F3"/>
    </row>
    <row r="4" spans="1:6" ht="38.25">
      <c r="A4" s="24" t="s">
        <v>226</v>
      </c>
      <c r="B4" s="34" t="s">
        <v>16578</v>
      </c>
      <c r="C4" s="35" t="s">
        <v>16579</v>
      </c>
      <c r="D4" s="41" t="s">
        <v>16582</v>
      </c>
      <c r="E4"/>
      <c r="F4"/>
    </row>
    <row r="5" spans="1:6">
      <c r="A5" s="30">
        <v>2024</v>
      </c>
      <c r="B5" s="96">
        <v>849</v>
      </c>
      <c r="C5" s="97"/>
      <c r="D5" s="98"/>
      <c r="E5"/>
      <c r="F5"/>
    </row>
    <row r="6" spans="1:6">
      <c r="A6" s="31">
        <v>2025</v>
      </c>
      <c r="B6" s="99">
        <v>29</v>
      </c>
      <c r="C6" s="100"/>
      <c r="D6" s="101"/>
      <c r="E6"/>
      <c r="F6"/>
    </row>
    <row r="7" spans="1:6">
      <c r="A7" s="32" t="s">
        <v>227</v>
      </c>
      <c r="B7" s="102">
        <v>878</v>
      </c>
      <c r="C7" s="103"/>
      <c r="D7" s="104"/>
      <c r="E7"/>
      <c r="F7"/>
    </row>
    <row r="11" spans="1:6">
      <c r="A11" s="22" t="s">
        <v>89</v>
      </c>
      <c r="B11" s="23" t="s">
        <v>16701</v>
      </c>
    </row>
    <row r="12" spans="1:6">
      <c r="A12" s="22" t="s">
        <v>90</v>
      </c>
      <c r="B12" s="23" t="s">
        <v>16609</v>
      </c>
    </row>
    <row r="14" spans="1:6">
      <c r="A14" s="24" t="s">
        <v>226</v>
      </c>
      <c r="B14" s="25" t="s">
        <v>16582</v>
      </c>
      <c r="C14" s="26" t="s">
        <v>16579</v>
      </c>
      <c r="D14" s="26" t="s">
        <v>16578</v>
      </c>
      <c r="E14" s="26" t="s">
        <v>16580</v>
      </c>
      <c r="F14" s="27" t="s">
        <v>16581</v>
      </c>
    </row>
    <row r="15" spans="1:6">
      <c r="A15" s="30">
        <v>2024</v>
      </c>
      <c r="B15" s="83"/>
      <c r="C15" s="84"/>
      <c r="D15" s="84">
        <v>385</v>
      </c>
      <c r="E15" s="84">
        <v>2</v>
      </c>
      <c r="F15" s="85">
        <v>8</v>
      </c>
    </row>
    <row r="16" spans="1:6">
      <c r="A16" s="31">
        <v>2025</v>
      </c>
      <c r="B16" s="86"/>
      <c r="C16" s="87"/>
      <c r="D16" s="87">
        <v>21</v>
      </c>
      <c r="E16" s="87">
        <v>2</v>
      </c>
      <c r="F16" s="88">
        <v>8</v>
      </c>
    </row>
    <row r="17" spans="1:6">
      <c r="A17" s="32" t="s">
        <v>227</v>
      </c>
      <c r="B17" s="89"/>
      <c r="C17" s="90"/>
      <c r="D17" s="90">
        <v>406</v>
      </c>
      <c r="E17" s="90">
        <v>4</v>
      </c>
      <c r="F17" s="91">
        <v>16</v>
      </c>
    </row>
    <row r="18" spans="1:6">
      <c r="B18"/>
      <c r="C18"/>
      <c r="D18"/>
      <c r="E18"/>
      <c r="F18"/>
    </row>
    <row r="19" spans="1:6">
      <c r="B19"/>
      <c r="C19"/>
      <c r="D19"/>
      <c r="E19"/>
      <c r="F19"/>
    </row>
    <row r="20" spans="1:6">
      <c r="B20"/>
      <c r="C20"/>
      <c r="D20"/>
      <c r="E20"/>
      <c r="F20"/>
    </row>
    <row r="21" spans="1:6">
      <c r="B21"/>
      <c r="C21"/>
      <c r="D21"/>
      <c r="E21"/>
      <c r="F21"/>
    </row>
    <row r="22" spans="1:6">
      <c r="B22"/>
      <c r="C22"/>
      <c r="D22"/>
      <c r="E22"/>
      <c r="F22"/>
    </row>
    <row r="23" spans="1:6">
      <c r="B23"/>
      <c r="C23"/>
      <c r="D23"/>
      <c r="E23"/>
      <c r="F23"/>
    </row>
    <row r="24" spans="1:6">
      <c r="B24"/>
      <c r="C24"/>
      <c r="D24"/>
      <c r="E24"/>
      <c r="F24"/>
    </row>
    <row r="25" spans="1:6">
      <c r="B25"/>
      <c r="C25"/>
      <c r="D25"/>
      <c r="E25"/>
      <c r="F25"/>
    </row>
    <row r="26" spans="1:6">
      <c r="B26"/>
      <c r="C26"/>
      <c r="D26"/>
      <c r="E26"/>
      <c r="F26"/>
    </row>
    <row r="27" spans="1:6">
      <c r="B27"/>
      <c r="C27"/>
      <c r="D27"/>
      <c r="E27"/>
      <c r="F27"/>
    </row>
    <row r="28" spans="1:6">
      <c r="B28"/>
      <c r="C28"/>
      <c r="D28"/>
      <c r="E28"/>
      <c r="F28"/>
    </row>
    <row r="29" spans="1:6">
      <c r="B29"/>
      <c r="C29"/>
      <c r="D29"/>
      <c r="E29"/>
      <c r="F29"/>
    </row>
    <row r="30" spans="1:6">
      <c r="B30"/>
      <c r="C30"/>
      <c r="D30"/>
      <c r="E30"/>
      <c r="F30"/>
    </row>
    <row r="31" spans="1:6">
      <c r="B31"/>
      <c r="C31"/>
      <c r="D31"/>
      <c r="E31"/>
      <c r="F31"/>
    </row>
    <row r="32" spans="1:6">
      <c r="B32"/>
      <c r="C32"/>
      <c r="D32"/>
      <c r="E32"/>
      <c r="F3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16"/>
  <sheetViews>
    <sheetView workbookViewId="0">
      <selection activeCell="J11" sqref="J11:K11"/>
    </sheetView>
  </sheetViews>
  <sheetFormatPr defaultColWidth="12.5703125" defaultRowHeight="15.75" customHeight="1"/>
  <cols>
    <col min="1" max="1" width="12.85546875" bestFit="1" customWidth="1"/>
    <col min="2" max="2" width="15.7109375" bestFit="1" customWidth="1"/>
    <col min="3" max="4" width="20.28515625" bestFit="1" customWidth="1"/>
    <col min="5" max="6" width="23.85546875" bestFit="1" customWidth="1"/>
    <col min="10" max="10" width="23.140625" bestFit="1" customWidth="1"/>
    <col min="11" max="11" width="19" bestFit="1" customWidth="1"/>
    <col min="13" max="13" width="23.140625" bestFit="1" customWidth="1"/>
    <col min="14" max="14" width="19" bestFit="1" customWidth="1"/>
  </cols>
  <sheetData>
    <row r="1" spans="1:15" ht="15.75" customHeight="1">
      <c r="A1" s="22" t="s">
        <v>89</v>
      </c>
      <c r="B1" s="23" t="s">
        <v>16732</v>
      </c>
      <c r="J1" s="22" t="s">
        <v>89</v>
      </c>
      <c r="K1" s="23" t="s">
        <v>16609</v>
      </c>
      <c r="M1" s="22" t="s">
        <v>89</v>
      </c>
      <c r="N1" s="23" t="s">
        <v>16609</v>
      </c>
    </row>
    <row r="2" spans="1:15" ht="15.75" customHeight="1">
      <c r="J2" s="22" t="s">
        <v>225</v>
      </c>
      <c r="K2" s="39">
        <v>2025</v>
      </c>
      <c r="L2" s="144"/>
      <c r="M2" s="22" t="s">
        <v>225</v>
      </c>
      <c r="N2" s="39">
        <v>2026</v>
      </c>
    </row>
    <row r="3" spans="1:15" ht="15.75" customHeight="1">
      <c r="A3" s="24" t="s">
        <v>226</v>
      </c>
      <c r="B3" s="25" t="s">
        <v>16571</v>
      </c>
      <c r="C3" s="27" t="s">
        <v>16572</v>
      </c>
      <c r="J3" s="144"/>
      <c r="K3" s="144"/>
      <c r="L3" s="144"/>
      <c r="M3" s="144"/>
      <c r="N3" s="144"/>
    </row>
    <row r="4" spans="1:15" ht="15.75" customHeight="1">
      <c r="A4" s="30">
        <v>2025</v>
      </c>
      <c r="B4" s="83">
        <v>22642</v>
      </c>
      <c r="C4" s="85">
        <v>8619</v>
      </c>
      <c r="J4" s="25" t="s">
        <v>16571</v>
      </c>
      <c r="K4" s="27" t="s">
        <v>16572</v>
      </c>
      <c r="M4" s="25" t="s">
        <v>16571</v>
      </c>
      <c r="N4" s="27" t="s">
        <v>16572</v>
      </c>
    </row>
    <row r="5" spans="1:15" ht="15.75" customHeight="1">
      <c r="A5" s="31">
        <v>2026</v>
      </c>
      <c r="B5" s="86">
        <v>2345</v>
      </c>
      <c r="C5" s="88">
        <v>9785</v>
      </c>
      <c r="J5" s="89">
        <v>15221</v>
      </c>
      <c r="K5" s="91">
        <v>64945</v>
      </c>
      <c r="M5" s="89">
        <v>6931</v>
      </c>
      <c r="N5" s="91">
        <v>29033</v>
      </c>
    </row>
    <row r="6" spans="1:15" ht="15.75" customHeight="1">
      <c r="A6" s="32" t="s">
        <v>227</v>
      </c>
      <c r="B6" s="89">
        <v>24987</v>
      </c>
      <c r="C6" s="91">
        <v>18404</v>
      </c>
    </row>
    <row r="10" spans="1:15" ht="15.75" customHeight="1">
      <c r="J10" s="178" t="s">
        <v>16752</v>
      </c>
      <c r="K10" s="178"/>
    </row>
    <row r="11" spans="1:15" ht="15.75" customHeight="1">
      <c r="A11" s="22" t="s">
        <v>89</v>
      </c>
      <c r="B11" s="23" t="s">
        <v>16732</v>
      </c>
      <c r="J11" s="181" t="s">
        <v>16742</v>
      </c>
      <c r="K11" s="181"/>
      <c r="L11" s="168"/>
      <c r="M11" s="168"/>
      <c r="N11" s="168"/>
      <c r="O11" s="168"/>
    </row>
    <row r="12" spans="1:15" ht="15.75" customHeight="1">
      <c r="J12" s="25" t="s">
        <v>16571</v>
      </c>
      <c r="K12" s="27" t="s">
        <v>16572</v>
      </c>
    </row>
    <row r="13" spans="1:15" ht="15.75" customHeight="1">
      <c r="A13" s="24" t="s">
        <v>226</v>
      </c>
      <c r="B13" s="25" t="s">
        <v>16573</v>
      </c>
      <c r="C13" s="27" t="s">
        <v>16608</v>
      </c>
      <c r="J13">
        <f>SUM(GETPIVOTDATA("Instragram - Subscriptions",$J$4)+GETPIVOTDATA("Instragram - Subscriptions",$M$4))</f>
        <v>22152</v>
      </c>
      <c r="K13">
        <f>SUM(GETPIVOTDATA("Facebook - Followers",$J$4)+GETPIVOTDATA("Facebook - Followers",$M$4))</f>
        <v>93978</v>
      </c>
    </row>
    <row r="14" spans="1:15" ht="15.75" customHeight="1">
      <c r="A14" s="30">
        <v>2025</v>
      </c>
      <c r="B14" s="83">
        <v>3525</v>
      </c>
      <c r="C14" s="85">
        <v>1200</v>
      </c>
    </row>
    <row r="15" spans="1:15" ht="15.75" customHeight="1">
      <c r="A15" s="31">
        <v>2026</v>
      </c>
      <c r="B15" s="86">
        <v>1751</v>
      </c>
      <c r="C15" s="88">
        <v>1280</v>
      </c>
    </row>
    <row r="16" spans="1:15" ht="15.75" customHeight="1">
      <c r="A16" s="32" t="s">
        <v>227</v>
      </c>
      <c r="B16" s="89">
        <v>5276</v>
      </c>
      <c r="C16" s="91">
        <v>2480</v>
      </c>
    </row>
  </sheetData>
  <mergeCells count="2">
    <mergeCell ref="J10:K10"/>
    <mergeCell ref="J11:K11"/>
  </mergeCells>
  <pageMargins left="0.7" right="0.7" top="0.75" bottom="0.75" header="0.3" footer="0.3"/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1"/>
  <sheetViews>
    <sheetView topLeftCell="D1" workbookViewId="0">
      <selection activeCell="J12" sqref="J12"/>
    </sheetView>
  </sheetViews>
  <sheetFormatPr defaultColWidth="12.5703125" defaultRowHeight="15.75" customHeight="1"/>
  <cols>
    <col min="1" max="1" width="12.85546875" bestFit="1" customWidth="1"/>
    <col min="2" max="2" width="24.5703125" bestFit="1" customWidth="1"/>
    <col min="3" max="3" width="21.5703125" bestFit="1" customWidth="1"/>
    <col min="4" max="4" width="19.140625" bestFit="1" customWidth="1"/>
    <col min="5" max="5" width="17.85546875" bestFit="1" customWidth="1"/>
    <col min="7" max="7" width="22.28515625" bestFit="1" customWidth="1"/>
    <col min="8" max="8" width="21.5703125" bestFit="1" customWidth="1"/>
    <col min="9" max="9" width="19.140625" bestFit="1" customWidth="1"/>
    <col min="10" max="10" width="17.85546875" bestFit="1" customWidth="1"/>
    <col min="12" max="12" width="22.28515625" bestFit="1" customWidth="1"/>
    <col min="13" max="13" width="21.5703125" bestFit="1" customWidth="1"/>
    <col min="14" max="14" width="19.140625" bestFit="1" customWidth="1"/>
    <col min="15" max="15" width="17.85546875" bestFit="1" customWidth="1"/>
  </cols>
  <sheetData>
    <row r="1" spans="1:15" ht="15.75" customHeight="1">
      <c r="A1" s="22" t="s">
        <v>89</v>
      </c>
      <c r="B1" s="23" t="s">
        <v>16732</v>
      </c>
      <c r="G1" s="22" t="s">
        <v>89</v>
      </c>
      <c r="H1" s="23" t="s">
        <v>16609</v>
      </c>
      <c r="I1" s="144"/>
      <c r="J1" s="144"/>
      <c r="K1" s="144"/>
      <c r="L1" s="22" t="s">
        <v>89</v>
      </c>
      <c r="M1" s="23" t="s">
        <v>16609</v>
      </c>
      <c r="N1" s="144"/>
      <c r="O1" s="144"/>
    </row>
    <row r="2" spans="1:15" ht="15.75" customHeight="1">
      <c r="G2" s="22" t="s">
        <v>225</v>
      </c>
      <c r="H2" s="39">
        <v>2025</v>
      </c>
      <c r="I2" s="144"/>
      <c r="J2" s="144"/>
      <c r="K2" s="144"/>
      <c r="L2" s="22" t="s">
        <v>225</v>
      </c>
      <c r="M2" s="39">
        <v>2026</v>
      </c>
      <c r="N2" s="144"/>
      <c r="O2" s="144"/>
    </row>
    <row r="3" spans="1:15" ht="15.75" customHeight="1">
      <c r="A3" s="24" t="s">
        <v>226</v>
      </c>
      <c r="B3" s="25" t="s">
        <v>233</v>
      </c>
      <c r="C3" s="26" t="s">
        <v>16574</v>
      </c>
      <c r="D3" s="26" t="s">
        <v>16575</v>
      </c>
      <c r="E3" s="27" t="s">
        <v>16576</v>
      </c>
      <c r="L3" s="144"/>
      <c r="M3" s="144"/>
      <c r="N3" s="144"/>
      <c r="O3" s="144"/>
    </row>
    <row r="4" spans="1:15" ht="15.75" customHeight="1">
      <c r="A4" s="30">
        <v>2025</v>
      </c>
      <c r="B4" s="83">
        <v>3819</v>
      </c>
      <c r="C4" s="84">
        <v>7606</v>
      </c>
      <c r="D4" s="84">
        <v>380</v>
      </c>
      <c r="E4" s="85">
        <v>1699</v>
      </c>
      <c r="G4" s="25" t="s">
        <v>233</v>
      </c>
      <c r="H4" s="26" t="s">
        <v>16574</v>
      </c>
      <c r="I4" s="26" t="s">
        <v>16575</v>
      </c>
      <c r="J4" s="27" t="s">
        <v>16576</v>
      </c>
      <c r="L4" s="25" t="s">
        <v>233</v>
      </c>
      <c r="M4" s="26" t="s">
        <v>16574</v>
      </c>
      <c r="N4" s="26" t="s">
        <v>16575</v>
      </c>
      <c r="O4" s="27" t="s">
        <v>16576</v>
      </c>
    </row>
    <row r="5" spans="1:15" ht="15.75" customHeight="1">
      <c r="A5" s="31">
        <v>2026</v>
      </c>
      <c r="B5" s="86">
        <v>1953</v>
      </c>
      <c r="C5" s="87">
        <v>3858</v>
      </c>
      <c r="D5" s="87">
        <v>288</v>
      </c>
      <c r="E5" s="88">
        <v>7508</v>
      </c>
      <c r="G5" s="89">
        <v>14134</v>
      </c>
      <c r="H5" s="90">
        <v>32176</v>
      </c>
      <c r="I5" s="90">
        <v>1677</v>
      </c>
      <c r="J5" s="91">
        <v>30137</v>
      </c>
      <c r="L5" s="89">
        <v>5269</v>
      </c>
      <c r="M5" s="90">
        <v>10654</v>
      </c>
      <c r="N5" s="90">
        <v>810</v>
      </c>
      <c r="O5" s="91">
        <v>16136</v>
      </c>
    </row>
    <row r="6" spans="1:15" ht="15.75" customHeight="1">
      <c r="A6" s="32" t="s">
        <v>227</v>
      </c>
      <c r="B6" s="89">
        <v>5772</v>
      </c>
      <c r="C6" s="90">
        <v>11464</v>
      </c>
      <c r="D6" s="90">
        <v>668</v>
      </c>
      <c r="E6" s="91">
        <v>9207</v>
      </c>
    </row>
    <row r="8" spans="1:15" ht="15.75" customHeight="1">
      <c r="G8" s="178" t="s">
        <v>16751</v>
      </c>
      <c r="H8" s="178"/>
      <c r="I8" s="178"/>
      <c r="J8" s="178"/>
    </row>
    <row r="9" spans="1:15" ht="15.75" customHeight="1">
      <c r="G9" s="181" t="s">
        <v>16742</v>
      </c>
      <c r="H9" s="181"/>
      <c r="I9" s="181"/>
      <c r="J9" s="181"/>
    </row>
    <row r="10" spans="1:15" ht="15.75" customHeight="1">
      <c r="G10" s="25" t="s">
        <v>233</v>
      </c>
      <c r="H10" s="26" t="s">
        <v>16574</v>
      </c>
      <c r="I10" s="26" t="s">
        <v>16575</v>
      </c>
      <c r="J10" s="27" t="s">
        <v>16576</v>
      </c>
    </row>
    <row r="11" spans="1:15" ht="15.75" customHeight="1">
      <c r="G11">
        <f>SUM(GETPIVOTDATA("Monthly PC Reservations",$G$4)+GETPIVOTDATA("Monthly PC Reservations",$L$4))</f>
        <v>19403</v>
      </c>
      <c r="H11">
        <f>SUM(GETPIVOTDATA("WiFi -- Unique Sessions",$G$4)+GETPIVOTDATA("WiFi -- Unique Sessions",$L$4))</f>
        <v>42830</v>
      </c>
      <c r="I11">
        <f>SUM(GETPIVOTDATA("Hotspots - Circulation",$G$4)+GETPIVOTDATA("Hotspots - Circulation",$L$4))</f>
        <v>2487</v>
      </c>
      <c r="J11">
        <f>SUM(GETPIVOTDATA("Monthly Total Prints",$G$4)+GETPIVOTDATA("Monthly Total Prints",$L$4))</f>
        <v>46273</v>
      </c>
    </row>
  </sheetData>
  <mergeCells count="2">
    <mergeCell ref="G8:J8"/>
    <mergeCell ref="G9:J9"/>
  </mergeCells>
  <pageMargins left="0.7" right="0.7" top="0.75" bottom="0.75" header="0.3" footer="0.3"/>
  <pageSetup orientation="portrait" horizontalDpi="0" verticalDpi="0" r:id="rId4"/>
  <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26E43-E5A1-4D4A-A11A-DE68541C2437}">
  <dimension ref="A1:F11"/>
  <sheetViews>
    <sheetView workbookViewId="0">
      <selection activeCell="A11" sqref="A11"/>
    </sheetView>
  </sheetViews>
  <sheetFormatPr defaultRowHeight="12.75"/>
  <cols>
    <col min="1" max="1" width="12.85546875" bestFit="1" customWidth="1"/>
    <col min="2" max="2" width="22.7109375" bestFit="1" customWidth="1"/>
    <col min="4" max="4" width="12.85546875" bestFit="1" customWidth="1"/>
    <col min="5" max="5" width="22.7109375" bestFit="1" customWidth="1"/>
  </cols>
  <sheetData>
    <row r="1" spans="1:6">
      <c r="A1" s="22" t="s">
        <v>89</v>
      </c>
      <c r="B1" s="23" t="s">
        <v>16609</v>
      </c>
      <c r="D1" s="22" t="s">
        <v>89</v>
      </c>
      <c r="E1" s="23" t="s">
        <v>16609</v>
      </c>
    </row>
    <row r="2" spans="1:6">
      <c r="D2" s="144"/>
      <c r="E2" s="144"/>
    </row>
    <row r="3" spans="1:6">
      <c r="A3" s="24" t="s">
        <v>226</v>
      </c>
      <c r="B3" s="73" t="s">
        <v>16754</v>
      </c>
      <c r="D3" s="24" t="s">
        <v>226</v>
      </c>
      <c r="E3" s="73" t="s">
        <v>16754</v>
      </c>
      <c r="F3" s="65"/>
    </row>
    <row r="4" spans="1:6">
      <c r="A4" s="30">
        <v>2024</v>
      </c>
      <c r="B4" s="92">
        <v>1990</v>
      </c>
      <c r="D4" s="30">
        <v>2025</v>
      </c>
      <c r="E4" s="92">
        <v>2171</v>
      </c>
    </row>
    <row r="5" spans="1:6">
      <c r="A5" s="32" t="s">
        <v>227</v>
      </c>
      <c r="B5" s="94">
        <v>1990</v>
      </c>
      <c r="D5" s="32" t="s">
        <v>227</v>
      </c>
      <c r="E5" s="94">
        <v>2171</v>
      </c>
    </row>
    <row r="8" spans="1:6">
      <c r="A8" s="38" t="s">
        <v>16751</v>
      </c>
    </row>
    <row r="9" spans="1:6">
      <c r="A9" s="38" t="s">
        <v>16742</v>
      </c>
    </row>
    <row r="10" spans="1:6">
      <c r="A10" s="171" t="s">
        <v>16758</v>
      </c>
    </row>
    <row r="11" spans="1:6">
      <c r="A11">
        <f>SUM(GETPIVOTDATA("Hotspots Circulation",$A$3,"Year",2024)+GETPIVOTDATA("Hotspots Circulation",$D$3,"Year",2025))</f>
        <v>4161</v>
      </c>
    </row>
  </sheetData>
  <pageMargins left="0.7" right="0.7" top="0.75" bottom="0.75" header="0.3" footer="0.3"/>
  <pageSetup orientation="portrait" horizontalDpi="0" verticalDpi="0"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498A-560B-4462-917E-BC053898AFAA}">
  <dimension ref="A2:C7"/>
  <sheetViews>
    <sheetView workbookViewId="0">
      <selection activeCell="A4" sqref="A4"/>
    </sheetView>
  </sheetViews>
  <sheetFormatPr defaultRowHeight="12.75"/>
  <cols>
    <col min="1" max="1" width="12.85546875" bestFit="1" customWidth="1"/>
    <col min="2" max="2" width="46" bestFit="1" customWidth="1"/>
    <col min="3" max="3" width="56.5703125" bestFit="1" customWidth="1"/>
  </cols>
  <sheetData>
    <row r="2" spans="1:3">
      <c r="A2" s="22" t="s">
        <v>89</v>
      </c>
      <c r="B2" s="23" t="s">
        <v>16701</v>
      </c>
    </row>
    <row r="4" spans="1:3">
      <c r="A4" s="24" t="s">
        <v>226</v>
      </c>
      <c r="B4" s="25" t="s">
        <v>16580</v>
      </c>
      <c r="C4" s="27" t="s">
        <v>16581</v>
      </c>
    </row>
    <row r="5" spans="1:3">
      <c r="A5" s="30">
        <v>2024</v>
      </c>
      <c r="B5" s="83">
        <v>27</v>
      </c>
      <c r="C5" s="85">
        <v>109</v>
      </c>
    </row>
    <row r="6" spans="1:3">
      <c r="A6" s="31">
        <v>2025</v>
      </c>
      <c r="B6" s="86">
        <v>29</v>
      </c>
      <c r="C6" s="88">
        <v>128</v>
      </c>
    </row>
    <row r="7" spans="1:3">
      <c r="A7" s="32" t="s">
        <v>227</v>
      </c>
      <c r="B7" s="89">
        <v>56</v>
      </c>
      <c r="C7" s="91">
        <v>237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  <outlinePr summaryBelow="0" summaryRight="0"/>
  </sheetPr>
  <dimension ref="A1:BD619"/>
  <sheetViews>
    <sheetView workbookViewId="0">
      <pane xSplit="3" ySplit="1" topLeftCell="AR162" activePane="bottomRight" state="frozen"/>
      <selection pane="topRight" activeCell="D1" sqref="D1"/>
      <selection pane="bottomLeft" activeCell="A2" sqref="A2"/>
      <selection pane="bottomRight" activeCell="B150" sqref="A1:BD202"/>
    </sheetView>
  </sheetViews>
  <sheetFormatPr defaultColWidth="16.140625" defaultRowHeight="12.75"/>
  <cols>
    <col min="1" max="1" width="16.140625" style="158"/>
    <col min="2" max="2" width="16.140625" style="107"/>
    <col min="3" max="9" width="16.140625" style="105"/>
    <col min="10" max="10" width="22.5703125" style="119" customWidth="1"/>
    <col min="11" max="16384" width="16.140625" style="105"/>
  </cols>
  <sheetData>
    <row r="1" spans="1:56">
      <c r="A1" s="157" t="s">
        <v>16740</v>
      </c>
      <c r="B1" s="107" t="s">
        <v>89</v>
      </c>
      <c r="C1" s="105" t="s">
        <v>90</v>
      </c>
      <c r="D1" s="105" t="s">
        <v>91</v>
      </c>
      <c r="E1" s="105" t="s">
        <v>70</v>
      </c>
      <c r="F1" s="105" t="s">
        <v>8</v>
      </c>
      <c r="G1" s="105" t="s">
        <v>87</v>
      </c>
      <c r="H1" s="105" t="s">
        <v>85</v>
      </c>
      <c r="I1" s="105" t="s">
        <v>69</v>
      </c>
      <c r="J1" s="119" t="s">
        <v>92</v>
      </c>
      <c r="K1" s="105" t="s">
        <v>86</v>
      </c>
      <c r="L1" s="105" t="s">
        <v>68</v>
      </c>
      <c r="M1" s="105" t="s">
        <v>93</v>
      </c>
      <c r="N1" s="105" t="s">
        <v>94</v>
      </c>
      <c r="O1" s="105" t="s">
        <v>95</v>
      </c>
      <c r="P1" s="105" t="s">
        <v>96</v>
      </c>
      <c r="Q1" s="105" t="s">
        <v>97</v>
      </c>
      <c r="R1" s="105" t="s">
        <v>98</v>
      </c>
      <c r="S1" s="105" t="s">
        <v>99</v>
      </c>
      <c r="T1" s="105" t="s">
        <v>100</v>
      </c>
      <c r="U1" s="105" t="s">
        <v>101</v>
      </c>
      <c r="V1" s="105" t="s">
        <v>102</v>
      </c>
      <c r="W1" s="105" t="s">
        <v>103</v>
      </c>
      <c r="X1" s="105" t="s">
        <v>104</v>
      </c>
      <c r="Y1" s="105" t="s">
        <v>105</v>
      </c>
      <c r="Z1" s="105" t="s">
        <v>106</v>
      </c>
      <c r="AA1" s="105" t="s">
        <v>107</v>
      </c>
      <c r="AB1" s="105" t="s">
        <v>108</v>
      </c>
      <c r="AC1" s="105" t="s">
        <v>109</v>
      </c>
      <c r="AD1" s="105" t="s">
        <v>110</v>
      </c>
      <c r="AE1" s="105" t="s">
        <v>111</v>
      </c>
      <c r="AF1" s="105" t="s">
        <v>112</v>
      </c>
      <c r="AG1" s="105" t="s">
        <v>113</v>
      </c>
      <c r="AH1" s="105" t="s">
        <v>114</v>
      </c>
      <c r="AI1" s="105" t="s">
        <v>115</v>
      </c>
      <c r="AJ1" s="105" t="s">
        <v>116</v>
      </c>
      <c r="AK1" s="105" t="s">
        <v>117</v>
      </c>
      <c r="AL1" s="105" t="s">
        <v>118</v>
      </c>
      <c r="AM1" s="105" t="s">
        <v>119</v>
      </c>
      <c r="AN1" s="105" t="s">
        <v>120</v>
      </c>
      <c r="AO1" s="105" t="s">
        <v>121</v>
      </c>
      <c r="AP1" s="105" t="s">
        <v>122</v>
      </c>
      <c r="AQ1" s="105" t="s">
        <v>123</v>
      </c>
      <c r="AR1" s="105" t="s">
        <v>124</v>
      </c>
      <c r="AS1" s="105" t="s">
        <v>125</v>
      </c>
      <c r="AT1" s="105" t="s">
        <v>126</v>
      </c>
      <c r="AU1" s="105" t="s">
        <v>127</v>
      </c>
      <c r="AV1" s="105" t="s">
        <v>128</v>
      </c>
      <c r="AW1" s="105" t="s">
        <v>129</v>
      </c>
      <c r="AX1" s="105" t="s">
        <v>16671</v>
      </c>
      <c r="AY1" s="105" t="s">
        <v>130</v>
      </c>
      <c r="AZ1" s="105" t="s">
        <v>131</v>
      </c>
      <c r="BA1" s="105" t="s">
        <v>132</v>
      </c>
      <c r="BB1" s="105" t="s">
        <v>141</v>
      </c>
      <c r="BC1" s="105" t="s">
        <v>225</v>
      </c>
      <c r="BD1" s="105" t="s">
        <v>16675</v>
      </c>
    </row>
    <row r="2" spans="1:56" ht="14.25">
      <c r="A2" s="158">
        <v>1</v>
      </c>
      <c r="B2" s="107" t="s">
        <v>16733</v>
      </c>
      <c r="C2" s="105" t="s">
        <v>139</v>
      </c>
      <c r="E2" s="138">
        <v>237</v>
      </c>
      <c r="F2" s="105">
        <v>13105</v>
      </c>
      <c r="J2" s="120">
        <v>14481</v>
      </c>
      <c r="K2" s="138">
        <v>121</v>
      </c>
      <c r="M2" s="115">
        <v>7</v>
      </c>
      <c r="N2" s="115">
        <v>105</v>
      </c>
      <c r="BC2" s="105">
        <v>2024</v>
      </c>
    </row>
    <row r="3" spans="1:56">
      <c r="A3" s="158">
        <v>1</v>
      </c>
      <c r="B3" s="107" t="s">
        <v>16733</v>
      </c>
      <c r="C3" s="105" t="s">
        <v>135</v>
      </c>
      <c r="E3" s="139">
        <v>43</v>
      </c>
      <c r="F3" s="105">
        <v>2152</v>
      </c>
      <c r="G3" s="105">
        <v>216</v>
      </c>
      <c r="I3" s="105">
        <v>1</v>
      </c>
      <c r="J3" s="120">
        <v>2594</v>
      </c>
      <c r="K3" s="139">
        <v>67</v>
      </c>
      <c r="R3" s="105">
        <v>10</v>
      </c>
      <c r="S3" s="105">
        <v>2</v>
      </c>
      <c r="T3" s="105">
        <v>2</v>
      </c>
      <c r="U3" s="105">
        <v>4</v>
      </c>
      <c r="V3" s="105">
        <v>2</v>
      </c>
      <c r="W3" s="105">
        <v>119</v>
      </c>
      <c r="X3" s="105">
        <v>25</v>
      </c>
      <c r="Y3" s="105">
        <v>11</v>
      </c>
      <c r="Z3" s="105">
        <v>27</v>
      </c>
      <c r="AA3" s="105">
        <v>75</v>
      </c>
      <c r="AX3" s="105">
        <v>30</v>
      </c>
      <c r="AY3" s="105">
        <v>38</v>
      </c>
      <c r="AZ3" s="105">
        <v>26.5</v>
      </c>
      <c r="BC3" s="105">
        <v>2024</v>
      </c>
    </row>
    <row r="4" spans="1:56">
      <c r="A4" s="158">
        <v>1</v>
      </c>
      <c r="B4" s="107" t="s">
        <v>16733</v>
      </c>
      <c r="C4" s="105" t="s">
        <v>136</v>
      </c>
      <c r="E4" s="139">
        <v>281</v>
      </c>
      <c r="F4" s="105">
        <v>10005</v>
      </c>
      <c r="G4" s="105">
        <v>679</v>
      </c>
      <c r="I4" s="105">
        <v>6</v>
      </c>
      <c r="J4" s="120">
        <v>18615</v>
      </c>
      <c r="K4" s="139">
        <v>33</v>
      </c>
      <c r="L4" s="105">
        <v>5</v>
      </c>
      <c r="R4" s="105">
        <v>30</v>
      </c>
      <c r="S4" s="105">
        <v>5</v>
      </c>
      <c r="T4" s="105">
        <v>5</v>
      </c>
      <c r="U4" s="105">
        <v>10</v>
      </c>
      <c r="V4" s="105">
        <v>4</v>
      </c>
      <c r="W4" s="105">
        <v>867</v>
      </c>
      <c r="X4" s="105">
        <v>63</v>
      </c>
      <c r="Y4" s="105">
        <v>47</v>
      </c>
      <c r="Z4" s="105">
        <v>85</v>
      </c>
      <c r="AA4" s="105">
        <v>184</v>
      </c>
      <c r="AX4" s="105">
        <v>469</v>
      </c>
      <c r="BC4" s="105">
        <v>2024</v>
      </c>
    </row>
    <row r="5" spans="1:56">
      <c r="A5" s="158">
        <v>1</v>
      </c>
      <c r="B5" s="107" t="s">
        <v>16733</v>
      </c>
      <c r="C5" s="105" t="s">
        <v>138</v>
      </c>
      <c r="E5" s="139">
        <v>75</v>
      </c>
      <c r="F5" s="105">
        <v>3147</v>
      </c>
      <c r="G5" s="105">
        <v>138</v>
      </c>
      <c r="I5" s="105">
        <v>9</v>
      </c>
      <c r="J5" s="120">
        <v>4442</v>
      </c>
      <c r="K5" s="139">
        <v>12</v>
      </c>
      <c r="L5" s="105">
        <v>3</v>
      </c>
      <c r="R5" s="105">
        <v>1</v>
      </c>
      <c r="S5" s="105">
        <v>2</v>
      </c>
      <c r="T5" s="105">
        <v>2</v>
      </c>
      <c r="U5" s="105">
        <v>10</v>
      </c>
      <c r="V5" s="105">
        <v>0</v>
      </c>
      <c r="W5" s="105">
        <v>8</v>
      </c>
      <c r="X5" s="105">
        <v>6</v>
      </c>
      <c r="Y5" s="105">
        <v>4</v>
      </c>
      <c r="Z5" s="105">
        <v>105</v>
      </c>
      <c r="AA5" s="105">
        <v>0</v>
      </c>
      <c r="AC5" s="105">
        <v>0</v>
      </c>
      <c r="AH5" s="105">
        <v>0</v>
      </c>
      <c r="AX5" s="105">
        <v>261</v>
      </c>
      <c r="AY5" s="105">
        <v>1</v>
      </c>
      <c r="AZ5" s="105">
        <v>9</v>
      </c>
      <c r="BA5" s="105">
        <v>2</v>
      </c>
      <c r="BC5" s="105">
        <v>2024</v>
      </c>
    </row>
    <row r="6" spans="1:56">
      <c r="A6" s="158">
        <v>1</v>
      </c>
      <c r="B6" s="107" t="s">
        <v>16733</v>
      </c>
      <c r="C6" s="105" t="s">
        <v>140</v>
      </c>
      <c r="E6" s="139">
        <v>54</v>
      </c>
      <c r="F6" s="105">
        <v>3430</v>
      </c>
      <c r="G6" s="105">
        <v>395</v>
      </c>
      <c r="I6" s="105">
        <v>3</v>
      </c>
      <c r="J6" s="120">
        <v>3551</v>
      </c>
      <c r="K6" s="139">
        <v>99</v>
      </c>
      <c r="L6" s="105">
        <v>0</v>
      </c>
      <c r="R6" s="105">
        <v>10</v>
      </c>
      <c r="S6" s="105">
        <v>2</v>
      </c>
      <c r="T6" s="105">
        <v>2</v>
      </c>
      <c r="U6" s="105">
        <v>9</v>
      </c>
      <c r="W6" s="105">
        <v>146</v>
      </c>
      <c r="X6" s="105">
        <v>56</v>
      </c>
      <c r="Y6" s="105">
        <v>15</v>
      </c>
      <c r="Z6" s="105">
        <v>91</v>
      </c>
      <c r="AX6" s="105">
        <v>150</v>
      </c>
      <c r="AY6" s="105">
        <v>4</v>
      </c>
      <c r="AZ6" s="105">
        <v>16</v>
      </c>
      <c r="BA6" s="105">
        <v>3</v>
      </c>
      <c r="BC6" s="105">
        <v>2024</v>
      </c>
    </row>
    <row r="7" spans="1:56">
      <c r="A7" s="158">
        <v>1</v>
      </c>
      <c r="B7" s="107" t="s">
        <v>16733</v>
      </c>
      <c r="C7" s="105" t="s">
        <v>224</v>
      </c>
      <c r="E7" s="140">
        <v>18</v>
      </c>
      <c r="F7" s="105">
        <v>625</v>
      </c>
      <c r="J7" s="120">
        <v>1342</v>
      </c>
      <c r="K7" s="140">
        <v>0</v>
      </c>
      <c r="R7" s="105">
        <v>3</v>
      </c>
      <c r="W7" s="105">
        <v>96</v>
      </c>
      <c r="AX7" s="105">
        <v>130</v>
      </c>
      <c r="AY7" s="105">
        <v>1</v>
      </c>
      <c r="AZ7" s="105">
        <v>1</v>
      </c>
      <c r="BC7" s="105">
        <v>2024</v>
      </c>
    </row>
    <row r="8" spans="1:56" s="115" customFormat="1" ht="14.25">
      <c r="A8" s="159">
        <v>1</v>
      </c>
      <c r="B8" s="153" t="s">
        <v>16733</v>
      </c>
      <c r="C8" s="115" t="s">
        <v>191</v>
      </c>
      <c r="H8" s="115">
        <v>0</v>
      </c>
      <c r="J8" s="121"/>
      <c r="Q8" s="115">
        <v>4548</v>
      </c>
      <c r="BC8" s="115">
        <v>2024</v>
      </c>
    </row>
    <row r="9" spans="1:56">
      <c r="A9" s="158">
        <v>2</v>
      </c>
      <c r="B9" s="107" t="s">
        <v>16734</v>
      </c>
      <c r="C9" s="105" t="s">
        <v>139</v>
      </c>
      <c r="E9" s="138">
        <v>205</v>
      </c>
      <c r="F9" s="105">
        <v>13867</v>
      </c>
      <c r="J9" s="120">
        <v>14107</v>
      </c>
      <c r="K9" s="138">
        <v>121</v>
      </c>
      <c r="BC9" s="105">
        <v>2024</v>
      </c>
    </row>
    <row r="10" spans="1:56">
      <c r="A10" s="158">
        <v>2</v>
      </c>
      <c r="B10" s="107" t="s">
        <v>16734</v>
      </c>
      <c r="C10" s="105" t="s">
        <v>135</v>
      </c>
      <c r="E10" s="139">
        <v>31</v>
      </c>
      <c r="F10" s="105">
        <v>2241</v>
      </c>
      <c r="G10" s="105">
        <v>207</v>
      </c>
      <c r="J10" s="120">
        <v>2693</v>
      </c>
      <c r="K10" s="139">
        <v>57</v>
      </c>
      <c r="R10" s="105">
        <v>13</v>
      </c>
      <c r="S10" s="105">
        <v>1</v>
      </c>
      <c r="T10" s="105">
        <v>1</v>
      </c>
      <c r="U10" s="105">
        <v>7</v>
      </c>
      <c r="V10" s="105">
        <v>2</v>
      </c>
      <c r="W10" s="105">
        <v>170</v>
      </c>
      <c r="X10" s="105">
        <v>10</v>
      </c>
      <c r="Y10" s="105">
        <v>5</v>
      </c>
      <c r="Z10" s="105">
        <v>56</v>
      </c>
      <c r="AA10" s="105">
        <v>46</v>
      </c>
      <c r="AX10" s="105">
        <v>0</v>
      </c>
      <c r="AY10" s="105">
        <v>35</v>
      </c>
      <c r="AZ10" s="105">
        <v>59.5</v>
      </c>
      <c r="BC10" s="105">
        <v>2024</v>
      </c>
    </row>
    <row r="11" spans="1:56">
      <c r="A11" s="158">
        <v>2</v>
      </c>
      <c r="B11" s="107" t="s">
        <v>16734</v>
      </c>
      <c r="C11" s="105" t="s">
        <v>136</v>
      </c>
      <c r="E11" s="139">
        <v>223</v>
      </c>
      <c r="F11" s="105">
        <v>11408</v>
      </c>
      <c r="G11" s="105">
        <v>686</v>
      </c>
      <c r="I11" s="105">
        <v>14</v>
      </c>
      <c r="J11" s="120">
        <v>17829</v>
      </c>
      <c r="K11" s="139">
        <v>32</v>
      </c>
      <c r="L11" s="105">
        <v>6</v>
      </c>
      <c r="R11" s="105">
        <v>23</v>
      </c>
      <c r="S11" s="105">
        <v>6</v>
      </c>
      <c r="T11" s="105">
        <v>7</v>
      </c>
      <c r="U11" s="105">
        <v>14</v>
      </c>
      <c r="V11" s="105">
        <v>4</v>
      </c>
      <c r="W11" s="105">
        <v>683</v>
      </c>
      <c r="X11" s="105">
        <v>66</v>
      </c>
      <c r="Y11" s="105">
        <v>93</v>
      </c>
      <c r="Z11" s="105">
        <v>116</v>
      </c>
      <c r="AA11" s="105">
        <v>154</v>
      </c>
      <c r="AC11" s="105">
        <v>1</v>
      </c>
      <c r="AH11" s="105">
        <v>400</v>
      </c>
      <c r="AX11" s="105">
        <v>365</v>
      </c>
      <c r="AY11" s="105">
        <v>16</v>
      </c>
      <c r="AZ11" s="105">
        <v>120</v>
      </c>
      <c r="BC11" s="105">
        <v>2024</v>
      </c>
    </row>
    <row r="12" spans="1:56">
      <c r="A12" s="158">
        <v>2</v>
      </c>
      <c r="B12" s="107" t="s">
        <v>16734</v>
      </c>
      <c r="C12" s="105" t="s">
        <v>138</v>
      </c>
      <c r="E12" s="139">
        <v>61</v>
      </c>
      <c r="F12" s="105">
        <v>3400</v>
      </c>
      <c r="G12" s="105">
        <v>193</v>
      </c>
      <c r="I12" s="105">
        <v>11</v>
      </c>
      <c r="J12" s="120">
        <v>4250</v>
      </c>
      <c r="K12" s="139">
        <v>12</v>
      </c>
      <c r="L12" s="105">
        <v>3</v>
      </c>
      <c r="R12" s="105">
        <v>5</v>
      </c>
      <c r="S12" s="105">
        <v>4</v>
      </c>
      <c r="T12" s="105">
        <v>2</v>
      </c>
      <c r="U12" s="105">
        <v>13</v>
      </c>
      <c r="V12" s="105">
        <v>0</v>
      </c>
      <c r="W12" s="105">
        <v>52</v>
      </c>
      <c r="X12" s="105">
        <v>47</v>
      </c>
      <c r="Y12" s="105">
        <v>8</v>
      </c>
      <c r="Z12" s="105">
        <v>118</v>
      </c>
      <c r="AA12" s="105">
        <v>0</v>
      </c>
      <c r="AC12" s="105">
        <v>0</v>
      </c>
      <c r="AH12" s="105">
        <v>0</v>
      </c>
      <c r="AX12" s="105">
        <v>432</v>
      </c>
      <c r="AY12" s="105">
        <v>1</v>
      </c>
      <c r="AZ12" s="105">
        <v>86</v>
      </c>
      <c r="BA12" s="105">
        <v>5</v>
      </c>
      <c r="BC12" s="105">
        <v>2024</v>
      </c>
    </row>
    <row r="13" spans="1:56">
      <c r="A13" s="158">
        <v>2</v>
      </c>
      <c r="B13" s="107" t="s">
        <v>16734</v>
      </c>
      <c r="C13" s="105" t="s">
        <v>140</v>
      </c>
      <c r="E13" s="139">
        <v>59</v>
      </c>
      <c r="F13" s="105">
        <v>3286</v>
      </c>
      <c r="G13" s="105">
        <v>409</v>
      </c>
      <c r="I13" s="105">
        <v>5</v>
      </c>
      <c r="J13" s="120">
        <v>3430</v>
      </c>
      <c r="K13" s="139">
        <v>81</v>
      </c>
      <c r="L13" s="105">
        <v>0</v>
      </c>
      <c r="R13" s="105">
        <v>7</v>
      </c>
      <c r="S13" s="105">
        <v>3</v>
      </c>
      <c r="T13" s="105">
        <v>1</v>
      </c>
      <c r="U13" s="105">
        <v>8</v>
      </c>
      <c r="V13" s="105">
        <v>1</v>
      </c>
      <c r="W13" s="105">
        <v>73</v>
      </c>
      <c r="X13" s="105">
        <v>68</v>
      </c>
      <c r="Y13" s="105">
        <v>5</v>
      </c>
      <c r="Z13" s="105">
        <v>67</v>
      </c>
      <c r="AA13" s="105">
        <v>20</v>
      </c>
      <c r="AC13" s="105">
        <v>1</v>
      </c>
      <c r="AH13" s="105">
        <v>57</v>
      </c>
      <c r="AX13" s="105">
        <v>48</v>
      </c>
      <c r="AY13" s="105">
        <v>18</v>
      </c>
      <c r="AZ13" s="105">
        <v>86.5</v>
      </c>
      <c r="BA13" s="105">
        <v>2</v>
      </c>
      <c r="BC13" s="105">
        <v>2024</v>
      </c>
    </row>
    <row r="14" spans="1:56">
      <c r="A14" s="158">
        <v>2</v>
      </c>
      <c r="B14" s="107" t="s">
        <v>16734</v>
      </c>
      <c r="C14" s="105" t="s">
        <v>224</v>
      </c>
      <c r="E14" s="140">
        <v>36</v>
      </c>
      <c r="F14" s="105">
        <v>1153</v>
      </c>
      <c r="J14" s="120">
        <v>1764</v>
      </c>
      <c r="K14" s="140">
        <v>3</v>
      </c>
      <c r="R14" s="105">
        <v>4</v>
      </c>
      <c r="W14" s="105">
        <v>104</v>
      </c>
      <c r="AY14" s="105">
        <v>1</v>
      </c>
      <c r="AZ14" s="105">
        <v>1.5</v>
      </c>
      <c r="BC14" s="105">
        <v>2024</v>
      </c>
    </row>
    <row r="15" spans="1:56" s="115" customFormat="1" ht="14.25">
      <c r="A15" s="159">
        <v>2</v>
      </c>
      <c r="B15" s="153" t="s">
        <v>16734</v>
      </c>
      <c r="C15" s="115" t="s">
        <v>191</v>
      </c>
      <c r="E15" s="105"/>
      <c r="H15" s="115">
        <v>0</v>
      </c>
      <c r="J15" s="121"/>
      <c r="K15" s="131"/>
      <c r="L15" s="105">
        <v>21</v>
      </c>
      <c r="Q15" s="115">
        <v>5467</v>
      </c>
      <c r="BC15" s="115">
        <v>2024</v>
      </c>
    </row>
    <row r="16" spans="1:56" ht="14.25">
      <c r="A16" s="158">
        <v>3</v>
      </c>
      <c r="B16" s="107" t="s">
        <v>16732</v>
      </c>
      <c r="C16" s="105" t="s">
        <v>139</v>
      </c>
      <c r="E16" s="138">
        <v>217</v>
      </c>
      <c r="F16" s="105">
        <v>15534</v>
      </c>
      <c r="G16" s="105">
        <v>2125</v>
      </c>
      <c r="I16" s="105">
        <v>6</v>
      </c>
      <c r="J16" s="116">
        <v>17206</v>
      </c>
      <c r="K16" s="138">
        <v>141</v>
      </c>
      <c r="M16" s="115">
        <v>6</v>
      </c>
      <c r="N16" s="115">
        <v>131</v>
      </c>
      <c r="R16" s="105">
        <v>31</v>
      </c>
      <c r="S16" s="105">
        <v>5</v>
      </c>
      <c r="T16" s="105">
        <v>13</v>
      </c>
      <c r="U16" s="105">
        <v>27</v>
      </c>
      <c r="V16" s="105">
        <v>6</v>
      </c>
      <c r="W16" s="105">
        <v>1188</v>
      </c>
      <c r="X16" s="105">
        <v>116</v>
      </c>
      <c r="Y16" s="105">
        <v>155</v>
      </c>
      <c r="Z16" s="105">
        <v>277</v>
      </c>
      <c r="AA16" s="105">
        <v>106</v>
      </c>
      <c r="AC16" s="105">
        <v>7</v>
      </c>
      <c r="AH16" s="105">
        <v>111</v>
      </c>
      <c r="AX16" s="105">
        <v>30</v>
      </c>
      <c r="AY16" s="105">
        <v>42</v>
      </c>
      <c r="AZ16" s="105">
        <v>40.5</v>
      </c>
      <c r="BA16" s="105">
        <v>10</v>
      </c>
      <c r="BC16" s="105">
        <v>2024</v>
      </c>
    </row>
    <row r="17" spans="1:55">
      <c r="A17" s="158">
        <v>3</v>
      </c>
      <c r="B17" s="107" t="s">
        <v>16732</v>
      </c>
      <c r="C17" s="105" t="s">
        <v>135</v>
      </c>
      <c r="E17" s="139">
        <v>39</v>
      </c>
      <c r="F17" s="105">
        <v>2402</v>
      </c>
      <c r="G17" s="105">
        <v>208</v>
      </c>
      <c r="I17" s="105">
        <v>0</v>
      </c>
      <c r="J17" s="117">
        <v>2858</v>
      </c>
      <c r="K17" s="139">
        <v>62</v>
      </c>
      <c r="R17" s="105">
        <v>7</v>
      </c>
      <c r="S17" s="105">
        <v>2</v>
      </c>
      <c r="T17" s="105">
        <v>2</v>
      </c>
      <c r="U17" s="105">
        <v>6</v>
      </c>
      <c r="V17" s="105">
        <v>1</v>
      </c>
      <c r="W17" s="105">
        <v>62</v>
      </c>
      <c r="X17" s="105">
        <v>14</v>
      </c>
      <c r="Y17" s="105">
        <v>11</v>
      </c>
      <c r="Z17" s="105">
        <v>48</v>
      </c>
      <c r="AA17" s="105">
        <v>10</v>
      </c>
      <c r="AX17" s="105">
        <v>20</v>
      </c>
      <c r="AY17" s="105">
        <v>19</v>
      </c>
      <c r="AZ17" s="105">
        <v>20</v>
      </c>
      <c r="BA17" s="105">
        <v>0</v>
      </c>
      <c r="BC17" s="105">
        <v>2024</v>
      </c>
    </row>
    <row r="18" spans="1:55">
      <c r="A18" s="158">
        <v>3</v>
      </c>
      <c r="B18" s="107" t="s">
        <v>16732</v>
      </c>
      <c r="C18" s="105" t="s">
        <v>136</v>
      </c>
      <c r="E18" s="139">
        <v>201</v>
      </c>
      <c r="F18" s="105">
        <v>12508</v>
      </c>
      <c r="G18" s="105">
        <v>810</v>
      </c>
      <c r="I18" s="105">
        <v>14</v>
      </c>
      <c r="J18" s="117">
        <v>19038</v>
      </c>
      <c r="K18" s="139">
        <v>23</v>
      </c>
      <c r="L18" s="105">
        <v>5</v>
      </c>
      <c r="R18" s="105">
        <v>33</v>
      </c>
      <c r="S18" s="105">
        <v>6</v>
      </c>
      <c r="T18" s="105">
        <v>7</v>
      </c>
      <c r="U18" s="105">
        <v>14</v>
      </c>
      <c r="V18" s="105">
        <v>4</v>
      </c>
      <c r="W18" s="105">
        <v>1059</v>
      </c>
      <c r="X18" s="105">
        <v>88</v>
      </c>
      <c r="Y18" s="105">
        <v>75</v>
      </c>
      <c r="Z18" s="105">
        <v>128</v>
      </c>
      <c r="AA18" s="105">
        <v>145</v>
      </c>
      <c r="AX18" s="105">
        <v>320</v>
      </c>
      <c r="AY18" s="105">
        <v>5</v>
      </c>
      <c r="AZ18" s="105">
        <v>5</v>
      </c>
      <c r="BC18" s="105">
        <v>2024</v>
      </c>
    </row>
    <row r="19" spans="1:55">
      <c r="A19" s="158">
        <v>3</v>
      </c>
      <c r="B19" s="107" t="s">
        <v>16732</v>
      </c>
      <c r="C19" s="105" t="s">
        <v>138</v>
      </c>
      <c r="E19" s="139">
        <v>67</v>
      </c>
      <c r="F19" s="105">
        <v>3808</v>
      </c>
      <c r="G19" s="105">
        <v>218</v>
      </c>
      <c r="I19" s="105">
        <v>12</v>
      </c>
      <c r="J19" s="117">
        <v>4857</v>
      </c>
      <c r="K19" s="139">
        <v>8</v>
      </c>
      <c r="L19" s="105">
        <v>2</v>
      </c>
      <c r="R19" s="105">
        <v>4</v>
      </c>
      <c r="S19" s="105">
        <v>2</v>
      </c>
      <c r="T19" s="105">
        <v>2</v>
      </c>
      <c r="U19" s="105">
        <v>13</v>
      </c>
      <c r="V19" s="105">
        <v>2</v>
      </c>
      <c r="W19" s="105">
        <v>39</v>
      </c>
      <c r="X19" s="105">
        <v>7</v>
      </c>
      <c r="Y19" s="105">
        <v>19</v>
      </c>
      <c r="Z19" s="105">
        <v>122</v>
      </c>
      <c r="AA19" s="105">
        <v>16</v>
      </c>
      <c r="AC19" s="105">
        <v>0</v>
      </c>
      <c r="AH19" s="105">
        <v>0</v>
      </c>
      <c r="AX19" s="105">
        <v>365</v>
      </c>
      <c r="AY19" s="105">
        <v>1</v>
      </c>
      <c r="AZ19" s="105">
        <v>53</v>
      </c>
      <c r="BA19" s="105">
        <v>9</v>
      </c>
      <c r="BC19" s="105">
        <v>2024</v>
      </c>
    </row>
    <row r="20" spans="1:55">
      <c r="A20" s="158">
        <v>3</v>
      </c>
      <c r="B20" s="107" t="s">
        <v>16732</v>
      </c>
      <c r="C20" s="105" t="s">
        <v>140</v>
      </c>
      <c r="E20" s="139">
        <v>49</v>
      </c>
      <c r="F20" s="105">
        <v>3798</v>
      </c>
      <c r="G20" s="105">
        <v>458</v>
      </c>
      <c r="I20" s="105">
        <v>4</v>
      </c>
      <c r="J20" s="117">
        <v>3862</v>
      </c>
      <c r="K20" s="139">
        <v>91</v>
      </c>
      <c r="L20" s="105">
        <v>0</v>
      </c>
      <c r="R20" s="105">
        <v>14</v>
      </c>
      <c r="S20" s="105">
        <v>1</v>
      </c>
      <c r="T20" s="105">
        <v>1</v>
      </c>
      <c r="U20" s="105">
        <v>8</v>
      </c>
      <c r="W20" s="105">
        <v>162</v>
      </c>
      <c r="X20" s="105">
        <v>4</v>
      </c>
      <c r="Y20" s="105">
        <v>4</v>
      </c>
      <c r="Z20" s="105">
        <v>61</v>
      </c>
      <c r="AC20" s="105">
        <v>1</v>
      </c>
      <c r="AH20" s="105">
        <v>20</v>
      </c>
      <c r="AX20" s="105">
        <v>45</v>
      </c>
      <c r="AY20" s="105">
        <v>11</v>
      </c>
      <c r="AZ20" s="105">
        <v>66</v>
      </c>
      <c r="BA20" s="105">
        <v>0</v>
      </c>
      <c r="BC20" s="105">
        <v>2024</v>
      </c>
    </row>
    <row r="21" spans="1:55">
      <c r="A21" s="158">
        <v>3</v>
      </c>
      <c r="B21" s="107" t="s">
        <v>16732</v>
      </c>
      <c r="C21" s="105" t="s">
        <v>224</v>
      </c>
      <c r="E21" s="140">
        <v>33</v>
      </c>
      <c r="F21" s="105">
        <v>507</v>
      </c>
      <c r="J21" s="118">
        <v>1184</v>
      </c>
      <c r="K21" s="140">
        <v>1</v>
      </c>
      <c r="R21" s="105">
        <v>4</v>
      </c>
      <c r="W21" s="105">
        <v>123</v>
      </c>
      <c r="AX21" s="105">
        <v>489</v>
      </c>
      <c r="AY21" s="105">
        <v>2</v>
      </c>
      <c r="AZ21" s="105">
        <v>2</v>
      </c>
      <c r="BA21" s="105">
        <v>3</v>
      </c>
      <c r="BC21" s="105">
        <v>2024</v>
      </c>
    </row>
    <row r="22" spans="1:55" s="123" customFormat="1" ht="14.25">
      <c r="A22" s="160">
        <v>3</v>
      </c>
      <c r="B22" s="154" t="s">
        <v>16732</v>
      </c>
      <c r="C22" s="123" t="s">
        <v>191</v>
      </c>
      <c r="H22" s="123">
        <v>0</v>
      </c>
      <c r="Q22" s="123">
        <v>6478</v>
      </c>
      <c r="BC22" s="123">
        <v>2024</v>
      </c>
    </row>
    <row r="23" spans="1:55" ht="14.25">
      <c r="A23" s="158">
        <v>4</v>
      </c>
      <c r="B23" s="107" t="s">
        <v>16735</v>
      </c>
      <c r="C23" s="105" t="s">
        <v>139</v>
      </c>
      <c r="E23" s="138">
        <v>204</v>
      </c>
      <c r="F23" s="105">
        <v>15313</v>
      </c>
      <c r="G23" s="105">
        <v>2034</v>
      </c>
      <c r="I23" s="105">
        <v>4</v>
      </c>
      <c r="J23" s="116">
        <v>15145</v>
      </c>
      <c r="K23" s="138">
        <v>132</v>
      </c>
      <c r="L23" s="105">
        <v>27</v>
      </c>
      <c r="M23" s="114">
        <v>6</v>
      </c>
      <c r="N23" s="114">
        <v>116</v>
      </c>
      <c r="R23" s="105">
        <v>22</v>
      </c>
      <c r="S23" s="105">
        <v>6</v>
      </c>
      <c r="T23" s="105">
        <v>15</v>
      </c>
      <c r="U23" s="105">
        <v>29</v>
      </c>
      <c r="V23" s="105">
        <v>6</v>
      </c>
      <c r="W23" s="105">
        <v>890</v>
      </c>
      <c r="X23" s="105">
        <v>277</v>
      </c>
      <c r="Y23" s="105">
        <v>162</v>
      </c>
      <c r="Z23" s="105">
        <v>292</v>
      </c>
      <c r="AA23" s="105">
        <v>156</v>
      </c>
      <c r="AC23" s="105">
        <v>6</v>
      </c>
      <c r="AH23" s="105">
        <v>60</v>
      </c>
      <c r="AX23" s="105">
        <v>50</v>
      </c>
      <c r="AY23" s="105">
        <v>14</v>
      </c>
      <c r="AZ23" s="105">
        <v>21.5</v>
      </c>
      <c r="BA23" s="105">
        <v>8</v>
      </c>
      <c r="BC23" s="105">
        <v>2024</v>
      </c>
    </row>
    <row r="24" spans="1:55">
      <c r="A24" s="158">
        <v>4</v>
      </c>
      <c r="B24" s="107" t="s">
        <v>16735</v>
      </c>
      <c r="C24" s="105" t="s">
        <v>135</v>
      </c>
      <c r="E24" s="139">
        <v>85</v>
      </c>
      <c r="F24" s="105">
        <v>2761</v>
      </c>
      <c r="G24" s="105">
        <v>214</v>
      </c>
      <c r="I24" s="105">
        <v>1</v>
      </c>
      <c r="J24" s="117">
        <v>3132</v>
      </c>
      <c r="K24" s="139">
        <v>63</v>
      </c>
      <c r="L24" s="105">
        <v>0</v>
      </c>
      <c r="R24" s="105">
        <v>8</v>
      </c>
      <c r="S24" s="105">
        <v>2</v>
      </c>
      <c r="T24" s="105">
        <v>2</v>
      </c>
      <c r="U24" s="105">
        <v>1</v>
      </c>
      <c r="V24" s="105">
        <v>3</v>
      </c>
      <c r="W24" s="105">
        <v>85</v>
      </c>
      <c r="X24" s="105">
        <v>21</v>
      </c>
      <c r="Y24" s="105">
        <v>6</v>
      </c>
      <c r="Z24" s="105">
        <v>4</v>
      </c>
      <c r="AA24" s="105">
        <v>30</v>
      </c>
      <c r="AC24" s="105">
        <v>0</v>
      </c>
      <c r="AH24" s="105">
        <v>0</v>
      </c>
      <c r="AX24" s="105">
        <v>20</v>
      </c>
      <c r="AY24" s="105">
        <v>4</v>
      </c>
      <c r="AZ24" s="105">
        <v>25</v>
      </c>
      <c r="BA24" s="105">
        <v>0</v>
      </c>
      <c r="BC24" s="105">
        <v>2024</v>
      </c>
    </row>
    <row r="25" spans="1:55">
      <c r="A25" s="158">
        <v>4</v>
      </c>
      <c r="B25" s="107" t="s">
        <v>16735</v>
      </c>
      <c r="C25" s="105" t="s">
        <v>136</v>
      </c>
      <c r="E25" s="139">
        <v>215</v>
      </c>
      <c r="F25" s="105">
        <v>11737</v>
      </c>
      <c r="G25" s="105">
        <v>781</v>
      </c>
      <c r="I25" s="105">
        <v>6</v>
      </c>
      <c r="J25" s="117">
        <v>19642</v>
      </c>
      <c r="K25" s="139">
        <v>26</v>
      </c>
      <c r="L25" s="105">
        <v>5</v>
      </c>
      <c r="R25" s="105">
        <v>21</v>
      </c>
      <c r="S25" s="105">
        <v>9</v>
      </c>
      <c r="T25" s="105">
        <v>7</v>
      </c>
      <c r="U25" s="105">
        <v>11</v>
      </c>
      <c r="V25" s="105">
        <v>6</v>
      </c>
      <c r="W25" s="105">
        <v>754</v>
      </c>
      <c r="X25" s="105">
        <v>778</v>
      </c>
      <c r="Y25" s="105">
        <v>65</v>
      </c>
      <c r="Z25" s="105">
        <v>94</v>
      </c>
      <c r="AA25" s="105">
        <v>265</v>
      </c>
      <c r="AC25" s="105">
        <v>3</v>
      </c>
      <c r="AH25" s="105">
        <v>800</v>
      </c>
      <c r="AX25" s="105">
        <v>402</v>
      </c>
      <c r="AY25" s="105">
        <v>2</v>
      </c>
      <c r="AZ25" s="105">
        <v>2</v>
      </c>
      <c r="BC25" s="105">
        <v>2024</v>
      </c>
    </row>
    <row r="26" spans="1:55">
      <c r="A26" s="158">
        <v>4</v>
      </c>
      <c r="B26" s="107" t="s">
        <v>16735</v>
      </c>
      <c r="C26" s="105" t="s">
        <v>138</v>
      </c>
      <c r="E26" s="139">
        <v>63</v>
      </c>
      <c r="F26" s="105">
        <v>3866</v>
      </c>
      <c r="G26" s="105">
        <v>188</v>
      </c>
      <c r="I26" s="105">
        <v>10</v>
      </c>
      <c r="J26" s="117">
        <v>4663</v>
      </c>
      <c r="K26" s="139">
        <v>11</v>
      </c>
      <c r="L26" s="105">
        <v>2</v>
      </c>
      <c r="R26" s="105">
        <v>4</v>
      </c>
      <c r="S26" s="105">
        <v>4</v>
      </c>
      <c r="T26" s="105">
        <v>2</v>
      </c>
      <c r="U26" s="105">
        <v>12</v>
      </c>
      <c r="V26" s="105">
        <v>2</v>
      </c>
      <c r="W26" s="105">
        <v>40</v>
      </c>
      <c r="X26" s="105">
        <v>20</v>
      </c>
      <c r="Y26" s="105">
        <v>9</v>
      </c>
      <c r="Z26" s="105">
        <v>100</v>
      </c>
      <c r="AA26" s="105">
        <v>11</v>
      </c>
      <c r="AC26" s="105">
        <v>0</v>
      </c>
      <c r="AH26" s="105">
        <v>0</v>
      </c>
      <c r="AX26" s="105">
        <v>372</v>
      </c>
      <c r="AY26" s="105">
        <v>1</v>
      </c>
      <c r="AZ26" s="105">
        <v>24.5</v>
      </c>
      <c r="BA26" s="105">
        <v>5</v>
      </c>
      <c r="BC26" s="105">
        <v>2024</v>
      </c>
    </row>
    <row r="27" spans="1:55">
      <c r="A27" s="158">
        <v>4</v>
      </c>
      <c r="B27" s="107" t="s">
        <v>16735</v>
      </c>
      <c r="C27" s="105" t="s">
        <v>140</v>
      </c>
      <c r="E27" s="139">
        <v>50</v>
      </c>
      <c r="F27" s="105">
        <v>3598</v>
      </c>
      <c r="G27" s="105">
        <v>377</v>
      </c>
      <c r="I27" s="105">
        <v>2</v>
      </c>
      <c r="J27" s="117">
        <v>3804</v>
      </c>
      <c r="K27" s="139">
        <v>103</v>
      </c>
      <c r="L27" s="105">
        <v>0</v>
      </c>
      <c r="R27" s="105">
        <v>12</v>
      </c>
      <c r="S27" s="105">
        <v>3</v>
      </c>
      <c r="T27" s="105">
        <v>1</v>
      </c>
      <c r="U27" s="105">
        <v>7</v>
      </c>
      <c r="W27" s="105">
        <v>206</v>
      </c>
      <c r="X27" s="105">
        <v>66</v>
      </c>
      <c r="Y27" s="105">
        <v>4</v>
      </c>
      <c r="Z27" s="105">
        <v>61</v>
      </c>
      <c r="AC27" s="105">
        <v>1</v>
      </c>
      <c r="AH27" s="105">
        <v>150</v>
      </c>
      <c r="AX27" s="105">
        <v>5</v>
      </c>
      <c r="AY27" s="105">
        <v>4</v>
      </c>
      <c r="AZ27" s="105">
        <v>28</v>
      </c>
      <c r="BA27" s="105">
        <v>0</v>
      </c>
      <c r="BC27" s="105">
        <v>2024</v>
      </c>
    </row>
    <row r="28" spans="1:55">
      <c r="A28" s="158">
        <v>4</v>
      </c>
      <c r="B28" s="107" t="s">
        <v>16735</v>
      </c>
      <c r="C28" s="105" t="s">
        <v>224</v>
      </c>
      <c r="E28" s="140">
        <v>8</v>
      </c>
      <c r="F28" s="105">
        <v>905</v>
      </c>
      <c r="J28" s="118">
        <v>1647</v>
      </c>
      <c r="K28" s="140">
        <v>3</v>
      </c>
      <c r="R28" s="105">
        <v>1</v>
      </c>
      <c r="U28" s="105">
        <v>2</v>
      </c>
      <c r="W28" s="105">
        <v>25</v>
      </c>
      <c r="Z28" s="105">
        <v>16</v>
      </c>
      <c r="AX28" s="105">
        <v>385</v>
      </c>
      <c r="AY28" s="105">
        <v>2</v>
      </c>
      <c r="AZ28" s="105">
        <v>8</v>
      </c>
      <c r="BC28" s="105">
        <v>2024</v>
      </c>
    </row>
    <row r="29" spans="1:55" s="115" customFormat="1" ht="14.25">
      <c r="A29" s="159">
        <v>4</v>
      </c>
      <c r="B29" s="153" t="s">
        <v>16735</v>
      </c>
      <c r="C29" s="115" t="s">
        <v>191</v>
      </c>
      <c r="H29" s="115">
        <v>0</v>
      </c>
      <c r="J29" s="122"/>
      <c r="Q29" s="115">
        <v>5306</v>
      </c>
      <c r="BC29" s="115">
        <v>2024</v>
      </c>
    </row>
    <row r="30" spans="1:55" ht="14.25">
      <c r="A30" s="158">
        <v>5</v>
      </c>
      <c r="B30" s="107" t="s">
        <v>16736</v>
      </c>
      <c r="C30" s="105" t="s">
        <v>139</v>
      </c>
      <c r="E30" s="138">
        <v>209</v>
      </c>
      <c r="F30" s="105">
        <v>17040</v>
      </c>
      <c r="G30" s="105">
        <v>1972</v>
      </c>
      <c r="I30" s="105">
        <v>12</v>
      </c>
      <c r="J30" s="116">
        <v>19243</v>
      </c>
      <c r="K30" s="138">
        <v>139</v>
      </c>
      <c r="L30" s="105">
        <v>38</v>
      </c>
      <c r="M30" s="115">
        <v>4</v>
      </c>
      <c r="N30" s="115">
        <v>122</v>
      </c>
      <c r="R30" s="105">
        <v>15</v>
      </c>
      <c r="S30" s="105">
        <v>6</v>
      </c>
      <c r="T30" s="105">
        <v>10</v>
      </c>
      <c r="U30" s="105">
        <v>22</v>
      </c>
      <c r="V30" s="105">
        <v>8</v>
      </c>
      <c r="W30" s="105">
        <v>636</v>
      </c>
      <c r="X30" s="105">
        <v>140</v>
      </c>
      <c r="Y30" s="105">
        <v>59</v>
      </c>
      <c r="Z30" s="105">
        <v>245</v>
      </c>
      <c r="AA30" s="105">
        <v>1644</v>
      </c>
      <c r="AC30" s="105">
        <v>5</v>
      </c>
      <c r="AH30" s="105">
        <v>21</v>
      </c>
      <c r="AX30" s="105">
        <v>0</v>
      </c>
      <c r="AY30" s="105">
        <v>15</v>
      </c>
      <c r="AZ30" s="105">
        <v>14.5</v>
      </c>
      <c r="BA30" s="105">
        <v>7</v>
      </c>
      <c r="BC30" s="105">
        <v>2024</v>
      </c>
    </row>
    <row r="31" spans="1:55">
      <c r="A31" s="158">
        <v>5</v>
      </c>
      <c r="B31" s="107" t="s">
        <v>16736</v>
      </c>
      <c r="C31" s="105" t="s">
        <v>135</v>
      </c>
      <c r="E31" s="139">
        <v>32</v>
      </c>
      <c r="F31" s="105">
        <v>2618</v>
      </c>
      <c r="G31" s="105">
        <v>229</v>
      </c>
      <c r="I31" s="105">
        <v>1</v>
      </c>
      <c r="J31" s="117">
        <v>3426</v>
      </c>
      <c r="K31" s="139">
        <v>60</v>
      </c>
      <c r="L31" s="105">
        <v>0</v>
      </c>
      <c r="R31" s="105">
        <v>10</v>
      </c>
      <c r="S31" s="105">
        <v>2</v>
      </c>
      <c r="T31" s="105">
        <v>3</v>
      </c>
      <c r="U31" s="105">
        <v>3</v>
      </c>
      <c r="V31" s="105">
        <v>0</v>
      </c>
      <c r="W31" s="105">
        <v>155</v>
      </c>
      <c r="X31" s="105">
        <v>12</v>
      </c>
      <c r="Y31" s="105">
        <v>17</v>
      </c>
      <c r="Z31" s="105">
        <v>28</v>
      </c>
      <c r="AA31" s="105">
        <v>0</v>
      </c>
      <c r="AC31" s="105">
        <v>0</v>
      </c>
      <c r="AH31" s="105">
        <v>0</v>
      </c>
      <c r="AX31" s="105">
        <v>0</v>
      </c>
      <c r="AY31" s="105">
        <v>1</v>
      </c>
      <c r="AZ31" s="105">
        <v>25</v>
      </c>
      <c r="BA31" s="105">
        <v>0</v>
      </c>
      <c r="BC31" s="105">
        <v>2024</v>
      </c>
    </row>
    <row r="32" spans="1:55">
      <c r="A32" s="158">
        <v>5</v>
      </c>
      <c r="B32" s="107" t="s">
        <v>16736</v>
      </c>
      <c r="C32" s="105" t="s">
        <v>136</v>
      </c>
      <c r="E32" s="139">
        <v>228</v>
      </c>
      <c r="F32" s="105">
        <v>12340</v>
      </c>
      <c r="G32" s="105">
        <v>747</v>
      </c>
      <c r="I32" s="105">
        <v>4</v>
      </c>
      <c r="J32" s="117">
        <v>20990</v>
      </c>
      <c r="K32" s="139">
        <v>28</v>
      </c>
      <c r="L32" s="105">
        <v>5</v>
      </c>
      <c r="R32" s="105">
        <v>21</v>
      </c>
      <c r="S32" s="105">
        <v>5</v>
      </c>
      <c r="T32" s="105">
        <v>5</v>
      </c>
      <c r="U32" s="105">
        <v>10</v>
      </c>
      <c r="V32" s="105">
        <v>5</v>
      </c>
      <c r="W32" s="105">
        <v>714</v>
      </c>
      <c r="X32" s="105">
        <v>70</v>
      </c>
      <c r="Y32" s="105">
        <v>84</v>
      </c>
      <c r="Z32" s="105">
        <v>96</v>
      </c>
      <c r="AA32" s="105">
        <v>894</v>
      </c>
      <c r="AC32" s="105">
        <v>1</v>
      </c>
      <c r="AH32" s="105">
        <v>770</v>
      </c>
      <c r="AX32" s="105">
        <v>504</v>
      </c>
      <c r="AY32" s="105">
        <v>2</v>
      </c>
      <c r="AZ32" s="105">
        <v>2</v>
      </c>
      <c r="BC32" s="105">
        <v>2024</v>
      </c>
    </row>
    <row r="33" spans="1:56">
      <c r="A33" s="158">
        <v>5</v>
      </c>
      <c r="B33" s="107" t="s">
        <v>16736</v>
      </c>
      <c r="C33" s="105" t="s">
        <v>138</v>
      </c>
      <c r="E33" s="139">
        <v>55</v>
      </c>
      <c r="F33" s="105">
        <v>3939</v>
      </c>
      <c r="G33" s="105">
        <v>163</v>
      </c>
      <c r="I33" s="105">
        <v>4</v>
      </c>
      <c r="J33" s="117">
        <v>5447</v>
      </c>
      <c r="K33" s="139">
        <v>9</v>
      </c>
      <c r="L33" s="105">
        <v>2</v>
      </c>
      <c r="R33" s="105">
        <v>4</v>
      </c>
      <c r="S33" s="105">
        <v>5</v>
      </c>
      <c r="T33" s="105">
        <v>2</v>
      </c>
      <c r="U33" s="105">
        <v>9</v>
      </c>
      <c r="V33" s="105">
        <v>3</v>
      </c>
      <c r="W33" s="105">
        <v>50</v>
      </c>
      <c r="X33" s="105">
        <v>51</v>
      </c>
      <c r="Y33" s="105">
        <v>11</v>
      </c>
      <c r="Z33" s="105">
        <v>91</v>
      </c>
      <c r="AA33" s="105">
        <v>3</v>
      </c>
      <c r="AC33" s="105">
        <v>0</v>
      </c>
      <c r="AH33" s="105">
        <v>0</v>
      </c>
      <c r="AX33" s="105">
        <v>411</v>
      </c>
      <c r="AY33" s="105">
        <v>1</v>
      </c>
      <c r="AZ33" s="105">
        <v>9</v>
      </c>
      <c r="BA33" s="105">
        <v>1</v>
      </c>
      <c r="BC33" s="105">
        <v>2024</v>
      </c>
    </row>
    <row r="34" spans="1:56">
      <c r="A34" s="158">
        <v>5</v>
      </c>
      <c r="B34" s="107" t="s">
        <v>16736</v>
      </c>
      <c r="C34" s="105" t="s">
        <v>140</v>
      </c>
      <c r="E34" s="139">
        <v>72</v>
      </c>
      <c r="F34" s="105">
        <v>3958</v>
      </c>
      <c r="G34" s="105">
        <v>451</v>
      </c>
      <c r="I34" s="105">
        <v>2</v>
      </c>
      <c r="J34" s="117">
        <v>4424</v>
      </c>
      <c r="K34" s="139">
        <v>98</v>
      </c>
      <c r="L34" s="105">
        <v>0</v>
      </c>
      <c r="R34" s="105">
        <v>10</v>
      </c>
      <c r="S34" s="105">
        <v>3</v>
      </c>
      <c r="T34" s="105">
        <v>7</v>
      </c>
      <c r="U34" s="105">
        <v>9</v>
      </c>
      <c r="V34" s="105">
        <v>1</v>
      </c>
      <c r="W34" s="105">
        <v>135</v>
      </c>
      <c r="X34" s="105">
        <v>72</v>
      </c>
      <c r="Y34" s="105">
        <v>7</v>
      </c>
      <c r="Z34" s="105">
        <v>69</v>
      </c>
      <c r="AA34" s="105">
        <v>112</v>
      </c>
      <c r="AX34" s="105">
        <v>0</v>
      </c>
      <c r="AY34" s="105">
        <v>3</v>
      </c>
      <c r="AZ34" s="105">
        <v>9</v>
      </c>
      <c r="BA34" s="105">
        <v>0</v>
      </c>
      <c r="BC34" s="105">
        <v>2024</v>
      </c>
    </row>
    <row r="35" spans="1:56">
      <c r="A35" s="158">
        <v>5</v>
      </c>
      <c r="B35" s="107" t="s">
        <v>16736</v>
      </c>
      <c r="C35" s="105" t="s">
        <v>224</v>
      </c>
      <c r="E35" s="140">
        <v>12</v>
      </c>
      <c r="F35" s="105">
        <v>571</v>
      </c>
      <c r="J35" s="118">
        <v>1324</v>
      </c>
      <c r="K35" s="140">
        <v>1</v>
      </c>
      <c r="R35" s="105">
        <v>1</v>
      </c>
      <c r="W35" s="105">
        <v>8</v>
      </c>
      <c r="AX35" s="105">
        <v>133</v>
      </c>
      <c r="BC35" s="105">
        <v>2024</v>
      </c>
    </row>
    <row r="36" spans="1:56" s="115" customFormat="1" ht="14.25">
      <c r="A36" s="159">
        <v>5</v>
      </c>
      <c r="B36" s="153" t="s">
        <v>16736</v>
      </c>
      <c r="C36" s="115" t="s">
        <v>191</v>
      </c>
      <c r="H36" s="115">
        <v>0</v>
      </c>
      <c r="J36" s="122"/>
      <c r="Q36" s="115">
        <v>6526</v>
      </c>
      <c r="BC36" s="115">
        <v>2024</v>
      </c>
    </row>
    <row r="37" spans="1:56" s="124" customFormat="1">
      <c r="A37" s="161">
        <v>6</v>
      </c>
      <c r="B37" s="155" t="s">
        <v>16737</v>
      </c>
      <c r="C37" s="124" t="s">
        <v>139</v>
      </c>
      <c r="E37" s="141">
        <v>325</v>
      </c>
      <c r="F37" s="124">
        <v>17538</v>
      </c>
      <c r="G37" s="124">
        <v>1922</v>
      </c>
      <c r="H37" s="124">
        <v>3497</v>
      </c>
      <c r="I37" s="124">
        <v>3</v>
      </c>
      <c r="J37" s="125">
        <v>21648</v>
      </c>
      <c r="K37" s="141">
        <v>122</v>
      </c>
      <c r="M37" s="124">
        <v>122</v>
      </c>
      <c r="N37" s="124">
        <v>4</v>
      </c>
      <c r="O37" s="124">
        <v>2857</v>
      </c>
      <c r="P37" s="124">
        <v>6142</v>
      </c>
      <c r="R37" s="124">
        <v>11</v>
      </c>
      <c r="S37" s="124">
        <v>4</v>
      </c>
      <c r="T37" s="124">
        <v>18</v>
      </c>
      <c r="U37" s="124">
        <v>19</v>
      </c>
      <c r="V37" s="124">
        <v>16</v>
      </c>
      <c r="W37" s="124">
        <v>456</v>
      </c>
      <c r="X37" s="124">
        <v>88</v>
      </c>
      <c r="Y37" s="124">
        <v>237</v>
      </c>
      <c r="Z37" s="124">
        <v>164</v>
      </c>
      <c r="AA37" s="124">
        <v>1609</v>
      </c>
      <c r="AY37" s="124">
        <v>15</v>
      </c>
      <c r="AZ37" s="124">
        <v>14</v>
      </c>
      <c r="BA37" s="124">
        <v>18</v>
      </c>
      <c r="BC37" s="124">
        <v>2024</v>
      </c>
      <c r="BD37" s="124">
        <v>159</v>
      </c>
    </row>
    <row r="38" spans="1:56" s="124" customFormat="1">
      <c r="A38" s="161">
        <v>6</v>
      </c>
      <c r="B38" s="155" t="s">
        <v>16737</v>
      </c>
      <c r="C38" s="124" t="s">
        <v>135</v>
      </c>
      <c r="E38" s="142">
        <v>50</v>
      </c>
      <c r="F38" s="124">
        <v>3142</v>
      </c>
      <c r="G38" s="124">
        <v>323</v>
      </c>
      <c r="H38" s="124">
        <v>505</v>
      </c>
      <c r="I38" s="124">
        <v>1</v>
      </c>
      <c r="J38" s="126">
        <v>4678</v>
      </c>
      <c r="K38" s="142">
        <v>57</v>
      </c>
      <c r="O38" s="124">
        <v>992</v>
      </c>
      <c r="P38" s="124">
        <v>1832</v>
      </c>
      <c r="R38" s="124">
        <v>11</v>
      </c>
      <c r="S38" s="124">
        <v>3</v>
      </c>
      <c r="T38" s="124">
        <v>2</v>
      </c>
      <c r="U38" s="124">
        <v>6</v>
      </c>
      <c r="V38" s="124">
        <v>7</v>
      </c>
      <c r="W38" s="124">
        <v>175</v>
      </c>
      <c r="X38" s="124">
        <v>47</v>
      </c>
      <c r="Y38" s="124">
        <v>17</v>
      </c>
      <c r="Z38" s="124">
        <v>46</v>
      </c>
      <c r="AA38" s="124">
        <v>260</v>
      </c>
      <c r="AY38" s="124">
        <v>28</v>
      </c>
      <c r="AZ38" s="124">
        <v>31</v>
      </c>
      <c r="BA38" s="124">
        <v>0</v>
      </c>
      <c r="BC38" s="124">
        <v>2024</v>
      </c>
      <c r="BD38" s="124">
        <v>43</v>
      </c>
    </row>
    <row r="39" spans="1:56" s="124" customFormat="1">
      <c r="A39" s="161">
        <v>6</v>
      </c>
      <c r="B39" s="155" t="s">
        <v>16737</v>
      </c>
      <c r="C39" s="124" t="s">
        <v>136</v>
      </c>
      <c r="E39" s="142">
        <v>329</v>
      </c>
      <c r="F39" s="124">
        <v>12647</v>
      </c>
      <c r="G39" s="124">
        <v>913</v>
      </c>
      <c r="H39" s="124">
        <v>1944</v>
      </c>
      <c r="I39" s="124">
        <v>0</v>
      </c>
      <c r="J39" s="126">
        <v>23998</v>
      </c>
      <c r="K39" s="142">
        <v>28</v>
      </c>
      <c r="O39" s="124">
        <v>1523</v>
      </c>
      <c r="P39" s="124">
        <v>6441</v>
      </c>
      <c r="R39" s="124">
        <v>22</v>
      </c>
      <c r="S39" s="124">
        <v>4</v>
      </c>
      <c r="T39" s="124">
        <v>7</v>
      </c>
      <c r="U39" s="124">
        <v>8</v>
      </c>
      <c r="V39" s="124">
        <v>17</v>
      </c>
      <c r="W39" s="124">
        <v>684</v>
      </c>
      <c r="X39" s="124">
        <v>113</v>
      </c>
      <c r="Y39" s="124">
        <v>71</v>
      </c>
      <c r="Z39" s="124">
        <v>76</v>
      </c>
      <c r="AA39" s="124">
        <v>998</v>
      </c>
      <c r="AY39" s="124">
        <v>0</v>
      </c>
      <c r="AZ39" s="124">
        <v>0</v>
      </c>
      <c r="BA39" s="124">
        <v>0</v>
      </c>
      <c r="BC39" s="124">
        <v>2024</v>
      </c>
      <c r="BD39" s="124">
        <v>241</v>
      </c>
    </row>
    <row r="40" spans="1:56" s="124" customFormat="1">
      <c r="A40" s="161">
        <v>6</v>
      </c>
      <c r="B40" s="155" t="s">
        <v>16737</v>
      </c>
      <c r="C40" s="124" t="s">
        <v>138</v>
      </c>
      <c r="E40" s="142">
        <v>91</v>
      </c>
      <c r="F40" s="124">
        <v>4927</v>
      </c>
      <c r="G40" s="124">
        <v>202</v>
      </c>
      <c r="H40" s="124">
        <v>665</v>
      </c>
      <c r="I40" s="124">
        <v>6</v>
      </c>
      <c r="J40" s="126">
        <v>6109</v>
      </c>
      <c r="K40" s="142">
        <v>18</v>
      </c>
      <c r="O40" s="124">
        <v>1337</v>
      </c>
      <c r="P40" s="124">
        <v>2787</v>
      </c>
      <c r="R40" s="124">
        <v>6</v>
      </c>
      <c r="S40" s="124">
        <v>3</v>
      </c>
      <c r="T40" s="124">
        <v>3</v>
      </c>
      <c r="U40" s="124">
        <v>9</v>
      </c>
      <c r="V40" s="124">
        <v>1</v>
      </c>
      <c r="W40" s="124">
        <v>138</v>
      </c>
      <c r="X40" s="124">
        <v>32</v>
      </c>
      <c r="Y40" s="124">
        <v>31</v>
      </c>
      <c r="Z40" s="124">
        <v>71</v>
      </c>
      <c r="AA40" s="124">
        <v>72</v>
      </c>
      <c r="AY40" s="124">
        <v>1</v>
      </c>
      <c r="AZ40" s="124">
        <v>20</v>
      </c>
      <c r="BA40" s="124">
        <v>5</v>
      </c>
      <c r="BC40" s="124">
        <v>2024</v>
      </c>
      <c r="BD40" s="124">
        <v>128</v>
      </c>
    </row>
    <row r="41" spans="1:56" s="124" customFormat="1">
      <c r="A41" s="161">
        <v>6</v>
      </c>
      <c r="B41" s="155" t="s">
        <v>16737</v>
      </c>
      <c r="C41" s="124" t="s">
        <v>140</v>
      </c>
      <c r="E41" s="142">
        <v>91</v>
      </c>
      <c r="F41" s="124">
        <v>4363</v>
      </c>
      <c r="G41" s="124">
        <v>482</v>
      </c>
      <c r="H41" s="124">
        <v>877</v>
      </c>
      <c r="I41" s="124">
        <v>2</v>
      </c>
      <c r="J41" s="126">
        <v>5010</v>
      </c>
      <c r="K41" s="142">
        <v>95</v>
      </c>
      <c r="O41" s="124">
        <v>1349</v>
      </c>
      <c r="P41" s="124">
        <v>2303</v>
      </c>
      <c r="R41" s="124">
        <v>11</v>
      </c>
      <c r="S41" s="124">
        <v>8</v>
      </c>
      <c r="T41" s="124">
        <v>1</v>
      </c>
      <c r="U41" s="124">
        <v>6</v>
      </c>
      <c r="V41" s="124">
        <v>0</v>
      </c>
      <c r="W41" s="124">
        <v>204</v>
      </c>
      <c r="X41" s="124">
        <v>452</v>
      </c>
      <c r="Y41" s="124">
        <v>7</v>
      </c>
      <c r="Z41" s="124">
        <v>40</v>
      </c>
      <c r="AA41" s="124">
        <v>0</v>
      </c>
      <c r="AY41" s="124">
        <v>6</v>
      </c>
      <c r="AZ41" s="124">
        <v>12</v>
      </c>
      <c r="BA41" s="124">
        <v>3</v>
      </c>
      <c r="BC41" s="124">
        <v>2024</v>
      </c>
      <c r="BD41" s="124">
        <v>59</v>
      </c>
    </row>
    <row r="42" spans="1:56" s="124" customFormat="1">
      <c r="A42" s="161">
        <v>6</v>
      </c>
      <c r="B42" s="155" t="s">
        <v>16737</v>
      </c>
      <c r="C42" s="124" t="s">
        <v>134</v>
      </c>
      <c r="E42" s="143">
        <v>36</v>
      </c>
      <c r="F42" s="124">
        <v>756</v>
      </c>
      <c r="J42" s="127">
        <v>1498</v>
      </c>
      <c r="K42" s="143">
        <v>4</v>
      </c>
      <c r="O42" s="124">
        <v>19</v>
      </c>
      <c r="P42" s="124">
        <v>397</v>
      </c>
      <c r="R42" s="124">
        <v>1</v>
      </c>
      <c r="S42" s="124">
        <v>0</v>
      </c>
      <c r="T42" s="124">
        <v>0</v>
      </c>
      <c r="U42" s="124">
        <v>0</v>
      </c>
      <c r="V42" s="124">
        <v>0</v>
      </c>
      <c r="W42" s="124">
        <v>10</v>
      </c>
      <c r="X42" s="124">
        <v>0</v>
      </c>
      <c r="Y42" s="124">
        <v>0</v>
      </c>
      <c r="Z42" s="124">
        <v>0</v>
      </c>
      <c r="AA42" s="124">
        <v>0</v>
      </c>
      <c r="AY42" s="124">
        <v>0</v>
      </c>
      <c r="AZ42" s="124">
        <v>0</v>
      </c>
      <c r="BA42" s="124">
        <v>0</v>
      </c>
      <c r="BC42" s="124">
        <v>2024</v>
      </c>
    </row>
    <row r="43" spans="1:56">
      <c r="A43" s="158">
        <v>7</v>
      </c>
      <c r="B43" s="107" t="s">
        <v>133</v>
      </c>
      <c r="C43" s="105" t="s">
        <v>139</v>
      </c>
      <c r="E43" s="105">
        <v>241</v>
      </c>
      <c r="F43" s="105">
        <v>19042</v>
      </c>
      <c r="G43" s="105">
        <v>2069</v>
      </c>
      <c r="I43" s="105">
        <v>2</v>
      </c>
      <c r="J43" s="128">
        <v>20255</v>
      </c>
      <c r="K43" s="135">
        <v>150</v>
      </c>
      <c r="L43" s="105">
        <v>40</v>
      </c>
      <c r="M43" s="105">
        <v>11</v>
      </c>
      <c r="N43" s="105">
        <v>136</v>
      </c>
      <c r="R43" s="105">
        <v>11</v>
      </c>
      <c r="S43" s="105">
        <v>5</v>
      </c>
      <c r="T43" s="105">
        <v>25</v>
      </c>
      <c r="U43" s="105">
        <v>20</v>
      </c>
      <c r="V43" s="105">
        <v>13</v>
      </c>
      <c r="W43" s="105">
        <v>652</v>
      </c>
      <c r="X43" s="105">
        <v>153</v>
      </c>
      <c r="Y43" s="105">
        <v>315</v>
      </c>
      <c r="Z43" s="105">
        <v>165</v>
      </c>
      <c r="AA43" s="105">
        <v>1092</v>
      </c>
      <c r="AC43" s="105">
        <v>2</v>
      </c>
      <c r="AH43" s="105">
        <v>71</v>
      </c>
      <c r="AX43" s="105">
        <v>674</v>
      </c>
      <c r="AY43" s="105">
        <v>9</v>
      </c>
      <c r="AZ43" s="105">
        <v>53</v>
      </c>
      <c r="BA43" s="105">
        <v>7</v>
      </c>
      <c r="BC43" s="105">
        <v>2024</v>
      </c>
    </row>
    <row r="44" spans="1:56">
      <c r="A44" s="158">
        <v>7</v>
      </c>
      <c r="B44" s="107" t="s">
        <v>133</v>
      </c>
      <c r="C44" s="105" t="s">
        <v>135</v>
      </c>
      <c r="E44" s="105">
        <v>33</v>
      </c>
      <c r="F44" s="105">
        <v>3101</v>
      </c>
      <c r="G44" s="105">
        <v>320</v>
      </c>
      <c r="J44" s="129">
        <v>4061</v>
      </c>
      <c r="K44" s="136">
        <v>65</v>
      </c>
      <c r="L44" s="105">
        <v>0</v>
      </c>
      <c r="R44" s="105">
        <v>14</v>
      </c>
      <c r="S44" s="105">
        <v>3</v>
      </c>
      <c r="T44" s="105">
        <v>5</v>
      </c>
      <c r="U44" s="105">
        <v>6</v>
      </c>
      <c r="V44" s="105">
        <v>6</v>
      </c>
      <c r="W44" s="105">
        <v>177</v>
      </c>
      <c r="X44" s="105">
        <v>17</v>
      </c>
      <c r="Y44" s="105">
        <v>30</v>
      </c>
      <c r="Z44" s="105">
        <v>53</v>
      </c>
      <c r="AA44" s="105">
        <v>106</v>
      </c>
      <c r="AX44" s="105">
        <v>108</v>
      </c>
      <c r="AY44" s="105">
        <v>17</v>
      </c>
      <c r="AZ44" s="105">
        <v>20.5</v>
      </c>
      <c r="BC44" s="105">
        <v>2024</v>
      </c>
    </row>
    <row r="45" spans="1:56">
      <c r="A45" s="158">
        <v>7</v>
      </c>
      <c r="B45" s="107" t="s">
        <v>133</v>
      </c>
      <c r="C45" s="105" t="s">
        <v>136</v>
      </c>
      <c r="E45" s="105">
        <v>332</v>
      </c>
      <c r="F45" s="105">
        <v>13217</v>
      </c>
      <c r="G45" s="105">
        <v>935</v>
      </c>
      <c r="I45" s="105">
        <v>2</v>
      </c>
      <c r="J45" s="129">
        <v>25017</v>
      </c>
      <c r="K45" s="136">
        <v>30</v>
      </c>
      <c r="L45" s="105">
        <v>5</v>
      </c>
      <c r="R45" s="105">
        <v>24</v>
      </c>
      <c r="S45" s="105">
        <v>5</v>
      </c>
      <c r="T45" s="105">
        <v>7</v>
      </c>
      <c r="U45" s="105">
        <v>8</v>
      </c>
      <c r="V45" s="105">
        <v>15</v>
      </c>
      <c r="W45" s="105">
        <v>737</v>
      </c>
      <c r="X45" s="105">
        <v>95</v>
      </c>
      <c r="Y45" s="105">
        <v>86</v>
      </c>
      <c r="Z45" s="105">
        <v>75</v>
      </c>
      <c r="AA45" s="105">
        <v>741</v>
      </c>
      <c r="AC45" s="105">
        <v>1</v>
      </c>
      <c r="AH45" s="105">
        <v>12</v>
      </c>
      <c r="AX45" s="105">
        <v>491</v>
      </c>
      <c r="AY45" s="105">
        <v>1</v>
      </c>
      <c r="AZ45" s="105">
        <v>1</v>
      </c>
      <c r="BC45" s="105">
        <v>2024</v>
      </c>
    </row>
    <row r="46" spans="1:56">
      <c r="A46" s="158">
        <v>7</v>
      </c>
      <c r="B46" s="107" t="s">
        <v>133</v>
      </c>
      <c r="C46" s="105" t="s">
        <v>138</v>
      </c>
      <c r="E46" s="105">
        <v>75</v>
      </c>
      <c r="F46" s="105">
        <v>4727</v>
      </c>
      <c r="J46" s="129">
        <v>6425</v>
      </c>
      <c r="K46" s="136">
        <v>13</v>
      </c>
      <c r="BC46" s="105">
        <v>2024</v>
      </c>
    </row>
    <row r="47" spans="1:56">
      <c r="A47" s="158">
        <v>7</v>
      </c>
      <c r="B47" s="107" t="s">
        <v>133</v>
      </c>
      <c r="C47" s="105" t="s">
        <v>140</v>
      </c>
      <c r="E47" s="105">
        <v>72</v>
      </c>
      <c r="F47" s="105">
        <v>4740</v>
      </c>
      <c r="G47" s="105">
        <v>538</v>
      </c>
      <c r="I47" s="105">
        <v>2</v>
      </c>
      <c r="J47" s="129">
        <v>4886</v>
      </c>
      <c r="K47" s="136">
        <v>118</v>
      </c>
      <c r="L47" s="105">
        <v>0</v>
      </c>
      <c r="R47" s="105">
        <v>9</v>
      </c>
      <c r="S47" s="105">
        <v>10</v>
      </c>
      <c r="T47" s="105">
        <v>3</v>
      </c>
      <c r="U47" s="105">
        <v>7</v>
      </c>
      <c r="V47" s="105">
        <v>0</v>
      </c>
      <c r="W47" s="105">
        <v>143</v>
      </c>
      <c r="X47" s="105">
        <v>292</v>
      </c>
      <c r="Y47" s="105">
        <v>32</v>
      </c>
      <c r="Z47" s="105">
        <v>114</v>
      </c>
      <c r="AA47" s="105">
        <v>0</v>
      </c>
      <c r="AC47" s="105">
        <v>0</v>
      </c>
      <c r="AH47" s="105">
        <v>0</v>
      </c>
      <c r="AX47" s="105">
        <v>35</v>
      </c>
      <c r="AY47" s="105">
        <v>6</v>
      </c>
      <c r="AZ47" s="105">
        <v>108</v>
      </c>
      <c r="BA47" s="105">
        <v>0</v>
      </c>
      <c r="BC47" s="105">
        <v>2024</v>
      </c>
    </row>
    <row r="48" spans="1:56">
      <c r="A48" s="158">
        <v>7</v>
      </c>
      <c r="B48" s="107" t="s">
        <v>133</v>
      </c>
      <c r="C48" s="105" t="s">
        <v>134</v>
      </c>
      <c r="E48" s="105">
        <v>24</v>
      </c>
      <c r="F48" s="105">
        <v>815</v>
      </c>
      <c r="J48" s="130">
        <v>1682</v>
      </c>
      <c r="K48" s="137">
        <v>0</v>
      </c>
      <c r="BC48" s="105">
        <v>2024</v>
      </c>
    </row>
    <row r="49" spans="1:55" s="115" customFormat="1" ht="14.25">
      <c r="A49" s="159">
        <v>7</v>
      </c>
      <c r="B49" s="153" t="s">
        <v>133</v>
      </c>
      <c r="C49" s="115" t="s">
        <v>191</v>
      </c>
      <c r="E49" s="105"/>
      <c r="H49" s="115">
        <v>0</v>
      </c>
      <c r="J49" s="122"/>
      <c r="Q49" s="115">
        <v>4827</v>
      </c>
      <c r="BC49" s="115">
        <v>2024</v>
      </c>
    </row>
    <row r="50" spans="1:55" ht="14.25">
      <c r="A50" s="158">
        <v>8</v>
      </c>
      <c r="B50" s="107" t="s">
        <v>137</v>
      </c>
      <c r="C50" s="105" t="s">
        <v>139</v>
      </c>
      <c r="E50" s="105">
        <v>248</v>
      </c>
      <c r="F50" s="105">
        <v>14835</v>
      </c>
      <c r="G50" s="105">
        <v>1918</v>
      </c>
      <c r="J50" s="116">
        <v>15733</v>
      </c>
      <c r="K50" s="132">
        <v>146</v>
      </c>
      <c r="L50" s="105">
        <v>20</v>
      </c>
      <c r="M50" s="115">
        <v>5</v>
      </c>
      <c r="N50" s="115">
        <v>116</v>
      </c>
      <c r="T50" s="105">
        <v>5</v>
      </c>
      <c r="U50" s="105">
        <v>16</v>
      </c>
      <c r="V50" s="105">
        <v>1</v>
      </c>
      <c r="Y50" s="105">
        <v>46</v>
      </c>
      <c r="Z50" s="105">
        <v>135</v>
      </c>
      <c r="AA50" s="105">
        <v>34</v>
      </c>
      <c r="AX50" s="105">
        <v>244</v>
      </c>
      <c r="AY50" s="105">
        <v>50</v>
      </c>
      <c r="AZ50" s="105">
        <v>375</v>
      </c>
      <c r="BA50" s="105">
        <v>21</v>
      </c>
      <c r="BC50" s="105">
        <v>2024</v>
      </c>
    </row>
    <row r="51" spans="1:55">
      <c r="A51" s="158">
        <v>8</v>
      </c>
      <c r="B51" s="107" t="s">
        <v>137</v>
      </c>
      <c r="C51" s="105" t="s">
        <v>135</v>
      </c>
      <c r="E51" s="105">
        <v>51</v>
      </c>
      <c r="F51" s="105">
        <v>2957</v>
      </c>
      <c r="G51" s="105">
        <v>353</v>
      </c>
      <c r="I51" s="105">
        <v>1</v>
      </c>
      <c r="J51" s="117">
        <v>3440</v>
      </c>
      <c r="K51" s="133">
        <v>54</v>
      </c>
      <c r="L51" s="105">
        <v>0</v>
      </c>
      <c r="R51" s="105">
        <v>1</v>
      </c>
      <c r="U51" s="105">
        <v>4</v>
      </c>
      <c r="V51" s="105">
        <v>1</v>
      </c>
      <c r="W51" s="105">
        <v>16</v>
      </c>
      <c r="Z51" s="105">
        <v>20</v>
      </c>
      <c r="AA51" s="105">
        <v>5</v>
      </c>
      <c r="AX51" s="105">
        <v>100</v>
      </c>
      <c r="AY51" s="105">
        <v>26</v>
      </c>
      <c r="AZ51" s="105">
        <v>76.5</v>
      </c>
      <c r="BC51" s="105">
        <v>2024</v>
      </c>
    </row>
    <row r="52" spans="1:55">
      <c r="A52" s="158">
        <v>8</v>
      </c>
      <c r="B52" s="107" t="s">
        <v>137</v>
      </c>
      <c r="C52" s="105" t="s">
        <v>136</v>
      </c>
      <c r="E52" s="105">
        <v>191</v>
      </c>
      <c r="F52" s="105">
        <v>9858</v>
      </c>
      <c r="G52" s="105">
        <v>765</v>
      </c>
      <c r="I52" s="105">
        <v>3</v>
      </c>
      <c r="J52" s="117">
        <v>20930</v>
      </c>
      <c r="K52" s="133">
        <v>30</v>
      </c>
      <c r="L52" s="105">
        <v>5</v>
      </c>
      <c r="S52" s="105">
        <v>1</v>
      </c>
      <c r="U52" s="105">
        <v>6</v>
      </c>
      <c r="V52" s="105">
        <v>1</v>
      </c>
      <c r="X52" s="105">
        <v>15</v>
      </c>
      <c r="Z52" s="105">
        <v>50</v>
      </c>
      <c r="AA52" s="105">
        <v>52</v>
      </c>
      <c r="AX52" s="105">
        <v>242</v>
      </c>
      <c r="AY52" s="105">
        <v>17</v>
      </c>
      <c r="AZ52" s="105">
        <v>133</v>
      </c>
      <c r="BC52" s="105">
        <v>2024</v>
      </c>
    </row>
    <row r="53" spans="1:55">
      <c r="A53" s="158">
        <v>8</v>
      </c>
      <c r="B53" s="107" t="s">
        <v>137</v>
      </c>
      <c r="C53" s="105" t="s">
        <v>138</v>
      </c>
      <c r="E53" s="105">
        <v>60</v>
      </c>
      <c r="F53" s="105">
        <v>3610</v>
      </c>
      <c r="G53" s="105">
        <v>196</v>
      </c>
      <c r="I53" s="105">
        <v>10</v>
      </c>
      <c r="J53" s="117">
        <v>5285</v>
      </c>
      <c r="K53" s="133">
        <v>16</v>
      </c>
      <c r="L53" s="105">
        <v>0</v>
      </c>
      <c r="R53" s="105">
        <v>1</v>
      </c>
      <c r="S53" s="105">
        <v>0</v>
      </c>
      <c r="T53" s="105">
        <v>0</v>
      </c>
      <c r="U53" s="105">
        <v>10</v>
      </c>
      <c r="V53" s="105">
        <v>4</v>
      </c>
      <c r="W53" s="105">
        <v>7</v>
      </c>
      <c r="X53" s="105">
        <v>0</v>
      </c>
      <c r="Y53" s="105">
        <v>0</v>
      </c>
      <c r="Z53" s="105">
        <v>82</v>
      </c>
      <c r="AA53" s="105">
        <v>27</v>
      </c>
      <c r="AC53" s="105">
        <v>0</v>
      </c>
      <c r="AH53" s="105">
        <v>0</v>
      </c>
      <c r="AX53" s="105">
        <v>249</v>
      </c>
      <c r="AY53" s="105">
        <v>11</v>
      </c>
      <c r="AZ53" s="105">
        <v>81.5</v>
      </c>
      <c r="BA53" s="105">
        <v>3</v>
      </c>
      <c r="BC53" s="105">
        <v>2024</v>
      </c>
    </row>
    <row r="54" spans="1:55">
      <c r="A54" s="158">
        <v>8</v>
      </c>
      <c r="B54" s="107" t="s">
        <v>137</v>
      </c>
      <c r="C54" s="105" t="s">
        <v>140</v>
      </c>
      <c r="E54" s="105">
        <v>130</v>
      </c>
      <c r="F54" s="105">
        <v>3663</v>
      </c>
      <c r="G54" s="105">
        <v>516</v>
      </c>
      <c r="I54" s="105">
        <v>3</v>
      </c>
      <c r="J54" s="117">
        <v>4017</v>
      </c>
      <c r="K54" s="133">
        <v>100</v>
      </c>
      <c r="L54" s="105">
        <v>0</v>
      </c>
      <c r="U54" s="105">
        <v>2</v>
      </c>
      <c r="Z54" s="105">
        <v>15</v>
      </c>
      <c r="AC54" s="105">
        <v>1</v>
      </c>
      <c r="AH54" s="105">
        <v>40</v>
      </c>
      <c r="AX54" s="105">
        <v>0</v>
      </c>
      <c r="AY54" s="105">
        <v>6</v>
      </c>
      <c r="AZ54" s="105">
        <v>30</v>
      </c>
      <c r="BA54" s="105">
        <v>0</v>
      </c>
      <c r="BC54" s="105">
        <v>2024</v>
      </c>
    </row>
    <row r="55" spans="1:55">
      <c r="A55" s="158">
        <v>8</v>
      </c>
      <c r="B55" s="107" t="s">
        <v>137</v>
      </c>
      <c r="C55" s="105" t="s">
        <v>224</v>
      </c>
      <c r="E55" s="105">
        <v>34</v>
      </c>
      <c r="F55" s="105">
        <v>732</v>
      </c>
      <c r="J55" s="118">
        <v>1322</v>
      </c>
      <c r="K55" s="134">
        <v>5</v>
      </c>
      <c r="AX55" s="105">
        <v>283</v>
      </c>
      <c r="BA55" s="105">
        <v>6</v>
      </c>
      <c r="BC55" s="105">
        <v>2024</v>
      </c>
    </row>
    <row r="56" spans="1:55" s="115" customFormat="1" ht="14.25">
      <c r="A56" s="159">
        <v>8</v>
      </c>
      <c r="B56" s="153" t="s">
        <v>137</v>
      </c>
      <c r="C56" s="115" t="s">
        <v>191</v>
      </c>
      <c r="E56" s="105"/>
      <c r="J56" s="122"/>
      <c r="Q56" s="115">
        <v>5786</v>
      </c>
      <c r="BC56" s="115">
        <v>2024</v>
      </c>
    </row>
    <row r="57" spans="1:55">
      <c r="A57" s="158">
        <v>9</v>
      </c>
      <c r="B57" s="107" t="s">
        <v>223</v>
      </c>
      <c r="C57" s="105" t="s">
        <v>139</v>
      </c>
      <c r="E57" s="105">
        <v>202</v>
      </c>
      <c r="F57" s="105">
        <v>14352</v>
      </c>
      <c r="I57" s="105">
        <v>2</v>
      </c>
      <c r="J57" s="116">
        <v>15869</v>
      </c>
      <c r="K57" s="132">
        <v>125</v>
      </c>
      <c r="L57" s="105">
        <v>26</v>
      </c>
      <c r="M57" s="105">
        <v>5</v>
      </c>
      <c r="N57" s="105">
        <v>136</v>
      </c>
      <c r="R57" s="105">
        <v>27</v>
      </c>
      <c r="S57" s="105">
        <v>7</v>
      </c>
      <c r="T57" s="105">
        <v>11</v>
      </c>
      <c r="U57" s="105">
        <v>21</v>
      </c>
      <c r="V57" s="105">
        <v>7</v>
      </c>
      <c r="W57" s="105">
        <v>1083</v>
      </c>
      <c r="X57" s="105">
        <v>1357</v>
      </c>
      <c r="Y57" s="105">
        <v>123</v>
      </c>
      <c r="Z57" s="105">
        <v>184</v>
      </c>
      <c r="AA57" s="105">
        <v>813</v>
      </c>
      <c r="AC57" s="105">
        <v>8</v>
      </c>
      <c r="AH57" s="105">
        <v>2010</v>
      </c>
      <c r="AX57" s="105">
        <v>75</v>
      </c>
      <c r="AY57" s="105">
        <v>10</v>
      </c>
      <c r="AZ57" s="105">
        <v>28</v>
      </c>
      <c r="BA57" s="105">
        <v>3</v>
      </c>
      <c r="BC57" s="105">
        <v>2024</v>
      </c>
    </row>
    <row r="58" spans="1:55">
      <c r="A58" s="158">
        <v>9</v>
      </c>
      <c r="B58" s="107" t="s">
        <v>223</v>
      </c>
      <c r="C58" s="105" t="s">
        <v>135</v>
      </c>
      <c r="E58" s="105">
        <v>34</v>
      </c>
      <c r="F58" s="105">
        <v>2576</v>
      </c>
      <c r="G58" s="105">
        <v>265</v>
      </c>
      <c r="I58" s="105">
        <v>1</v>
      </c>
      <c r="J58" s="117">
        <v>3232</v>
      </c>
      <c r="K58" s="133">
        <v>51</v>
      </c>
      <c r="R58" s="105">
        <v>9</v>
      </c>
      <c r="S58" s="105">
        <v>2</v>
      </c>
      <c r="T58" s="105">
        <v>2</v>
      </c>
      <c r="U58" s="105">
        <v>6</v>
      </c>
      <c r="V58" s="105">
        <v>2</v>
      </c>
      <c r="W58" s="105">
        <v>118</v>
      </c>
      <c r="X58" s="105">
        <v>28</v>
      </c>
      <c r="Y58" s="105">
        <v>8</v>
      </c>
      <c r="Z58" s="105">
        <v>48</v>
      </c>
      <c r="AA58" s="105">
        <v>65</v>
      </c>
      <c r="AX58" s="105">
        <v>115</v>
      </c>
      <c r="AY58" s="105">
        <v>4</v>
      </c>
      <c r="AZ58" s="105">
        <v>9.5</v>
      </c>
      <c r="BC58" s="105">
        <v>2024</v>
      </c>
    </row>
    <row r="59" spans="1:55">
      <c r="A59" s="158">
        <v>9</v>
      </c>
      <c r="B59" s="107" t="s">
        <v>223</v>
      </c>
      <c r="C59" s="105" t="s">
        <v>136</v>
      </c>
      <c r="E59" s="105">
        <v>208</v>
      </c>
      <c r="F59" s="105">
        <v>10362</v>
      </c>
      <c r="G59" s="105">
        <v>672</v>
      </c>
      <c r="I59" s="105">
        <v>2</v>
      </c>
      <c r="J59" s="117">
        <v>18375</v>
      </c>
      <c r="K59" s="133">
        <v>27</v>
      </c>
      <c r="L59" s="105">
        <v>5</v>
      </c>
      <c r="R59" s="105">
        <v>31</v>
      </c>
      <c r="S59" s="105">
        <v>5</v>
      </c>
      <c r="T59" s="105">
        <v>7</v>
      </c>
      <c r="U59" s="105">
        <v>11</v>
      </c>
      <c r="V59" s="105">
        <v>1</v>
      </c>
      <c r="W59" s="105">
        <v>819</v>
      </c>
      <c r="X59" s="105">
        <v>66</v>
      </c>
      <c r="Y59" s="105">
        <v>85</v>
      </c>
      <c r="Z59" s="105">
        <v>88</v>
      </c>
      <c r="AA59" s="105">
        <v>62</v>
      </c>
      <c r="AX59" s="105">
        <v>407</v>
      </c>
      <c r="AY59" s="105">
        <v>2</v>
      </c>
      <c r="AZ59" s="105">
        <v>9</v>
      </c>
      <c r="BC59" s="105">
        <v>2024</v>
      </c>
    </row>
    <row r="60" spans="1:55">
      <c r="A60" s="158">
        <v>9</v>
      </c>
      <c r="B60" s="107" t="s">
        <v>223</v>
      </c>
      <c r="C60" s="105" t="s">
        <v>138</v>
      </c>
      <c r="E60" s="105">
        <v>40</v>
      </c>
      <c r="F60" s="105">
        <v>3476</v>
      </c>
      <c r="G60" s="105">
        <v>162</v>
      </c>
      <c r="I60" s="105">
        <v>11</v>
      </c>
      <c r="J60" s="117">
        <v>4702</v>
      </c>
      <c r="K60" s="133">
        <v>16</v>
      </c>
      <c r="L60" s="105">
        <v>0</v>
      </c>
      <c r="R60" s="105">
        <v>5</v>
      </c>
      <c r="S60" s="105">
        <v>5</v>
      </c>
      <c r="T60" s="105">
        <v>1</v>
      </c>
      <c r="U60" s="105">
        <v>9</v>
      </c>
      <c r="V60" s="105">
        <v>3</v>
      </c>
      <c r="W60" s="105">
        <v>82</v>
      </c>
      <c r="X60" s="105">
        <v>74</v>
      </c>
      <c r="Y60" s="105">
        <v>3</v>
      </c>
      <c r="Z60" s="105">
        <v>59</v>
      </c>
      <c r="AA60" s="105">
        <v>8</v>
      </c>
      <c r="AC60" s="105">
        <v>0</v>
      </c>
      <c r="AH60" s="105">
        <v>0</v>
      </c>
      <c r="AX60" s="105">
        <v>256</v>
      </c>
      <c r="AY60" s="105">
        <v>1</v>
      </c>
      <c r="AZ60" s="105">
        <v>16.5</v>
      </c>
      <c r="BA60" s="105">
        <v>5</v>
      </c>
      <c r="BC60" s="105">
        <v>2024</v>
      </c>
    </row>
    <row r="61" spans="1:55">
      <c r="A61" s="158">
        <v>9</v>
      </c>
      <c r="B61" s="107" t="s">
        <v>223</v>
      </c>
      <c r="C61" s="105" t="s">
        <v>140</v>
      </c>
      <c r="E61" s="105">
        <v>62</v>
      </c>
      <c r="F61" s="105">
        <v>3624</v>
      </c>
      <c r="G61" s="105">
        <v>432</v>
      </c>
      <c r="I61" s="105">
        <v>3</v>
      </c>
      <c r="J61" s="117">
        <v>3843</v>
      </c>
      <c r="K61" s="133">
        <v>97</v>
      </c>
      <c r="L61" s="105">
        <v>0</v>
      </c>
      <c r="R61" s="105">
        <v>13</v>
      </c>
      <c r="S61" s="105">
        <v>3</v>
      </c>
      <c r="T61" s="105">
        <v>1</v>
      </c>
      <c r="U61" s="105">
        <v>9</v>
      </c>
      <c r="W61" s="105">
        <v>201</v>
      </c>
      <c r="X61" s="105">
        <v>81</v>
      </c>
      <c r="Y61" s="105">
        <v>4</v>
      </c>
      <c r="Z61" s="105">
        <v>78</v>
      </c>
      <c r="AC61" s="105">
        <v>1</v>
      </c>
      <c r="AH61" s="105">
        <v>200</v>
      </c>
      <c r="AX61" s="105">
        <v>26</v>
      </c>
      <c r="AY61" s="105">
        <v>11</v>
      </c>
      <c r="AZ61" s="105">
        <v>16</v>
      </c>
      <c r="BA61" s="105">
        <v>4</v>
      </c>
      <c r="BC61" s="105">
        <v>2024</v>
      </c>
    </row>
    <row r="62" spans="1:55">
      <c r="A62" s="158">
        <v>9</v>
      </c>
      <c r="B62" s="107" t="s">
        <v>223</v>
      </c>
      <c r="C62" s="105" t="s">
        <v>224</v>
      </c>
      <c r="E62" s="105">
        <v>31</v>
      </c>
      <c r="F62" s="105">
        <v>836</v>
      </c>
      <c r="J62" s="118">
        <v>1820</v>
      </c>
      <c r="K62" s="134">
        <v>1</v>
      </c>
      <c r="AX62" s="105">
        <v>398</v>
      </c>
      <c r="AY62" s="105">
        <v>3</v>
      </c>
      <c r="AZ62" s="105">
        <v>18</v>
      </c>
      <c r="BA62" s="105">
        <v>3</v>
      </c>
      <c r="BC62" s="105">
        <v>2024</v>
      </c>
    </row>
    <row r="63" spans="1:55" s="115" customFormat="1" ht="14.25">
      <c r="A63" s="159">
        <v>9</v>
      </c>
      <c r="B63" s="153" t="s">
        <v>223</v>
      </c>
      <c r="C63" s="115" t="s">
        <v>191</v>
      </c>
      <c r="E63" s="105"/>
      <c r="J63" s="122"/>
      <c r="Q63" s="115">
        <v>4221</v>
      </c>
      <c r="BC63" s="115">
        <v>2024</v>
      </c>
    </row>
    <row r="64" spans="1:55">
      <c r="A64" s="158">
        <v>10</v>
      </c>
      <c r="B64" s="107" t="s">
        <v>222</v>
      </c>
      <c r="C64" s="105" t="s">
        <v>139</v>
      </c>
      <c r="E64" s="132">
        <v>204</v>
      </c>
      <c r="F64" s="105">
        <v>15812</v>
      </c>
      <c r="G64" s="105">
        <v>1930</v>
      </c>
      <c r="I64" s="105">
        <v>3</v>
      </c>
      <c r="J64" s="116">
        <v>15985</v>
      </c>
      <c r="K64" s="132">
        <v>137</v>
      </c>
      <c r="L64" s="105">
        <v>31</v>
      </c>
      <c r="M64" s="105">
        <v>4</v>
      </c>
      <c r="N64" s="105">
        <v>115</v>
      </c>
      <c r="R64" s="105">
        <v>25</v>
      </c>
      <c r="S64" s="105">
        <v>9</v>
      </c>
      <c r="T64" s="105">
        <v>11</v>
      </c>
      <c r="U64" s="105">
        <v>20</v>
      </c>
      <c r="V64" s="105">
        <v>7</v>
      </c>
      <c r="W64" s="105">
        <v>959</v>
      </c>
      <c r="X64" s="105">
        <v>221</v>
      </c>
      <c r="Y64" s="105">
        <v>137</v>
      </c>
      <c r="Z64" s="105">
        <v>161</v>
      </c>
      <c r="AA64" s="105">
        <v>178</v>
      </c>
      <c r="AC64" s="105">
        <v>5</v>
      </c>
      <c r="AH64" s="105">
        <v>221</v>
      </c>
      <c r="AX64" s="105">
        <v>180</v>
      </c>
      <c r="AY64" s="105">
        <v>14</v>
      </c>
      <c r="AZ64" s="105">
        <v>47.75</v>
      </c>
      <c r="BA64" s="105">
        <v>13</v>
      </c>
      <c r="BC64" s="105">
        <v>2024</v>
      </c>
    </row>
    <row r="65" spans="1:55">
      <c r="A65" s="158">
        <v>10</v>
      </c>
      <c r="B65" s="107" t="s">
        <v>222</v>
      </c>
      <c r="C65" s="105" t="s">
        <v>135</v>
      </c>
      <c r="E65" s="133">
        <v>37</v>
      </c>
      <c r="F65" s="105">
        <v>2983</v>
      </c>
      <c r="G65" s="105">
        <v>288</v>
      </c>
      <c r="J65" s="117">
        <v>3272</v>
      </c>
      <c r="K65" s="133">
        <v>58</v>
      </c>
      <c r="R65" s="105">
        <v>12</v>
      </c>
      <c r="S65" s="105">
        <v>2</v>
      </c>
      <c r="T65" s="105">
        <v>2</v>
      </c>
      <c r="U65" s="105">
        <v>7</v>
      </c>
      <c r="V65" s="105">
        <v>3</v>
      </c>
      <c r="W65" s="105">
        <v>140</v>
      </c>
      <c r="X65" s="105">
        <v>16</v>
      </c>
      <c r="Y65" s="105">
        <v>11</v>
      </c>
      <c r="Z65" s="105">
        <v>60</v>
      </c>
      <c r="AA65" s="105">
        <v>251</v>
      </c>
      <c r="AX65" s="105">
        <v>86</v>
      </c>
      <c r="AY65" s="105">
        <v>30</v>
      </c>
      <c r="AZ65" s="105">
        <v>76</v>
      </c>
      <c r="BC65" s="105">
        <v>2024</v>
      </c>
    </row>
    <row r="66" spans="1:55">
      <c r="A66" s="158">
        <v>10</v>
      </c>
      <c r="B66" s="107" t="s">
        <v>222</v>
      </c>
      <c r="C66" s="105" t="s">
        <v>136</v>
      </c>
      <c r="E66" s="133">
        <v>180</v>
      </c>
      <c r="F66" s="105">
        <v>11091</v>
      </c>
      <c r="G66" s="105">
        <v>729</v>
      </c>
      <c r="J66" s="117">
        <v>19017</v>
      </c>
      <c r="K66" s="133">
        <v>34</v>
      </c>
      <c r="L66" s="105">
        <v>5</v>
      </c>
      <c r="R66" s="105">
        <v>40</v>
      </c>
      <c r="S66" s="105">
        <v>6</v>
      </c>
      <c r="T66" s="105">
        <v>8</v>
      </c>
      <c r="U66" s="105">
        <v>10</v>
      </c>
      <c r="V66" s="105">
        <v>4</v>
      </c>
      <c r="W66" s="105">
        <v>806</v>
      </c>
      <c r="X66" s="105">
        <v>82</v>
      </c>
      <c r="Y66" s="105">
        <v>71</v>
      </c>
      <c r="Z66" s="105">
        <v>100</v>
      </c>
      <c r="AA66" s="105">
        <v>108</v>
      </c>
      <c r="AX66" s="105">
        <v>328</v>
      </c>
      <c r="BC66" s="105">
        <v>2024</v>
      </c>
    </row>
    <row r="67" spans="1:55">
      <c r="A67" s="158">
        <v>10</v>
      </c>
      <c r="B67" s="107" t="s">
        <v>222</v>
      </c>
      <c r="C67" s="105" t="s">
        <v>138</v>
      </c>
      <c r="E67" s="133">
        <v>48</v>
      </c>
      <c r="F67" s="105">
        <v>3989</v>
      </c>
      <c r="G67" s="105">
        <v>167</v>
      </c>
      <c r="I67" s="105">
        <v>9</v>
      </c>
      <c r="J67" s="117">
        <v>4827</v>
      </c>
      <c r="K67" s="133">
        <v>15</v>
      </c>
      <c r="L67" s="105">
        <v>2</v>
      </c>
      <c r="R67" s="105">
        <v>8</v>
      </c>
      <c r="S67" s="105">
        <v>6</v>
      </c>
      <c r="T67" s="105">
        <v>3</v>
      </c>
      <c r="U67" s="105">
        <v>10</v>
      </c>
      <c r="V67" s="105">
        <v>3</v>
      </c>
      <c r="W67" s="105">
        <v>178</v>
      </c>
      <c r="X67" s="105">
        <v>78</v>
      </c>
      <c r="Y67" s="105">
        <v>13</v>
      </c>
      <c r="Z67" s="105">
        <v>83</v>
      </c>
      <c r="AA67" s="105">
        <v>13</v>
      </c>
      <c r="AC67" s="105">
        <v>1</v>
      </c>
      <c r="AH67" s="105">
        <v>24</v>
      </c>
      <c r="AX67" s="105">
        <v>290</v>
      </c>
      <c r="AY67" s="105">
        <v>1</v>
      </c>
      <c r="AZ67" s="105">
        <v>6</v>
      </c>
      <c r="BA67" s="105">
        <v>3</v>
      </c>
      <c r="BC67" s="105">
        <v>2024</v>
      </c>
    </row>
    <row r="68" spans="1:55">
      <c r="A68" s="158">
        <v>10</v>
      </c>
      <c r="B68" s="107" t="s">
        <v>222</v>
      </c>
      <c r="C68" s="105" t="s">
        <v>140</v>
      </c>
      <c r="E68" s="133">
        <v>85</v>
      </c>
      <c r="F68" s="105">
        <v>4509</v>
      </c>
      <c r="G68" s="105">
        <v>616</v>
      </c>
      <c r="I68" s="105">
        <v>1</v>
      </c>
      <c r="J68" s="117">
        <v>7422</v>
      </c>
      <c r="K68" s="133">
        <v>116</v>
      </c>
      <c r="L68" s="105">
        <v>0</v>
      </c>
      <c r="R68" s="105">
        <v>11</v>
      </c>
      <c r="S68" s="105">
        <v>4</v>
      </c>
      <c r="T68" s="105">
        <v>2</v>
      </c>
      <c r="U68" s="105">
        <v>9</v>
      </c>
      <c r="W68" s="105">
        <v>152</v>
      </c>
      <c r="X68" s="105">
        <v>116</v>
      </c>
      <c r="Y68" s="105">
        <v>11</v>
      </c>
      <c r="Z68" s="105">
        <v>77</v>
      </c>
      <c r="AX68" s="105">
        <v>46</v>
      </c>
      <c r="AY68" s="105">
        <v>6</v>
      </c>
      <c r="AZ68" s="105">
        <v>12</v>
      </c>
      <c r="BA68" s="105">
        <v>2</v>
      </c>
      <c r="BC68" s="105">
        <v>2024</v>
      </c>
    </row>
    <row r="69" spans="1:55" s="113" customFormat="1">
      <c r="A69" s="158">
        <v>10</v>
      </c>
      <c r="B69" s="107" t="s">
        <v>222</v>
      </c>
      <c r="C69" s="113" t="s">
        <v>224</v>
      </c>
      <c r="E69" s="134">
        <v>24</v>
      </c>
      <c r="F69" s="113">
        <v>944</v>
      </c>
      <c r="J69" s="113">
        <v>2263</v>
      </c>
      <c r="K69" s="134">
        <v>4</v>
      </c>
      <c r="R69" s="113">
        <v>4</v>
      </c>
      <c r="V69" s="113">
        <v>2</v>
      </c>
      <c r="W69" s="113">
        <v>58</v>
      </c>
      <c r="AA69" s="113">
        <v>45</v>
      </c>
      <c r="AX69" s="113">
        <v>445</v>
      </c>
      <c r="BA69" s="113">
        <v>7</v>
      </c>
      <c r="BC69" s="113">
        <v>2024</v>
      </c>
    </row>
    <row r="70" spans="1:55" s="115" customFormat="1" ht="14.25">
      <c r="A70" s="159">
        <v>10</v>
      </c>
      <c r="B70" s="153" t="s">
        <v>222</v>
      </c>
      <c r="C70" s="115" t="s">
        <v>191</v>
      </c>
      <c r="J70" s="122"/>
      <c r="Q70" s="115">
        <v>4118</v>
      </c>
      <c r="BC70" s="115">
        <v>2024</v>
      </c>
    </row>
    <row r="71" spans="1:55">
      <c r="A71" s="158">
        <v>11</v>
      </c>
      <c r="B71" s="107" t="s">
        <v>16738</v>
      </c>
      <c r="C71" s="105" t="s">
        <v>139</v>
      </c>
      <c r="E71" s="132">
        <v>139</v>
      </c>
      <c r="F71" s="105">
        <v>12852</v>
      </c>
      <c r="I71" s="105">
        <v>6</v>
      </c>
      <c r="J71" s="116">
        <v>13708</v>
      </c>
      <c r="K71" s="132">
        <v>92</v>
      </c>
      <c r="L71" s="105">
        <v>20</v>
      </c>
      <c r="M71" s="105">
        <v>4</v>
      </c>
      <c r="N71" s="105">
        <v>76</v>
      </c>
      <c r="R71" s="105">
        <v>23</v>
      </c>
      <c r="S71" s="105">
        <v>5</v>
      </c>
      <c r="T71" s="105">
        <v>8</v>
      </c>
      <c r="U71" s="105">
        <v>18</v>
      </c>
      <c r="V71" s="105">
        <v>4</v>
      </c>
      <c r="W71" s="105">
        <v>900</v>
      </c>
      <c r="X71" s="105">
        <v>132</v>
      </c>
      <c r="Y71" s="105">
        <v>1719</v>
      </c>
      <c r="Z71" s="105">
        <v>162</v>
      </c>
      <c r="AA71" s="105">
        <v>70</v>
      </c>
      <c r="AC71" s="105">
        <v>3</v>
      </c>
      <c r="AH71" s="105">
        <v>1645</v>
      </c>
      <c r="AX71" s="105">
        <v>140</v>
      </c>
      <c r="AY71" s="105">
        <v>17</v>
      </c>
      <c r="AZ71" s="105">
        <v>76.25</v>
      </c>
      <c r="BA71" s="105">
        <v>8</v>
      </c>
      <c r="BC71" s="105">
        <v>2024</v>
      </c>
    </row>
    <row r="72" spans="1:55">
      <c r="A72" s="158">
        <v>11</v>
      </c>
      <c r="B72" s="107" t="s">
        <v>16738</v>
      </c>
      <c r="C72" s="105" t="s">
        <v>135</v>
      </c>
      <c r="E72" s="133">
        <v>23</v>
      </c>
      <c r="F72" s="105">
        <v>2039</v>
      </c>
      <c r="G72" s="105">
        <v>180</v>
      </c>
      <c r="J72" s="117">
        <v>2737</v>
      </c>
      <c r="K72" s="133">
        <v>50</v>
      </c>
      <c r="R72" s="105">
        <v>7</v>
      </c>
      <c r="S72" s="105">
        <v>3</v>
      </c>
      <c r="T72" s="105">
        <v>2</v>
      </c>
      <c r="U72" s="105">
        <v>6</v>
      </c>
      <c r="V72" s="105">
        <v>2</v>
      </c>
      <c r="W72" s="105">
        <v>104</v>
      </c>
      <c r="X72" s="105">
        <v>19</v>
      </c>
      <c r="Y72" s="105">
        <v>14</v>
      </c>
      <c r="Z72" s="105">
        <v>50</v>
      </c>
      <c r="AA72" s="105">
        <v>69</v>
      </c>
      <c r="AX72" s="105">
        <v>85</v>
      </c>
      <c r="AY72" s="105">
        <v>21</v>
      </c>
      <c r="AZ72" s="105">
        <v>22</v>
      </c>
      <c r="BC72" s="105">
        <v>2024</v>
      </c>
    </row>
    <row r="73" spans="1:55">
      <c r="A73" s="158">
        <v>11</v>
      </c>
      <c r="B73" s="107" t="s">
        <v>16738</v>
      </c>
      <c r="C73" s="105" t="s">
        <v>136</v>
      </c>
      <c r="E73" s="133">
        <v>131</v>
      </c>
      <c r="F73" s="105">
        <v>8773</v>
      </c>
      <c r="G73" s="105">
        <v>515</v>
      </c>
      <c r="I73" s="105">
        <v>4</v>
      </c>
      <c r="J73" s="117">
        <v>16009</v>
      </c>
      <c r="K73" s="133">
        <v>23</v>
      </c>
      <c r="L73" s="105">
        <v>5</v>
      </c>
      <c r="R73" s="105">
        <v>25</v>
      </c>
      <c r="S73" s="105">
        <v>6</v>
      </c>
      <c r="T73" s="105">
        <v>6</v>
      </c>
      <c r="U73" s="105">
        <v>11</v>
      </c>
      <c r="V73" s="105">
        <v>3</v>
      </c>
      <c r="W73" s="105">
        <v>609</v>
      </c>
      <c r="X73" s="105">
        <v>82</v>
      </c>
      <c r="Y73" s="105">
        <v>52</v>
      </c>
      <c r="Z73" s="105">
        <v>88</v>
      </c>
      <c r="AA73" s="105">
        <v>112</v>
      </c>
      <c r="AX73" s="105">
        <v>388</v>
      </c>
      <c r="BC73" s="105">
        <v>2024</v>
      </c>
    </row>
    <row r="74" spans="1:55">
      <c r="A74" s="158">
        <v>11</v>
      </c>
      <c r="B74" s="107" t="s">
        <v>16738</v>
      </c>
      <c r="C74" s="105" t="s">
        <v>138</v>
      </c>
      <c r="E74" s="133">
        <v>41</v>
      </c>
      <c r="F74" s="105">
        <v>2877</v>
      </c>
      <c r="G74" s="105">
        <v>149</v>
      </c>
      <c r="I74" s="105">
        <v>7</v>
      </c>
      <c r="J74" s="117">
        <v>4444</v>
      </c>
      <c r="K74" s="133">
        <v>11</v>
      </c>
      <c r="L74" s="105">
        <v>2</v>
      </c>
      <c r="R74" s="105">
        <v>7</v>
      </c>
      <c r="S74" s="105">
        <v>5</v>
      </c>
      <c r="T74" s="105">
        <v>2</v>
      </c>
      <c r="U74" s="105">
        <v>8</v>
      </c>
      <c r="V74" s="105">
        <v>1</v>
      </c>
      <c r="W74" s="105">
        <v>122</v>
      </c>
      <c r="X74" s="105">
        <v>44</v>
      </c>
      <c r="Y74" s="105">
        <v>5</v>
      </c>
      <c r="Z74" s="105">
        <v>60</v>
      </c>
      <c r="AA74" s="105">
        <v>8</v>
      </c>
      <c r="AC74" s="105">
        <v>0</v>
      </c>
      <c r="AH74" s="105">
        <v>0</v>
      </c>
      <c r="AX74" s="105">
        <v>349</v>
      </c>
      <c r="AY74" s="105">
        <v>14</v>
      </c>
      <c r="AZ74" s="105">
        <v>85</v>
      </c>
      <c r="BA74" s="105">
        <v>4</v>
      </c>
      <c r="BC74" s="105">
        <v>2024</v>
      </c>
    </row>
    <row r="75" spans="1:55">
      <c r="A75" s="158">
        <v>11</v>
      </c>
      <c r="B75" s="107" t="s">
        <v>16738</v>
      </c>
      <c r="C75" s="105" t="s">
        <v>140</v>
      </c>
      <c r="E75" s="133">
        <v>44</v>
      </c>
      <c r="F75" s="105">
        <v>3025</v>
      </c>
      <c r="G75" s="105">
        <v>327</v>
      </c>
      <c r="I75" s="105">
        <v>3</v>
      </c>
      <c r="J75" s="117">
        <v>3013</v>
      </c>
      <c r="K75" s="133">
        <v>90</v>
      </c>
      <c r="L75" s="105">
        <v>0</v>
      </c>
      <c r="R75" s="105">
        <v>10</v>
      </c>
      <c r="S75" s="105">
        <v>2</v>
      </c>
      <c r="T75" s="105">
        <v>1</v>
      </c>
      <c r="U75" s="105">
        <v>8</v>
      </c>
      <c r="W75" s="105">
        <v>104</v>
      </c>
      <c r="X75" s="105">
        <v>27</v>
      </c>
      <c r="Y75" s="105">
        <v>5</v>
      </c>
      <c r="Z75" s="105">
        <v>162</v>
      </c>
      <c r="AC75" s="105">
        <v>1</v>
      </c>
      <c r="AH75" s="105">
        <v>150</v>
      </c>
      <c r="AX75" s="105">
        <v>0</v>
      </c>
      <c r="AY75" s="105">
        <v>5</v>
      </c>
      <c r="AZ75" s="105">
        <v>75</v>
      </c>
      <c r="BA75" s="105">
        <v>1</v>
      </c>
      <c r="BC75" s="105">
        <v>2024</v>
      </c>
    </row>
    <row r="76" spans="1:55">
      <c r="A76" s="158">
        <v>11</v>
      </c>
      <c r="B76" s="107" t="s">
        <v>16738</v>
      </c>
      <c r="C76" s="105" t="s">
        <v>224</v>
      </c>
      <c r="E76" s="134">
        <v>8</v>
      </c>
      <c r="F76" s="105">
        <v>830</v>
      </c>
      <c r="J76" s="118">
        <v>1494</v>
      </c>
      <c r="K76" s="134">
        <v>4</v>
      </c>
      <c r="R76" s="105">
        <v>4</v>
      </c>
      <c r="W76" s="105">
        <v>120</v>
      </c>
      <c r="AX76" s="105">
        <v>500</v>
      </c>
      <c r="BC76" s="105">
        <v>2024</v>
      </c>
    </row>
    <row r="77" spans="1:55" s="115" customFormat="1" ht="14.25">
      <c r="A77" s="159">
        <v>11</v>
      </c>
      <c r="B77" s="153" t="s">
        <v>16738</v>
      </c>
      <c r="C77" s="115" t="s">
        <v>191</v>
      </c>
      <c r="J77" s="122"/>
      <c r="Q77" s="115">
        <v>3895</v>
      </c>
      <c r="BC77" s="115">
        <v>2024</v>
      </c>
    </row>
    <row r="78" spans="1:55">
      <c r="A78" s="158">
        <v>12</v>
      </c>
      <c r="B78" s="107" t="s">
        <v>16739</v>
      </c>
      <c r="C78" s="105" t="s">
        <v>139</v>
      </c>
      <c r="E78" s="132">
        <v>124</v>
      </c>
      <c r="F78" s="105">
        <v>12444</v>
      </c>
      <c r="G78" s="105">
        <v>1383</v>
      </c>
      <c r="I78" s="105">
        <v>5</v>
      </c>
      <c r="J78" s="116">
        <v>12565</v>
      </c>
      <c r="K78" s="132">
        <v>120</v>
      </c>
      <c r="L78" s="105">
        <v>13</v>
      </c>
      <c r="M78" s="105">
        <v>2</v>
      </c>
      <c r="N78" s="105">
        <v>78</v>
      </c>
      <c r="R78" s="105">
        <v>23</v>
      </c>
      <c r="S78" s="105">
        <v>73</v>
      </c>
      <c r="T78" s="105">
        <v>20</v>
      </c>
      <c r="U78" s="105">
        <v>21</v>
      </c>
      <c r="V78" s="105">
        <v>9</v>
      </c>
      <c r="W78" s="105">
        <v>899</v>
      </c>
      <c r="X78" s="105">
        <v>73</v>
      </c>
      <c r="Y78" s="105">
        <v>1402</v>
      </c>
      <c r="Z78" s="105">
        <v>175</v>
      </c>
      <c r="AA78" s="105">
        <v>216</v>
      </c>
      <c r="AC78" s="105">
        <v>7</v>
      </c>
      <c r="AH78" s="105">
        <v>1308</v>
      </c>
      <c r="AX78" s="105">
        <v>259</v>
      </c>
      <c r="AY78" s="105">
        <v>10</v>
      </c>
      <c r="AZ78" s="105">
        <v>23</v>
      </c>
      <c r="BA78" s="105">
        <v>9</v>
      </c>
      <c r="BC78" s="105">
        <v>2024</v>
      </c>
    </row>
    <row r="79" spans="1:55">
      <c r="A79" s="158">
        <v>12</v>
      </c>
      <c r="B79" s="107" t="s">
        <v>16739</v>
      </c>
      <c r="C79" s="105" t="s">
        <v>135</v>
      </c>
      <c r="E79" s="133">
        <v>18</v>
      </c>
      <c r="F79" s="105">
        <v>2011</v>
      </c>
      <c r="J79" s="117">
        <v>2324</v>
      </c>
      <c r="K79" s="133">
        <v>50</v>
      </c>
      <c r="BC79" s="105">
        <v>2024</v>
      </c>
    </row>
    <row r="80" spans="1:55">
      <c r="A80" s="158">
        <v>12</v>
      </c>
      <c r="B80" s="107" t="s">
        <v>16739</v>
      </c>
      <c r="C80" s="105" t="s">
        <v>136</v>
      </c>
      <c r="E80" s="133">
        <v>141</v>
      </c>
      <c r="F80" s="105">
        <v>9136</v>
      </c>
      <c r="G80" s="105">
        <v>541</v>
      </c>
      <c r="I80" s="105">
        <v>2</v>
      </c>
      <c r="J80" s="117">
        <v>15494</v>
      </c>
      <c r="K80" s="133">
        <v>25</v>
      </c>
      <c r="L80" s="105">
        <v>5</v>
      </c>
      <c r="R80" s="105">
        <v>14</v>
      </c>
      <c r="S80" s="105">
        <v>4</v>
      </c>
      <c r="T80" s="105">
        <v>6</v>
      </c>
      <c r="U80" s="105">
        <v>11</v>
      </c>
      <c r="V80" s="105">
        <v>3</v>
      </c>
      <c r="W80" s="105">
        <v>418</v>
      </c>
      <c r="X80" s="105">
        <v>49</v>
      </c>
      <c r="Y80" s="105">
        <v>68</v>
      </c>
      <c r="Z80" s="105">
        <v>71</v>
      </c>
      <c r="AA80" s="105">
        <v>114</v>
      </c>
      <c r="AX80" s="105">
        <v>368</v>
      </c>
      <c r="BC80" s="105">
        <v>2024</v>
      </c>
    </row>
    <row r="81" spans="1:56">
      <c r="A81" s="158">
        <v>12</v>
      </c>
      <c r="B81" s="107" t="s">
        <v>16739</v>
      </c>
      <c r="C81" s="105" t="s">
        <v>138</v>
      </c>
      <c r="E81" s="133">
        <v>52</v>
      </c>
      <c r="F81" s="105">
        <v>3025</v>
      </c>
      <c r="G81" s="105">
        <v>148</v>
      </c>
      <c r="I81" s="105">
        <v>9</v>
      </c>
      <c r="J81" s="117">
        <v>3800</v>
      </c>
      <c r="K81" s="133">
        <v>16</v>
      </c>
      <c r="L81" s="105">
        <v>2</v>
      </c>
      <c r="R81" s="105">
        <v>7</v>
      </c>
      <c r="S81" s="105">
        <v>4</v>
      </c>
      <c r="T81" s="105">
        <v>2</v>
      </c>
      <c r="U81" s="105">
        <v>5</v>
      </c>
      <c r="V81" s="105">
        <v>0</v>
      </c>
      <c r="W81" s="105">
        <v>127</v>
      </c>
      <c r="X81" s="105">
        <v>43</v>
      </c>
      <c r="Y81" s="105">
        <v>5</v>
      </c>
      <c r="Z81" s="105">
        <v>41</v>
      </c>
      <c r="AA81" s="105">
        <v>0</v>
      </c>
      <c r="AC81" s="105">
        <v>0</v>
      </c>
      <c r="AH81" s="105">
        <v>0</v>
      </c>
      <c r="AX81" s="105">
        <v>301</v>
      </c>
      <c r="AY81" s="105">
        <v>1</v>
      </c>
      <c r="AZ81" s="105">
        <v>8</v>
      </c>
      <c r="BA81" s="105">
        <v>8</v>
      </c>
      <c r="BC81" s="105">
        <v>2024</v>
      </c>
    </row>
    <row r="82" spans="1:56">
      <c r="A82" s="158">
        <v>12</v>
      </c>
      <c r="B82" s="107" t="s">
        <v>16739</v>
      </c>
      <c r="C82" s="105" t="s">
        <v>140</v>
      </c>
      <c r="E82" s="133">
        <v>30</v>
      </c>
      <c r="F82" s="105">
        <v>2841</v>
      </c>
      <c r="G82" s="105">
        <v>347</v>
      </c>
      <c r="I82" s="105">
        <v>2</v>
      </c>
      <c r="J82" s="117">
        <v>2704</v>
      </c>
      <c r="K82" s="133">
        <v>97</v>
      </c>
      <c r="L82" s="105">
        <v>0</v>
      </c>
      <c r="R82" s="105">
        <v>9</v>
      </c>
      <c r="S82" s="105">
        <v>3</v>
      </c>
      <c r="T82" s="105">
        <v>1</v>
      </c>
      <c r="U82" s="105">
        <v>7</v>
      </c>
      <c r="W82" s="105">
        <v>166</v>
      </c>
      <c r="X82" s="105">
        <v>81</v>
      </c>
      <c r="Y82" s="105">
        <v>7</v>
      </c>
      <c r="Z82" s="105">
        <v>60</v>
      </c>
      <c r="AX82" s="105">
        <v>70</v>
      </c>
      <c r="AY82" s="105">
        <v>5</v>
      </c>
      <c r="AZ82" s="105">
        <v>10</v>
      </c>
      <c r="BA82" s="105">
        <v>0</v>
      </c>
      <c r="BC82" s="105">
        <v>2024</v>
      </c>
    </row>
    <row r="83" spans="1:56">
      <c r="A83" s="158">
        <v>12</v>
      </c>
      <c r="B83" s="107" t="s">
        <v>16739</v>
      </c>
      <c r="C83" s="105" t="s">
        <v>224</v>
      </c>
      <c r="E83" s="134">
        <v>5</v>
      </c>
      <c r="F83" s="105">
        <v>600</v>
      </c>
      <c r="J83" s="118">
        <v>1030</v>
      </c>
      <c r="K83" s="134">
        <v>4</v>
      </c>
      <c r="R83" s="105">
        <v>3</v>
      </c>
      <c r="W83" s="105">
        <v>98</v>
      </c>
      <c r="AX83" s="105">
        <v>586</v>
      </c>
      <c r="BC83" s="105">
        <v>2024</v>
      </c>
    </row>
    <row r="84" spans="1:56">
      <c r="A84" s="158">
        <v>12</v>
      </c>
      <c r="B84" s="107" t="s">
        <v>16739</v>
      </c>
      <c r="C84" s="105" t="s">
        <v>191</v>
      </c>
      <c r="Q84" s="105">
        <v>4415</v>
      </c>
      <c r="BC84" s="105">
        <v>2024</v>
      </c>
    </row>
    <row r="85" spans="1:56">
      <c r="A85" s="158">
        <v>4</v>
      </c>
      <c r="B85" s="107" t="s">
        <v>16735</v>
      </c>
      <c r="C85" s="105" t="s">
        <v>135</v>
      </c>
      <c r="E85" s="105">
        <v>112</v>
      </c>
      <c r="J85" s="105"/>
      <c r="BC85" s="105">
        <v>2025</v>
      </c>
      <c r="BD85" s="105">
        <v>103</v>
      </c>
    </row>
    <row r="86" spans="1:56">
      <c r="A86" s="158">
        <v>4</v>
      </c>
      <c r="B86" s="107" t="s">
        <v>16735</v>
      </c>
      <c r="C86" s="105" t="s">
        <v>136</v>
      </c>
      <c r="E86" s="105">
        <v>484</v>
      </c>
      <c r="J86" s="105"/>
      <c r="BC86" s="105">
        <v>2025</v>
      </c>
      <c r="BD86" s="105">
        <v>721</v>
      </c>
    </row>
    <row r="87" spans="1:56">
      <c r="A87" s="158">
        <v>4</v>
      </c>
      <c r="B87" s="107" t="s">
        <v>16735</v>
      </c>
      <c r="C87" s="105" t="s">
        <v>138</v>
      </c>
      <c r="E87" s="105">
        <v>178</v>
      </c>
      <c r="J87" s="105"/>
      <c r="BC87" s="105">
        <v>2025</v>
      </c>
      <c r="BD87" s="105">
        <v>182</v>
      </c>
    </row>
    <row r="88" spans="1:56">
      <c r="A88" s="158">
        <v>4</v>
      </c>
      <c r="B88" s="107" t="s">
        <v>16735</v>
      </c>
      <c r="C88" s="105" t="s">
        <v>139</v>
      </c>
      <c r="E88" s="105">
        <v>315</v>
      </c>
      <c r="J88" s="105"/>
      <c r="BC88" s="105">
        <v>2025</v>
      </c>
      <c r="BD88" s="105">
        <v>268</v>
      </c>
    </row>
    <row r="89" spans="1:56">
      <c r="A89" s="158">
        <v>4</v>
      </c>
      <c r="B89" s="107" t="s">
        <v>16735</v>
      </c>
      <c r="C89" s="105" t="s">
        <v>140</v>
      </c>
      <c r="E89" s="105">
        <v>88</v>
      </c>
      <c r="J89" s="105"/>
      <c r="BC89" s="105">
        <v>2025</v>
      </c>
      <c r="BD89" s="105">
        <v>74</v>
      </c>
    </row>
    <row r="90" spans="1:56">
      <c r="A90" s="158">
        <v>4</v>
      </c>
      <c r="B90" s="107" t="s">
        <v>16735</v>
      </c>
      <c r="C90" s="105" t="s">
        <v>134</v>
      </c>
      <c r="J90" s="105"/>
      <c r="BC90" s="105">
        <v>2025</v>
      </c>
    </row>
    <row r="91" spans="1:56">
      <c r="A91" s="158">
        <v>4</v>
      </c>
      <c r="B91" s="107" t="s">
        <v>16735</v>
      </c>
      <c r="C91" s="105" t="s">
        <v>139</v>
      </c>
      <c r="D91" s="105">
        <v>218</v>
      </c>
      <c r="F91" s="105">
        <v>15340</v>
      </c>
      <c r="G91" s="105">
        <v>2034</v>
      </c>
      <c r="H91" s="105">
        <v>3639</v>
      </c>
      <c r="I91" s="105">
        <v>4</v>
      </c>
      <c r="J91" s="105">
        <v>15145</v>
      </c>
      <c r="K91" s="105">
        <v>139</v>
      </c>
      <c r="M91" s="105">
        <v>6</v>
      </c>
      <c r="N91" s="105">
        <v>116</v>
      </c>
      <c r="O91" s="105">
        <v>2870</v>
      </c>
      <c r="P91" s="105">
        <v>6318</v>
      </c>
      <c r="Q91" s="105">
        <v>563</v>
      </c>
      <c r="R91" s="105">
        <v>22</v>
      </c>
      <c r="S91" s="105">
        <v>6</v>
      </c>
      <c r="T91" s="105">
        <v>15</v>
      </c>
      <c r="U91" s="105">
        <v>29</v>
      </c>
      <c r="V91" s="105">
        <v>6</v>
      </c>
      <c r="W91" s="105">
        <v>890</v>
      </c>
      <c r="X91" s="105">
        <v>277</v>
      </c>
      <c r="Y91" s="105">
        <v>162</v>
      </c>
      <c r="Z91" s="105">
        <v>292</v>
      </c>
      <c r="AA91" s="105">
        <v>156</v>
      </c>
      <c r="AX91" s="105">
        <v>12</v>
      </c>
      <c r="AY91" s="105">
        <v>14</v>
      </c>
      <c r="AZ91" s="105">
        <v>22</v>
      </c>
      <c r="BA91" s="105">
        <v>8</v>
      </c>
      <c r="BC91" s="105">
        <v>2025</v>
      </c>
    </row>
    <row r="92" spans="1:56">
      <c r="A92" s="158">
        <v>4</v>
      </c>
      <c r="B92" s="107" t="s">
        <v>16735</v>
      </c>
      <c r="C92" s="105" t="s">
        <v>135</v>
      </c>
      <c r="D92" s="105">
        <v>62</v>
      </c>
      <c r="F92" s="105">
        <v>2761</v>
      </c>
      <c r="G92" s="105">
        <v>214</v>
      </c>
      <c r="H92" s="105">
        <v>557</v>
      </c>
      <c r="I92" s="105">
        <v>1</v>
      </c>
      <c r="J92" s="105">
        <v>3132</v>
      </c>
      <c r="K92" s="105">
        <v>59</v>
      </c>
      <c r="O92" s="105">
        <v>985</v>
      </c>
      <c r="P92" s="105">
        <v>2044</v>
      </c>
      <c r="Q92" s="105">
        <v>163</v>
      </c>
      <c r="R92" s="105">
        <v>8</v>
      </c>
      <c r="S92" s="105">
        <v>2</v>
      </c>
      <c r="T92" s="105">
        <v>2</v>
      </c>
      <c r="U92" s="105">
        <v>1</v>
      </c>
      <c r="V92" s="105">
        <v>3</v>
      </c>
      <c r="W92" s="105">
        <v>85</v>
      </c>
      <c r="X92" s="105">
        <v>21</v>
      </c>
      <c r="Y92" s="105">
        <v>6</v>
      </c>
      <c r="Z92" s="105">
        <v>4</v>
      </c>
      <c r="AA92" s="105">
        <v>30</v>
      </c>
      <c r="AX92" s="105">
        <v>1</v>
      </c>
      <c r="AY92" s="105">
        <v>4</v>
      </c>
      <c r="AZ92" s="105">
        <v>25</v>
      </c>
      <c r="BA92" s="105">
        <v>0</v>
      </c>
      <c r="BC92" s="105">
        <v>2025</v>
      </c>
    </row>
    <row r="93" spans="1:56">
      <c r="A93" s="158">
        <v>4</v>
      </c>
      <c r="B93" s="107" t="s">
        <v>16735</v>
      </c>
      <c r="C93" s="105" t="s">
        <v>136</v>
      </c>
      <c r="D93" s="105">
        <v>203</v>
      </c>
      <c r="F93" s="105">
        <v>11742</v>
      </c>
      <c r="G93" s="105">
        <v>781</v>
      </c>
      <c r="H93" s="105">
        <v>1868</v>
      </c>
      <c r="I93" s="105">
        <v>6</v>
      </c>
      <c r="J93" s="105">
        <v>19642</v>
      </c>
      <c r="K93" s="105">
        <v>28</v>
      </c>
      <c r="O93" s="105">
        <v>1762</v>
      </c>
      <c r="P93" s="105">
        <v>6719</v>
      </c>
      <c r="Q93" s="105">
        <v>380</v>
      </c>
      <c r="R93" s="105">
        <v>21</v>
      </c>
      <c r="S93" s="105">
        <v>9</v>
      </c>
      <c r="T93" s="105">
        <v>7</v>
      </c>
      <c r="U93" s="105">
        <v>11</v>
      </c>
      <c r="V93" s="105">
        <v>6</v>
      </c>
      <c r="W93" s="105">
        <v>754</v>
      </c>
      <c r="X93" s="105">
        <v>778</v>
      </c>
      <c r="Y93" s="105">
        <v>65</v>
      </c>
      <c r="Z93" s="105">
        <v>94</v>
      </c>
      <c r="AA93" s="105">
        <v>265</v>
      </c>
      <c r="AX93" s="105">
        <v>5</v>
      </c>
      <c r="AY93" s="105">
        <v>4</v>
      </c>
      <c r="AZ93" s="105">
        <v>20</v>
      </c>
      <c r="BA93" s="105">
        <v>0</v>
      </c>
      <c r="BC93" s="105">
        <v>2025</v>
      </c>
    </row>
    <row r="94" spans="1:56">
      <c r="A94" s="158">
        <v>4</v>
      </c>
      <c r="B94" s="107" t="s">
        <v>16735</v>
      </c>
      <c r="C94" s="105" t="s">
        <v>138</v>
      </c>
      <c r="D94" s="105">
        <v>64</v>
      </c>
      <c r="F94" s="105">
        <v>3868</v>
      </c>
      <c r="G94" s="105">
        <v>188</v>
      </c>
      <c r="H94" s="105">
        <v>857</v>
      </c>
      <c r="I94" s="105">
        <v>10</v>
      </c>
      <c r="J94" s="105">
        <v>4663</v>
      </c>
      <c r="K94" s="105">
        <v>15</v>
      </c>
      <c r="O94" s="105">
        <v>1418</v>
      </c>
      <c r="P94" s="105">
        <v>2758</v>
      </c>
      <c r="Q94" s="105">
        <v>107</v>
      </c>
      <c r="R94" s="105">
        <v>4</v>
      </c>
      <c r="S94" s="105">
        <v>4</v>
      </c>
      <c r="T94" s="105">
        <v>2</v>
      </c>
      <c r="U94" s="105">
        <v>12</v>
      </c>
      <c r="V94" s="105">
        <v>2</v>
      </c>
      <c r="W94" s="105">
        <v>40</v>
      </c>
      <c r="X94" s="105">
        <v>20</v>
      </c>
      <c r="Y94" s="105">
        <v>9</v>
      </c>
      <c r="Z94" s="105">
        <v>100</v>
      </c>
      <c r="AA94" s="105">
        <v>11</v>
      </c>
      <c r="AX94" s="105">
        <v>9</v>
      </c>
      <c r="AY94" s="105">
        <v>1</v>
      </c>
      <c r="AZ94" s="105">
        <v>25</v>
      </c>
      <c r="BA94" s="105">
        <v>5</v>
      </c>
      <c r="BC94" s="105">
        <v>2025</v>
      </c>
    </row>
    <row r="95" spans="1:56">
      <c r="A95" s="158">
        <v>4</v>
      </c>
      <c r="B95" s="107" t="s">
        <v>16735</v>
      </c>
      <c r="C95" s="105" t="s">
        <v>140</v>
      </c>
      <c r="D95" s="105">
        <v>82</v>
      </c>
      <c r="F95" s="105">
        <v>3598</v>
      </c>
      <c r="G95" s="105">
        <v>377</v>
      </c>
      <c r="H95" s="105">
        <v>932</v>
      </c>
      <c r="I95" s="105">
        <v>2</v>
      </c>
      <c r="J95" s="105">
        <v>3804</v>
      </c>
      <c r="K95" s="105">
        <v>112</v>
      </c>
      <c r="O95" s="105">
        <v>1341</v>
      </c>
      <c r="P95" s="105">
        <v>2373</v>
      </c>
      <c r="Q95" s="105">
        <v>184</v>
      </c>
      <c r="R95" s="105">
        <v>12</v>
      </c>
      <c r="S95" s="105">
        <v>3</v>
      </c>
      <c r="T95" s="105">
        <v>1</v>
      </c>
      <c r="U95" s="105">
        <v>7</v>
      </c>
      <c r="V95" s="105">
        <v>0</v>
      </c>
      <c r="W95" s="105">
        <v>206</v>
      </c>
      <c r="X95" s="105">
        <v>66</v>
      </c>
      <c r="Y95" s="105">
        <v>4</v>
      </c>
      <c r="Z95" s="105">
        <v>61</v>
      </c>
      <c r="AA95" s="105">
        <v>0</v>
      </c>
      <c r="AX95" s="105">
        <v>2</v>
      </c>
      <c r="AY95" s="105">
        <v>4</v>
      </c>
      <c r="AZ95" s="105">
        <v>28</v>
      </c>
      <c r="BA95" s="105">
        <v>0</v>
      </c>
      <c r="BC95" s="105">
        <v>2025</v>
      </c>
    </row>
    <row r="96" spans="1:56">
      <c r="A96" s="158">
        <v>4</v>
      </c>
      <c r="B96" s="107" t="s">
        <v>16735</v>
      </c>
      <c r="C96" s="105" t="s">
        <v>134</v>
      </c>
      <c r="D96" s="105">
        <v>43</v>
      </c>
      <c r="F96" s="105">
        <v>905</v>
      </c>
      <c r="J96" s="105">
        <v>1647</v>
      </c>
      <c r="K96" s="105">
        <v>4</v>
      </c>
      <c r="O96" s="105">
        <v>15</v>
      </c>
      <c r="P96" s="105">
        <v>404</v>
      </c>
      <c r="R96" s="105">
        <v>1</v>
      </c>
      <c r="S96" s="105">
        <v>0</v>
      </c>
      <c r="T96" s="105">
        <v>0</v>
      </c>
      <c r="U96" s="105">
        <v>2</v>
      </c>
      <c r="V96" s="105">
        <v>0</v>
      </c>
      <c r="W96" s="105">
        <v>25</v>
      </c>
      <c r="X96" s="105">
        <v>0</v>
      </c>
      <c r="Y96" s="105">
        <v>0</v>
      </c>
      <c r="Z96" s="105">
        <v>16</v>
      </c>
      <c r="AA96" s="105">
        <v>0</v>
      </c>
      <c r="AX96" s="105">
        <v>21</v>
      </c>
      <c r="AY96" s="105">
        <v>2</v>
      </c>
      <c r="AZ96" s="105">
        <v>8</v>
      </c>
      <c r="BA96" s="105">
        <v>0</v>
      </c>
      <c r="BC96" s="105">
        <v>2025</v>
      </c>
    </row>
    <row r="97" spans="1:56">
      <c r="A97" s="158">
        <v>8</v>
      </c>
      <c r="B97" s="107" t="s">
        <v>137</v>
      </c>
      <c r="C97" s="105" t="s">
        <v>134</v>
      </c>
      <c r="D97" s="105">
        <v>19</v>
      </c>
      <c r="E97" s="105">
        <v>20</v>
      </c>
      <c r="J97" s="105"/>
      <c r="AE97" s="105">
        <v>2</v>
      </c>
      <c r="AJ97" s="105">
        <v>20</v>
      </c>
      <c r="AV97" s="105">
        <v>3</v>
      </c>
      <c r="AW97" s="105">
        <v>184</v>
      </c>
      <c r="AX97" s="105">
        <v>170</v>
      </c>
      <c r="AY97" s="105">
        <v>7</v>
      </c>
      <c r="AZ97" s="105">
        <v>62</v>
      </c>
      <c r="BA97" s="105">
        <v>1</v>
      </c>
      <c r="BC97" s="105">
        <v>2025</v>
      </c>
    </row>
    <row r="98" spans="1:56">
      <c r="A98" s="158">
        <v>8</v>
      </c>
      <c r="B98" s="107" t="s">
        <v>137</v>
      </c>
      <c r="C98" s="105" t="s">
        <v>140</v>
      </c>
      <c r="D98" s="105">
        <v>60</v>
      </c>
      <c r="E98" s="105">
        <v>118</v>
      </c>
      <c r="F98" s="105">
        <v>3914</v>
      </c>
      <c r="G98" s="105">
        <v>505</v>
      </c>
      <c r="H98" s="105">
        <v>781</v>
      </c>
      <c r="I98" s="105">
        <v>2</v>
      </c>
      <c r="J98" s="105">
        <v>5939</v>
      </c>
      <c r="K98" s="105">
        <v>92</v>
      </c>
      <c r="L98" s="105">
        <v>0</v>
      </c>
      <c r="Q98" s="105">
        <v>1090</v>
      </c>
      <c r="U98" s="105">
        <v>3</v>
      </c>
      <c r="Z98" s="105">
        <v>25</v>
      </c>
      <c r="AV98" s="105">
        <v>1</v>
      </c>
      <c r="AW98" s="105">
        <v>150</v>
      </c>
      <c r="AX98" s="105">
        <v>175</v>
      </c>
      <c r="AY98" s="105">
        <v>10</v>
      </c>
      <c r="AZ98" s="105">
        <v>80</v>
      </c>
      <c r="BA98" s="105">
        <v>0</v>
      </c>
      <c r="BC98" s="105">
        <v>2025</v>
      </c>
      <c r="BD98" s="105">
        <v>120</v>
      </c>
    </row>
    <row r="99" spans="1:56">
      <c r="A99" s="158">
        <v>8</v>
      </c>
      <c r="B99" s="107" t="s">
        <v>137</v>
      </c>
      <c r="C99" s="105" t="s">
        <v>138</v>
      </c>
      <c r="D99" s="105">
        <v>72</v>
      </c>
      <c r="E99" s="105">
        <v>15</v>
      </c>
      <c r="F99" s="105">
        <v>3764</v>
      </c>
      <c r="G99" s="105">
        <v>167</v>
      </c>
      <c r="H99" s="105">
        <v>524</v>
      </c>
      <c r="I99" s="105">
        <v>12</v>
      </c>
      <c r="J99" s="105">
        <v>5908</v>
      </c>
      <c r="K99" s="105">
        <v>14</v>
      </c>
      <c r="L99" s="105">
        <v>3</v>
      </c>
      <c r="Q99" s="105">
        <v>491</v>
      </c>
      <c r="R99" s="105">
        <v>0</v>
      </c>
      <c r="S99" s="105">
        <v>0</v>
      </c>
      <c r="T99" s="105">
        <v>0</v>
      </c>
      <c r="U99" s="105">
        <v>7</v>
      </c>
      <c r="V99" s="105">
        <v>2</v>
      </c>
      <c r="W99" s="105">
        <v>0</v>
      </c>
      <c r="X99" s="105">
        <v>0</v>
      </c>
      <c r="Y99" s="105">
        <v>0</v>
      </c>
      <c r="Z99" s="105">
        <v>56</v>
      </c>
      <c r="AA99" s="105">
        <v>6</v>
      </c>
      <c r="AB99" s="105">
        <v>0</v>
      </c>
      <c r="AC99" s="105">
        <v>0</v>
      </c>
      <c r="AD99" s="105">
        <v>0</v>
      </c>
      <c r="AE99" s="105">
        <v>0</v>
      </c>
      <c r="AF99" s="105">
        <v>0</v>
      </c>
      <c r="AG99" s="105">
        <v>0</v>
      </c>
      <c r="AH99" s="105">
        <v>0</v>
      </c>
      <c r="AI99" s="105">
        <v>0</v>
      </c>
      <c r="AJ99" s="105">
        <v>0</v>
      </c>
      <c r="AK99" s="105">
        <v>0</v>
      </c>
      <c r="AL99" s="105">
        <v>0</v>
      </c>
      <c r="AM99" s="105">
        <v>0</v>
      </c>
      <c r="AN99" s="105">
        <v>0</v>
      </c>
      <c r="AO99" s="105">
        <v>0</v>
      </c>
      <c r="AP99" s="105">
        <v>0</v>
      </c>
      <c r="AQ99" s="105">
        <v>0</v>
      </c>
      <c r="AR99" s="105">
        <v>0</v>
      </c>
      <c r="AS99" s="105">
        <v>0</v>
      </c>
      <c r="AT99" s="105">
        <v>0</v>
      </c>
      <c r="AU99" s="105">
        <v>0</v>
      </c>
      <c r="AV99" s="105">
        <v>0</v>
      </c>
      <c r="AW99" s="105">
        <v>0</v>
      </c>
      <c r="AX99" s="105">
        <v>847</v>
      </c>
      <c r="AY99" s="105">
        <v>10</v>
      </c>
      <c r="AZ99" s="105">
        <v>88.5</v>
      </c>
      <c r="BA99" s="105">
        <v>6</v>
      </c>
      <c r="BC99" s="105">
        <v>2025</v>
      </c>
      <c r="BD99" s="105">
        <v>327</v>
      </c>
    </row>
    <row r="100" spans="1:56">
      <c r="A100" s="158">
        <v>8</v>
      </c>
      <c r="B100" s="107" t="s">
        <v>137</v>
      </c>
      <c r="C100" s="105" t="s">
        <v>135</v>
      </c>
      <c r="D100" s="105">
        <v>38</v>
      </c>
      <c r="E100" s="105">
        <v>4</v>
      </c>
      <c r="F100" s="105">
        <v>2694</v>
      </c>
      <c r="G100" s="105">
        <v>223</v>
      </c>
      <c r="H100" s="105">
        <v>419</v>
      </c>
      <c r="I100" s="105">
        <v>2</v>
      </c>
      <c r="J100" s="105">
        <v>5121</v>
      </c>
      <c r="K100" s="105">
        <v>66</v>
      </c>
      <c r="L100" s="105">
        <v>0</v>
      </c>
      <c r="Q100" s="105">
        <v>1146</v>
      </c>
      <c r="R100" s="105">
        <v>0</v>
      </c>
      <c r="S100" s="105">
        <v>1</v>
      </c>
      <c r="T100" s="105">
        <v>3</v>
      </c>
      <c r="U100" s="105">
        <v>3</v>
      </c>
      <c r="V100" s="105">
        <v>0</v>
      </c>
      <c r="W100" s="105">
        <v>0</v>
      </c>
      <c r="X100" s="105">
        <v>11</v>
      </c>
      <c r="Y100" s="105">
        <v>17</v>
      </c>
      <c r="Z100" s="105">
        <v>21</v>
      </c>
      <c r="AA100" s="105">
        <v>0</v>
      </c>
      <c r="AB100" s="105">
        <v>0</v>
      </c>
      <c r="AC100" s="105">
        <v>0</v>
      </c>
      <c r="AD100" s="105">
        <v>0</v>
      </c>
      <c r="AE100" s="105">
        <v>0</v>
      </c>
      <c r="AF100" s="105">
        <v>0</v>
      </c>
      <c r="AG100" s="105">
        <v>0</v>
      </c>
      <c r="AH100" s="105">
        <v>0</v>
      </c>
      <c r="AI100" s="105">
        <v>0</v>
      </c>
      <c r="AJ100" s="105">
        <v>0</v>
      </c>
      <c r="AK100" s="105">
        <v>0</v>
      </c>
      <c r="AL100" s="105">
        <v>0</v>
      </c>
      <c r="AM100" s="105">
        <v>0</v>
      </c>
      <c r="AN100" s="105">
        <v>0</v>
      </c>
      <c r="AO100" s="105">
        <v>0</v>
      </c>
      <c r="AP100" s="105">
        <v>0</v>
      </c>
      <c r="AQ100" s="105">
        <v>0</v>
      </c>
      <c r="AR100" s="105">
        <v>0</v>
      </c>
      <c r="AS100" s="105">
        <v>0</v>
      </c>
      <c r="AT100" s="105">
        <v>0</v>
      </c>
      <c r="AU100" s="105">
        <v>0</v>
      </c>
      <c r="AV100" s="105">
        <v>0</v>
      </c>
      <c r="AW100" s="105">
        <v>0</v>
      </c>
      <c r="AX100" s="105">
        <v>229</v>
      </c>
      <c r="AY100" s="105">
        <v>6</v>
      </c>
      <c r="AZ100" s="105">
        <v>36.5</v>
      </c>
      <c r="BA100" s="105">
        <v>0</v>
      </c>
      <c r="BC100" s="105">
        <v>2025</v>
      </c>
      <c r="BD100" s="105">
        <v>94</v>
      </c>
    </row>
    <row r="101" spans="1:56">
      <c r="A101" s="158">
        <v>8</v>
      </c>
      <c r="B101" s="107" t="s">
        <v>137</v>
      </c>
      <c r="C101" s="105" t="s">
        <v>136</v>
      </c>
      <c r="D101" s="105">
        <v>213</v>
      </c>
      <c r="E101" s="105">
        <v>43</v>
      </c>
      <c r="F101" s="105">
        <v>10805</v>
      </c>
      <c r="G101" s="105">
        <v>709</v>
      </c>
      <c r="H101" s="105">
        <v>1621</v>
      </c>
      <c r="I101" s="105">
        <v>3</v>
      </c>
      <c r="J101" s="105">
        <v>19906</v>
      </c>
      <c r="K101" s="105">
        <v>33</v>
      </c>
      <c r="L101" s="105">
        <v>6</v>
      </c>
      <c r="Q101" s="105">
        <v>1958</v>
      </c>
      <c r="T101" s="105">
        <v>1</v>
      </c>
      <c r="U101" s="105">
        <v>17</v>
      </c>
      <c r="V101" s="105">
        <v>1</v>
      </c>
      <c r="Y101" s="105">
        <v>30</v>
      </c>
      <c r="Z101" s="105">
        <v>114</v>
      </c>
      <c r="AA101" s="105">
        <v>80</v>
      </c>
      <c r="AX101" s="105">
        <v>988</v>
      </c>
      <c r="AY101" s="105">
        <v>17</v>
      </c>
      <c r="AZ101" s="105">
        <v>104</v>
      </c>
      <c r="BC101" s="105">
        <v>2025</v>
      </c>
      <c r="BD101" s="105">
        <v>828</v>
      </c>
    </row>
    <row r="102" spans="1:56">
      <c r="A102" s="158">
        <v>8</v>
      </c>
      <c r="B102" s="107" t="s">
        <v>137</v>
      </c>
      <c r="C102" s="105" t="s">
        <v>139</v>
      </c>
      <c r="D102" s="105">
        <v>199</v>
      </c>
      <c r="E102" s="105">
        <v>57</v>
      </c>
      <c r="F102" s="105">
        <v>15257</v>
      </c>
      <c r="G102" s="105">
        <v>199</v>
      </c>
      <c r="H102" s="105">
        <v>3482</v>
      </c>
      <c r="I102" s="105">
        <v>13</v>
      </c>
      <c r="J102" s="105">
        <v>171619</v>
      </c>
      <c r="K102" s="105">
        <v>123</v>
      </c>
      <c r="L102" s="105">
        <v>42</v>
      </c>
      <c r="M102" s="105">
        <v>5</v>
      </c>
      <c r="N102" s="105">
        <v>139</v>
      </c>
      <c r="O102" s="105">
        <v>9611</v>
      </c>
      <c r="P102" s="105">
        <v>23150</v>
      </c>
      <c r="Q102" s="105">
        <v>1714</v>
      </c>
      <c r="R102" s="105">
        <v>0</v>
      </c>
      <c r="S102" s="105">
        <v>0</v>
      </c>
      <c r="T102" s="105">
        <v>5</v>
      </c>
      <c r="U102" s="105">
        <v>20</v>
      </c>
      <c r="V102" s="105">
        <v>0</v>
      </c>
      <c r="W102" s="105">
        <v>0</v>
      </c>
      <c r="X102" s="105">
        <v>0</v>
      </c>
      <c r="Y102" s="105">
        <v>43</v>
      </c>
      <c r="Z102" s="105">
        <v>175</v>
      </c>
      <c r="AA102" s="105">
        <v>0</v>
      </c>
      <c r="AB102" s="105">
        <v>0</v>
      </c>
      <c r="AC102" s="105">
        <v>0</v>
      </c>
      <c r="AD102" s="105">
        <v>0</v>
      </c>
      <c r="AE102" s="105">
        <v>0</v>
      </c>
      <c r="AF102" s="105">
        <v>0</v>
      </c>
      <c r="AG102" s="105">
        <v>0</v>
      </c>
      <c r="AH102" s="105">
        <v>0</v>
      </c>
      <c r="AI102" s="105">
        <v>0</v>
      </c>
      <c r="AJ102" s="105">
        <v>0</v>
      </c>
      <c r="AK102" s="105">
        <v>0</v>
      </c>
      <c r="AL102" s="105">
        <v>0</v>
      </c>
      <c r="AM102" s="105">
        <v>0</v>
      </c>
      <c r="AN102" s="105">
        <v>1</v>
      </c>
      <c r="AO102" s="105">
        <v>2</v>
      </c>
      <c r="AP102" s="105">
        <v>0</v>
      </c>
      <c r="AQ102" s="105">
        <v>0</v>
      </c>
      <c r="AR102" s="105">
        <v>0</v>
      </c>
      <c r="AS102" s="105">
        <v>5</v>
      </c>
      <c r="AT102" s="105">
        <v>35</v>
      </c>
      <c r="AU102" s="105">
        <v>0</v>
      </c>
      <c r="AV102" s="105">
        <v>0</v>
      </c>
      <c r="AW102" s="105">
        <v>0</v>
      </c>
      <c r="AX102" s="105">
        <v>385</v>
      </c>
      <c r="AY102" s="105">
        <v>39</v>
      </c>
      <c r="AZ102" s="105">
        <v>221</v>
      </c>
      <c r="BA102" s="105">
        <v>4</v>
      </c>
      <c r="BC102" s="105">
        <v>2025</v>
      </c>
      <c r="BD102" s="105">
        <v>409</v>
      </c>
    </row>
    <row r="103" spans="1:56">
      <c r="A103" s="158">
        <v>12</v>
      </c>
      <c r="B103" s="107" t="s">
        <v>16739</v>
      </c>
      <c r="C103" s="105" t="s">
        <v>138</v>
      </c>
      <c r="D103" s="105">
        <v>41</v>
      </c>
      <c r="E103" s="105">
        <v>15</v>
      </c>
      <c r="F103" s="105">
        <v>3342</v>
      </c>
      <c r="G103" s="105">
        <v>169</v>
      </c>
      <c r="H103" s="105">
        <v>561</v>
      </c>
      <c r="I103" s="105">
        <v>17</v>
      </c>
      <c r="J103" s="105">
        <v>4560</v>
      </c>
      <c r="K103" s="105">
        <v>30</v>
      </c>
      <c r="L103" s="105">
        <v>1</v>
      </c>
      <c r="R103" s="105">
        <v>4</v>
      </c>
      <c r="S103" s="105">
        <v>2</v>
      </c>
      <c r="T103" s="105">
        <v>2</v>
      </c>
      <c r="U103" s="105">
        <v>9</v>
      </c>
      <c r="V103" s="105">
        <v>0</v>
      </c>
      <c r="W103" s="105">
        <v>38</v>
      </c>
      <c r="X103" s="105">
        <v>42</v>
      </c>
      <c r="Y103" s="105">
        <v>21</v>
      </c>
      <c r="Z103" s="105">
        <v>42</v>
      </c>
      <c r="AA103" s="105">
        <v>0</v>
      </c>
      <c r="AB103" s="105">
        <v>0</v>
      </c>
      <c r="AC103" s="105">
        <v>0</v>
      </c>
      <c r="AD103" s="105">
        <v>0</v>
      </c>
      <c r="AE103" s="105">
        <v>0</v>
      </c>
      <c r="AF103" s="105">
        <v>0</v>
      </c>
      <c r="AG103" s="105">
        <v>0</v>
      </c>
      <c r="AH103" s="105">
        <v>0</v>
      </c>
      <c r="AI103" s="105">
        <v>0</v>
      </c>
      <c r="AJ103" s="105">
        <v>0</v>
      </c>
      <c r="AK103" s="105">
        <v>0</v>
      </c>
      <c r="AL103" s="105">
        <v>0</v>
      </c>
      <c r="AM103" s="105">
        <v>0</v>
      </c>
      <c r="AN103" s="105">
        <v>0</v>
      </c>
      <c r="AO103" s="105">
        <v>0</v>
      </c>
      <c r="AP103" s="105">
        <v>0</v>
      </c>
      <c r="AQ103" s="105">
        <v>0</v>
      </c>
      <c r="AR103" s="105">
        <v>0</v>
      </c>
      <c r="AS103" s="105">
        <v>0</v>
      </c>
      <c r="AT103" s="105">
        <v>0</v>
      </c>
      <c r="AU103" s="105">
        <v>0</v>
      </c>
      <c r="AV103" s="105">
        <v>0</v>
      </c>
      <c r="AW103" s="105">
        <v>0</v>
      </c>
      <c r="AX103" s="105">
        <v>879</v>
      </c>
      <c r="AY103" s="105">
        <v>2</v>
      </c>
      <c r="AZ103" s="105">
        <v>5</v>
      </c>
      <c r="BA103" s="105">
        <v>3</v>
      </c>
      <c r="BB103" s="105" t="s">
        <v>16615</v>
      </c>
      <c r="BC103" s="105">
        <v>2025</v>
      </c>
      <c r="BD103" s="105">
        <v>214</v>
      </c>
    </row>
    <row r="104" spans="1:56">
      <c r="A104" s="158">
        <v>12</v>
      </c>
      <c r="B104" s="107" t="s">
        <v>16739</v>
      </c>
      <c r="C104" s="105" t="s">
        <v>140</v>
      </c>
      <c r="D104" s="105">
        <v>43</v>
      </c>
      <c r="E104" s="105">
        <v>9</v>
      </c>
      <c r="F104" s="105">
        <v>4352</v>
      </c>
      <c r="G104" s="105">
        <v>429</v>
      </c>
      <c r="H104" s="105">
        <v>867</v>
      </c>
      <c r="I104" s="105">
        <v>21</v>
      </c>
      <c r="J104" s="105">
        <v>7039</v>
      </c>
      <c r="K104" s="105">
        <v>120</v>
      </c>
      <c r="L104" s="105">
        <v>0</v>
      </c>
      <c r="Q104" s="105">
        <v>1236</v>
      </c>
      <c r="R104" s="105">
        <v>10</v>
      </c>
      <c r="S104" s="105">
        <v>2</v>
      </c>
      <c r="T104" s="105">
        <v>1</v>
      </c>
      <c r="U104" s="105">
        <v>8</v>
      </c>
      <c r="V104" s="105">
        <v>1</v>
      </c>
      <c r="W104" s="105">
        <v>201</v>
      </c>
      <c r="X104" s="105">
        <v>39</v>
      </c>
      <c r="Y104" s="105">
        <v>6</v>
      </c>
      <c r="Z104" s="105">
        <v>63</v>
      </c>
      <c r="AA104" s="105">
        <v>16</v>
      </c>
      <c r="AX104" s="105">
        <v>313</v>
      </c>
      <c r="BB104" s="105" t="s">
        <v>16616</v>
      </c>
      <c r="BC104" s="105">
        <v>2025</v>
      </c>
      <c r="BD104" s="105">
        <v>116</v>
      </c>
    </row>
    <row r="105" spans="1:56">
      <c r="A105" s="158">
        <v>12</v>
      </c>
      <c r="B105" s="107" t="s">
        <v>16739</v>
      </c>
      <c r="C105" s="105" t="s">
        <v>136</v>
      </c>
      <c r="D105" s="105">
        <v>181</v>
      </c>
      <c r="E105" s="105">
        <v>50</v>
      </c>
      <c r="F105" s="105">
        <v>11975</v>
      </c>
      <c r="G105" s="105">
        <v>778</v>
      </c>
      <c r="H105" s="105">
        <v>1679</v>
      </c>
      <c r="I105" s="105">
        <v>7</v>
      </c>
      <c r="J105" s="105">
        <v>36502</v>
      </c>
      <c r="K105" s="105">
        <v>74</v>
      </c>
      <c r="L105" s="105">
        <v>5</v>
      </c>
      <c r="Q105" s="105">
        <v>2312</v>
      </c>
      <c r="R105" s="105">
        <v>24</v>
      </c>
      <c r="S105" s="105">
        <v>4</v>
      </c>
      <c r="T105" s="105">
        <v>6</v>
      </c>
      <c r="U105" s="105">
        <v>13</v>
      </c>
      <c r="V105" s="105">
        <v>5</v>
      </c>
      <c r="W105" s="105">
        <v>739</v>
      </c>
      <c r="X105" s="105">
        <v>67</v>
      </c>
      <c r="Y105" s="105">
        <v>65</v>
      </c>
      <c r="Z105" s="105">
        <v>109</v>
      </c>
      <c r="AA105" s="105">
        <v>202</v>
      </c>
      <c r="AX105" s="105">
        <v>2016</v>
      </c>
      <c r="AY105" s="105">
        <v>1</v>
      </c>
      <c r="AZ105" s="105">
        <v>1</v>
      </c>
      <c r="BB105" s="105" t="s">
        <v>16619</v>
      </c>
      <c r="BC105" s="105">
        <v>2025</v>
      </c>
      <c r="BD105" s="105">
        <v>639</v>
      </c>
    </row>
    <row r="106" spans="1:56">
      <c r="A106" s="158">
        <v>12</v>
      </c>
      <c r="B106" s="107" t="s">
        <v>16739</v>
      </c>
      <c r="C106" s="105" t="s">
        <v>134</v>
      </c>
      <c r="D106" s="105">
        <v>7</v>
      </c>
      <c r="E106" s="105">
        <v>2</v>
      </c>
      <c r="F106" s="105">
        <v>792</v>
      </c>
      <c r="H106" s="105">
        <v>2</v>
      </c>
      <c r="J106" s="105">
        <v>1256</v>
      </c>
      <c r="K106" s="105">
        <v>2</v>
      </c>
      <c r="AB106" s="105">
        <v>3</v>
      </c>
      <c r="AE106" s="105">
        <v>3</v>
      </c>
      <c r="AG106" s="105">
        <v>105</v>
      </c>
      <c r="AJ106" s="105">
        <v>70</v>
      </c>
      <c r="AX106" s="105">
        <v>295</v>
      </c>
      <c r="AY106" s="105">
        <v>7</v>
      </c>
      <c r="AZ106" s="105">
        <v>135.5</v>
      </c>
      <c r="BA106" s="105">
        <v>3</v>
      </c>
      <c r="BB106" s="105" t="s">
        <v>16614</v>
      </c>
      <c r="BC106" s="105">
        <v>2025</v>
      </c>
    </row>
    <row r="107" spans="1:56">
      <c r="A107" s="158">
        <v>12</v>
      </c>
      <c r="B107" s="107" t="s">
        <v>16739</v>
      </c>
      <c r="C107" s="105" t="s">
        <v>136</v>
      </c>
      <c r="J107" s="105"/>
      <c r="AY107" s="105">
        <v>3</v>
      </c>
      <c r="AZ107" s="105">
        <v>11</v>
      </c>
      <c r="BB107" s="105" t="s">
        <v>192</v>
      </c>
      <c r="BC107" s="105">
        <v>2025</v>
      </c>
    </row>
    <row r="108" spans="1:56">
      <c r="A108" s="158">
        <v>12</v>
      </c>
      <c r="B108" s="107" t="s">
        <v>16739</v>
      </c>
      <c r="C108" s="105" t="s">
        <v>139</v>
      </c>
      <c r="D108" s="105">
        <v>2</v>
      </c>
      <c r="E108" s="105">
        <v>19</v>
      </c>
      <c r="F108" s="105">
        <v>0</v>
      </c>
      <c r="G108" s="105">
        <v>0</v>
      </c>
      <c r="H108" s="105">
        <v>0</v>
      </c>
      <c r="I108" s="105">
        <v>0</v>
      </c>
      <c r="J108" s="105">
        <v>38</v>
      </c>
      <c r="K108" s="105">
        <v>0</v>
      </c>
      <c r="L108" s="105">
        <v>0</v>
      </c>
      <c r="M108" s="105">
        <v>0</v>
      </c>
      <c r="N108" s="105">
        <v>75</v>
      </c>
      <c r="O108" s="105">
        <v>1825</v>
      </c>
      <c r="P108" s="105">
        <v>5333</v>
      </c>
      <c r="Q108" s="105">
        <v>0</v>
      </c>
      <c r="R108" s="105">
        <v>0</v>
      </c>
      <c r="S108" s="105">
        <v>0</v>
      </c>
      <c r="T108" s="105">
        <v>0</v>
      </c>
      <c r="U108" s="105">
        <v>0</v>
      </c>
      <c r="V108" s="105">
        <v>0</v>
      </c>
      <c r="W108" s="105">
        <v>0</v>
      </c>
      <c r="X108" s="105">
        <v>0</v>
      </c>
      <c r="Y108" s="105">
        <v>0</v>
      </c>
      <c r="Z108" s="105">
        <v>0</v>
      </c>
      <c r="AA108" s="105">
        <v>0</v>
      </c>
      <c r="AB108" s="105">
        <v>20</v>
      </c>
      <c r="AC108" s="105">
        <v>3</v>
      </c>
      <c r="AD108" s="105">
        <v>13</v>
      </c>
      <c r="AE108" s="105">
        <v>8</v>
      </c>
      <c r="AF108" s="105">
        <v>4</v>
      </c>
      <c r="AG108" s="105">
        <v>500</v>
      </c>
      <c r="AH108" s="105">
        <v>74</v>
      </c>
      <c r="AI108" s="105">
        <v>367</v>
      </c>
      <c r="AJ108" s="105">
        <v>71</v>
      </c>
      <c r="AK108" s="105">
        <v>121</v>
      </c>
      <c r="AL108" s="105">
        <v>0</v>
      </c>
      <c r="AM108" s="105">
        <v>0</v>
      </c>
      <c r="AN108" s="105">
        <v>0</v>
      </c>
      <c r="AO108" s="105">
        <v>2</v>
      </c>
      <c r="AP108" s="105">
        <v>0</v>
      </c>
      <c r="AQ108" s="105">
        <v>0</v>
      </c>
      <c r="AR108" s="105">
        <v>0</v>
      </c>
      <c r="AS108" s="105">
        <v>0</v>
      </c>
      <c r="AT108" s="105">
        <v>43</v>
      </c>
      <c r="AU108" s="105">
        <v>0</v>
      </c>
      <c r="AX108" s="105">
        <v>133</v>
      </c>
      <c r="AY108" s="105">
        <v>27</v>
      </c>
      <c r="AZ108" s="105">
        <v>134.25</v>
      </c>
      <c r="BA108" s="105">
        <v>0</v>
      </c>
      <c r="BB108" s="105" t="s">
        <v>16618</v>
      </c>
      <c r="BC108" s="105">
        <v>2025</v>
      </c>
      <c r="BD108" s="105">
        <v>0</v>
      </c>
    </row>
    <row r="109" spans="1:56">
      <c r="A109" s="158">
        <v>2</v>
      </c>
      <c r="B109" s="107" t="s">
        <v>16734</v>
      </c>
      <c r="C109" s="105" t="s">
        <v>135</v>
      </c>
      <c r="J109" s="105"/>
      <c r="BC109" s="105">
        <v>2025</v>
      </c>
      <c r="BD109" s="105">
        <v>72</v>
      </c>
    </row>
    <row r="110" spans="1:56">
      <c r="A110" s="158">
        <v>2</v>
      </c>
      <c r="B110" s="107" t="s">
        <v>16734</v>
      </c>
      <c r="C110" s="105" t="s">
        <v>136</v>
      </c>
      <c r="J110" s="105"/>
      <c r="BC110" s="105">
        <v>2025</v>
      </c>
      <c r="BD110" s="105">
        <v>503</v>
      </c>
    </row>
    <row r="111" spans="1:56">
      <c r="A111" s="158">
        <v>2</v>
      </c>
      <c r="B111" s="107" t="s">
        <v>16734</v>
      </c>
      <c r="C111" s="105" t="s">
        <v>138</v>
      </c>
      <c r="J111" s="105"/>
      <c r="BC111" s="105">
        <v>2025</v>
      </c>
      <c r="BD111" s="105">
        <v>158</v>
      </c>
    </row>
    <row r="112" spans="1:56">
      <c r="A112" s="158">
        <v>2</v>
      </c>
      <c r="B112" s="107" t="s">
        <v>16734</v>
      </c>
      <c r="C112" s="105" t="s">
        <v>139</v>
      </c>
      <c r="J112" s="105"/>
      <c r="BC112" s="105">
        <v>2025</v>
      </c>
      <c r="BD112" s="105">
        <v>238</v>
      </c>
    </row>
    <row r="113" spans="1:56">
      <c r="A113" s="158">
        <v>2</v>
      </c>
      <c r="B113" s="107" t="s">
        <v>16734</v>
      </c>
      <c r="C113" s="105" t="s">
        <v>140</v>
      </c>
      <c r="J113" s="105"/>
      <c r="BC113" s="105">
        <v>2025</v>
      </c>
      <c r="BD113" s="105">
        <v>40</v>
      </c>
    </row>
    <row r="114" spans="1:56">
      <c r="A114" s="158">
        <v>2</v>
      </c>
      <c r="B114" s="107" t="s">
        <v>16734</v>
      </c>
      <c r="C114" s="105" t="s">
        <v>134</v>
      </c>
      <c r="J114" s="105"/>
      <c r="BC114" s="105">
        <v>2025</v>
      </c>
    </row>
    <row r="115" spans="1:56">
      <c r="A115" s="158">
        <v>2</v>
      </c>
      <c r="B115" s="107" t="s">
        <v>16734</v>
      </c>
      <c r="C115" s="105" t="s">
        <v>139</v>
      </c>
      <c r="D115" s="105">
        <v>218</v>
      </c>
      <c r="F115" s="105">
        <v>13867</v>
      </c>
      <c r="G115" s="105">
        <v>1859</v>
      </c>
      <c r="H115" s="105">
        <v>2360</v>
      </c>
      <c r="I115" s="105">
        <v>6</v>
      </c>
      <c r="J115" s="105">
        <v>14107</v>
      </c>
      <c r="K115" s="105">
        <v>136</v>
      </c>
      <c r="M115" s="105">
        <v>2</v>
      </c>
      <c r="N115" s="105">
        <v>92</v>
      </c>
      <c r="O115" s="105">
        <v>2747</v>
      </c>
      <c r="P115" s="105">
        <v>5962</v>
      </c>
      <c r="Q115" s="105">
        <v>596</v>
      </c>
      <c r="R115" s="105">
        <v>28</v>
      </c>
      <c r="S115" s="105">
        <v>5</v>
      </c>
      <c r="T115" s="105">
        <v>12</v>
      </c>
      <c r="U115" s="105">
        <v>29</v>
      </c>
      <c r="V115" s="105">
        <v>1</v>
      </c>
      <c r="W115" s="105">
        <v>940</v>
      </c>
      <c r="X115" s="105">
        <v>123</v>
      </c>
      <c r="Y115" s="105">
        <v>131</v>
      </c>
      <c r="Z115" s="105">
        <v>143</v>
      </c>
      <c r="AA115" s="105">
        <v>51</v>
      </c>
      <c r="AX115" s="105">
        <v>13</v>
      </c>
      <c r="AY115" s="105">
        <v>50</v>
      </c>
      <c r="AZ115" s="105">
        <v>266</v>
      </c>
      <c r="BA115" s="105">
        <v>7</v>
      </c>
      <c r="BC115" s="105">
        <v>2025</v>
      </c>
      <c r="BD115" s="105">
        <v>148</v>
      </c>
    </row>
    <row r="116" spans="1:56">
      <c r="A116" s="158">
        <v>2</v>
      </c>
      <c r="B116" s="107" t="s">
        <v>16734</v>
      </c>
      <c r="C116" s="105" t="s">
        <v>135</v>
      </c>
      <c r="D116" s="105">
        <v>29</v>
      </c>
      <c r="F116" s="105">
        <v>2241</v>
      </c>
      <c r="G116" s="105">
        <v>207</v>
      </c>
      <c r="H116" s="105">
        <v>589</v>
      </c>
      <c r="I116" s="105">
        <v>0</v>
      </c>
      <c r="J116" s="105">
        <v>2693</v>
      </c>
      <c r="K116" s="105">
        <v>58</v>
      </c>
      <c r="O116" s="105">
        <v>985</v>
      </c>
      <c r="P116" s="105">
        <v>1846</v>
      </c>
      <c r="Q116" s="105">
        <v>100</v>
      </c>
      <c r="R116" s="105">
        <v>13</v>
      </c>
      <c r="S116" s="105">
        <v>1</v>
      </c>
      <c r="T116" s="105">
        <v>1</v>
      </c>
      <c r="U116" s="105">
        <v>7</v>
      </c>
      <c r="V116" s="105">
        <v>2</v>
      </c>
      <c r="W116" s="105">
        <v>170</v>
      </c>
      <c r="X116" s="105">
        <v>10</v>
      </c>
      <c r="Y116" s="105">
        <v>5</v>
      </c>
      <c r="Z116" s="105">
        <v>56</v>
      </c>
      <c r="AA116" s="105">
        <v>46</v>
      </c>
      <c r="AX116" s="105">
        <v>8</v>
      </c>
      <c r="AY116" s="105">
        <v>35</v>
      </c>
      <c r="AZ116" s="105">
        <v>60</v>
      </c>
      <c r="BA116" s="105">
        <v>0</v>
      </c>
      <c r="BC116" s="105">
        <v>2025</v>
      </c>
      <c r="BD116" s="105">
        <v>46</v>
      </c>
    </row>
    <row r="117" spans="1:56">
      <c r="A117" s="158">
        <v>2</v>
      </c>
      <c r="B117" s="107" t="s">
        <v>16734</v>
      </c>
      <c r="C117" s="105" t="s">
        <v>136</v>
      </c>
      <c r="D117" s="105">
        <v>208</v>
      </c>
      <c r="F117" s="105">
        <v>11414</v>
      </c>
      <c r="G117" s="105">
        <v>686</v>
      </c>
      <c r="H117" s="105">
        <v>1730</v>
      </c>
      <c r="I117" s="105">
        <v>14</v>
      </c>
      <c r="J117" s="105">
        <v>17829</v>
      </c>
      <c r="K117" s="105">
        <v>27</v>
      </c>
      <c r="O117" s="105">
        <v>1641</v>
      </c>
      <c r="P117" s="105">
        <v>5960</v>
      </c>
      <c r="Q117" s="105">
        <v>282</v>
      </c>
      <c r="R117" s="105">
        <v>23</v>
      </c>
      <c r="S117" s="105">
        <v>6</v>
      </c>
      <c r="T117" s="105">
        <v>7</v>
      </c>
      <c r="U117" s="105">
        <v>14</v>
      </c>
      <c r="V117" s="105">
        <v>4</v>
      </c>
      <c r="W117" s="105">
        <v>683</v>
      </c>
      <c r="X117" s="105">
        <v>66</v>
      </c>
      <c r="Y117" s="105">
        <v>93</v>
      </c>
      <c r="Z117" s="105">
        <v>116</v>
      </c>
      <c r="AA117" s="105">
        <v>154</v>
      </c>
      <c r="AX117" s="105">
        <v>5</v>
      </c>
      <c r="AY117" s="105">
        <v>16</v>
      </c>
      <c r="AZ117" s="105">
        <v>221</v>
      </c>
      <c r="BA117" s="105">
        <v>0</v>
      </c>
      <c r="BC117" s="105">
        <v>2025</v>
      </c>
      <c r="BD117" s="105">
        <v>314</v>
      </c>
    </row>
    <row r="118" spans="1:56">
      <c r="A118" s="158">
        <v>2</v>
      </c>
      <c r="B118" s="107" t="s">
        <v>16734</v>
      </c>
      <c r="C118" s="105" t="s">
        <v>138</v>
      </c>
      <c r="D118" s="105">
        <v>54</v>
      </c>
      <c r="F118" s="105">
        <v>3403</v>
      </c>
      <c r="G118" s="105">
        <v>193</v>
      </c>
      <c r="H118" s="105">
        <v>992</v>
      </c>
      <c r="I118" s="105">
        <v>11</v>
      </c>
      <c r="J118" s="105">
        <v>4250</v>
      </c>
      <c r="K118" s="105">
        <v>12</v>
      </c>
      <c r="O118" s="105">
        <v>1347</v>
      </c>
      <c r="P118" s="105">
        <v>2470</v>
      </c>
      <c r="Q118" s="105">
        <v>62</v>
      </c>
      <c r="R118" s="105">
        <v>5</v>
      </c>
      <c r="S118" s="105">
        <v>4</v>
      </c>
      <c r="T118" s="105">
        <v>2</v>
      </c>
      <c r="U118" s="105">
        <v>13</v>
      </c>
      <c r="V118" s="105">
        <v>0</v>
      </c>
      <c r="W118" s="105">
        <v>52</v>
      </c>
      <c r="X118" s="105">
        <v>47</v>
      </c>
      <c r="Y118" s="105">
        <v>8</v>
      </c>
      <c r="Z118" s="105">
        <v>118</v>
      </c>
      <c r="AA118" s="105">
        <v>0</v>
      </c>
      <c r="AX118" s="105">
        <v>11</v>
      </c>
      <c r="AY118" s="105">
        <v>4</v>
      </c>
      <c r="AZ118" s="105">
        <v>86</v>
      </c>
      <c r="BA118" s="105">
        <v>5</v>
      </c>
      <c r="BC118" s="105">
        <v>2025</v>
      </c>
      <c r="BD118" s="105">
        <v>115</v>
      </c>
    </row>
    <row r="119" spans="1:56">
      <c r="A119" s="158">
        <v>2</v>
      </c>
      <c r="B119" s="107" t="s">
        <v>16734</v>
      </c>
      <c r="C119" s="105" t="s">
        <v>140</v>
      </c>
      <c r="D119" s="105">
        <v>36</v>
      </c>
      <c r="F119" s="105">
        <v>3286</v>
      </c>
      <c r="G119" s="105">
        <v>409</v>
      </c>
      <c r="H119" s="105">
        <v>975</v>
      </c>
      <c r="I119" s="105">
        <v>5</v>
      </c>
      <c r="J119" s="105">
        <v>3430</v>
      </c>
      <c r="K119" s="105">
        <v>96</v>
      </c>
      <c r="O119" s="105">
        <v>1192</v>
      </c>
      <c r="P119" s="105">
        <v>2195</v>
      </c>
      <c r="Q119" s="105">
        <v>218</v>
      </c>
      <c r="R119" s="105">
        <v>7</v>
      </c>
      <c r="S119" s="105">
        <v>3</v>
      </c>
      <c r="T119" s="105">
        <v>1</v>
      </c>
      <c r="U119" s="105">
        <v>8</v>
      </c>
      <c r="V119" s="105">
        <v>1</v>
      </c>
      <c r="W119" s="105">
        <v>73</v>
      </c>
      <c r="X119" s="105">
        <v>68</v>
      </c>
      <c r="Y119" s="105">
        <v>5</v>
      </c>
      <c r="Z119" s="105">
        <v>67</v>
      </c>
      <c r="AA119" s="105">
        <v>20</v>
      </c>
      <c r="AX119" s="105">
        <v>2</v>
      </c>
      <c r="AY119" s="105">
        <v>18</v>
      </c>
      <c r="AZ119" s="105">
        <v>87</v>
      </c>
      <c r="BA119" s="105">
        <v>2</v>
      </c>
      <c r="BC119" s="105">
        <v>2025</v>
      </c>
      <c r="BD119" s="105">
        <v>40</v>
      </c>
    </row>
    <row r="120" spans="1:56">
      <c r="A120" s="158">
        <v>2</v>
      </c>
      <c r="B120" s="107" t="s">
        <v>16734</v>
      </c>
      <c r="C120" s="105" t="s">
        <v>134</v>
      </c>
      <c r="D120" s="105">
        <v>24</v>
      </c>
      <c r="F120" s="105">
        <v>13867</v>
      </c>
      <c r="J120" s="105">
        <v>1764</v>
      </c>
      <c r="K120" s="105">
        <v>4</v>
      </c>
      <c r="O120" s="105">
        <v>15</v>
      </c>
      <c r="P120" s="105">
        <v>421</v>
      </c>
      <c r="R120" s="105">
        <v>4</v>
      </c>
      <c r="S120" s="105">
        <v>0</v>
      </c>
      <c r="T120" s="105">
        <v>0</v>
      </c>
      <c r="U120" s="105">
        <v>0</v>
      </c>
      <c r="V120" s="105">
        <v>0</v>
      </c>
      <c r="W120" s="105">
        <v>104</v>
      </c>
      <c r="X120" s="105">
        <v>0</v>
      </c>
      <c r="Y120" s="105">
        <v>0</v>
      </c>
      <c r="Z120" s="105">
        <v>0</v>
      </c>
      <c r="AA120" s="105">
        <v>0</v>
      </c>
      <c r="AX120" s="105">
        <v>0</v>
      </c>
      <c r="AY120" s="105">
        <v>8</v>
      </c>
      <c r="AZ120" s="105">
        <v>58</v>
      </c>
      <c r="BA120" s="105">
        <v>0</v>
      </c>
      <c r="BC120" s="105">
        <v>2025</v>
      </c>
    </row>
    <row r="121" spans="1:56">
      <c r="A121" s="158">
        <v>1</v>
      </c>
      <c r="B121" s="107" t="s">
        <v>16733</v>
      </c>
      <c r="C121" s="105" t="s">
        <v>139</v>
      </c>
      <c r="E121" s="105">
        <v>181</v>
      </c>
      <c r="F121" s="105">
        <v>13105</v>
      </c>
      <c r="G121" s="105">
        <v>1617</v>
      </c>
      <c r="H121" s="105">
        <v>3059</v>
      </c>
      <c r="I121" s="105">
        <v>2</v>
      </c>
      <c r="J121" s="105">
        <v>14481</v>
      </c>
      <c r="K121" s="105">
        <v>136</v>
      </c>
      <c r="M121" s="105">
        <v>7</v>
      </c>
      <c r="N121" s="105">
        <v>105</v>
      </c>
      <c r="Q121" s="105">
        <v>749</v>
      </c>
      <c r="R121" s="105">
        <v>22</v>
      </c>
      <c r="S121" s="105">
        <v>5</v>
      </c>
      <c r="T121" s="105">
        <v>5</v>
      </c>
      <c r="U121" s="105">
        <v>18</v>
      </c>
      <c r="V121" s="105">
        <v>8</v>
      </c>
      <c r="W121" s="105">
        <v>913</v>
      </c>
      <c r="X121" s="105">
        <v>99</v>
      </c>
      <c r="Y121" s="105">
        <v>47</v>
      </c>
      <c r="Z121" s="105">
        <v>137</v>
      </c>
      <c r="AA121" s="105">
        <v>364</v>
      </c>
      <c r="AX121" s="105">
        <v>47</v>
      </c>
      <c r="AY121" s="105">
        <v>9</v>
      </c>
      <c r="AZ121" s="105">
        <v>48</v>
      </c>
      <c r="BA121" s="105">
        <v>9</v>
      </c>
      <c r="BC121" s="105">
        <v>2025</v>
      </c>
      <c r="BD121" s="105">
        <v>199</v>
      </c>
    </row>
    <row r="122" spans="1:56">
      <c r="A122" s="158">
        <v>1</v>
      </c>
      <c r="B122" s="107" t="s">
        <v>16733</v>
      </c>
      <c r="C122" s="105" t="s">
        <v>135</v>
      </c>
      <c r="E122" s="105">
        <v>27</v>
      </c>
      <c r="F122" s="105">
        <v>2152</v>
      </c>
      <c r="G122" s="105">
        <v>216</v>
      </c>
      <c r="H122" s="105">
        <v>457</v>
      </c>
      <c r="I122" s="105">
        <v>1</v>
      </c>
      <c r="J122" s="105">
        <v>2594</v>
      </c>
      <c r="K122" s="105">
        <v>62</v>
      </c>
      <c r="Q122" s="105">
        <v>190</v>
      </c>
      <c r="R122" s="105">
        <v>10</v>
      </c>
      <c r="S122" s="105">
        <v>2</v>
      </c>
      <c r="T122" s="105">
        <v>2</v>
      </c>
      <c r="U122" s="105">
        <v>4</v>
      </c>
      <c r="V122" s="105">
        <v>2</v>
      </c>
      <c r="W122" s="105">
        <v>119</v>
      </c>
      <c r="X122" s="105">
        <v>25</v>
      </c>
      <c r="Y122" s="105">
        <v>11</v>
      </c>
      <c r="Z122" s="105">
        <v>27</v>
      </c>
      <c r="AA122" s="105">
        <v>75</v>
      </c>
      <c r="AX122" s="105">
        <v>7</v>
      </c>
      <c r="AY122" s="105">
        <v>38</v>
      </c>
      <c r="AZ122" s="105">
        <v>27</v>
      </c>
      <c r="BA122" s="105">
        <v>0</v>
      </c>
      <c r="BC122" s="105">
        <v>2025</v>
      </c>
      <c r="BD122" s="105">
        <v>36</v>
      </c>
    </row>
    <row r="123" spans="1:56">
      <c r="A123" s="158">
        <v>1</v>
      </c>
      <c r="B123" s="107" t="s">
        <v>16733</v>
      </c>
      <c r="C123" s="105" t="s">
        <v>136</v>
      </c>
      <c r="E123" s="105">
        <v>202</v>
      </c>
      <c r="F123" s="105">
        <v>10010</v>
      </c>
      <c r="G123" s="105">
        <v>679</v>
      </c>
      <c r="H123" s="105">
        <v>1570</v>
      </c>
      <c r="I123" s="105">
        <v>6</v>
      </c>
      <c r="J123" s="105">
        <v>18615</v>
      </c>
      <c r="K123" s="105">
        <v>28</v>
      </c>
      <c r="Q123" s="105">
        <v>160</v>
      </c>
      <c r="R123" s="105">
        <v>30</v>
      </c>
      <c r="S123" s="105">
        <v>5</v>
      </c>
      <c r="T123" s="105">
        <v>5</v>
      </c>
      <c r="U123" s="105">
        <v>10</v>
      </c>
      <c r="V123" s="105">
        <v>4</v>
      </c>
      <c r="W123" s="105">
        <v>867</v>
      </c>
      <c r="X123" s="105">
        <v>63</v>
      </c>
      <c r="Y123" s="105">
        <v>47</v>
      </c>
      <c r="Z123" s="105">
        <v>85</v>
      </c>
      <c r="AA123" s="105">
        <v>184</v>
      </c>
      <c r="AX123" s="105">
        <v>5</v>
      </c>
      <c r="AY123" s="105">
        <v>0</v>
      </c>
      <c r="AZ123" s="105">
        <v>0</v>
      </c>
      <c r="BA123" s="105">
        <v>0</v>
      </c>
      <c r="BC123" s="105">
        <v>2025</v>
      </c>
      <c r="BD123" s="105">
        <v>324</v>
      </c>
    </row>
    <row r="124" spans="1:56">
      <c r="A124" s="158">
        <v>1</v>
      </c>
      <c r="B124" s="107" t="s">
        <v>16733</v>
      </c>
      <c r="C124" s="105" t="s">
        <v>138</v>
      </c>
      <c r="E124" s="105">
        <v>46</v>
      </c>
      <c r="F124" s="105">
        <v>3150</v>
      </c>
      <c r="G124" s="105">
        <v>138</v>
      </c>
      <c r="H124" s="105">
        <v>742</v>
      </c>
      <c r="I124" s="105">
        <v>9</v>
      </c>
      <c r="J124" s="105">
        <v>4442</v>
      </c>
      <c r="K124" s="105">
        <v>16</v>
      </c>
      <c r="Q124" s="105">
        <v>87</v>
      </c>
      <c r="R124" s="105">
        <v>1</v>
      </c>
      <c r="S124" s="105">
        <v>2</v>
      </c>
      <c r="T124" s="105">
        <v>2</v>
      </c>
      <c r="U124" s="105">
        <v>10</v>
      </c>
      <c r="V124" s="105">
        <v>0</v>
      </c>
      <c r="W124" s="105">
        <v>8</v>
      </c>
      <c r="X124" s="105">
        <v>6</v>
      </c>
      <c r="Y124" s="105">
        <v>4</v>
      </c>
      <c r="Z124" s="105">
        <v>105</v>
      </c>
      <c r="AA124" s="105">
        <v>0</v>
      </c>
      <c r="AX124" s="105">
        <v>7</v>
      </c>
      <c r="AY124" s="105">
        <v>1</v>
      </c>
      <c r="AZ124" s="105">
        <v>9</v>
      </c>
      <c r="BA124" s="105">
        <v>2</v>
      </c>
      <c r="BC124" s="105">
        <v>2025</v>
      </c>
      <c r="BD124" s="105">
        <v>74</v>
      </c>
    </row>
    <row r="125" spans="1:56">
      <c r="A125" s="158">
        <v>1</v>
      </c>
      <c r="B125" s="107" t="s">
        <v>16733</v>
      </c>
      <c r="C125" s="105" t="s">
        <v>140</v>
      </c>
      <c r="E125" s="105">
        <v>56</v>
      </c>
      <c r="F125" s="105">
        <v>3430</v>
      </c>
      <c r="G125" s="105">
        <v>395</v>
      </c>
      <c r="H125" s="105">
        <v>457</v>
      </c>
      <c r="I125" s="105">
        <v>3</v>
      </c>
      <c r="J125" s="105">
        <v>3551</v>
      </c>
      <c r="K125" s="105">
        <v>104</v>
      </c>
      <c r="Q125" s="105">
        <v>575</v>
      </c>
      <c r="R125" s="105">
        <v>10</v>
      </c>
      <c r="S125" s="105">
        <v>2</v>
      </c>
      <c r="T125" s="105">
        <v>2</v>
      </c>
      <c r="U125" s="105">
        <v>9</v>
      </c>
      <c r="V125" s="105">
        <v>0</v>
      </c>
      <c r="W125" s="105">
        <v>146</v>
      </c>
      <c r="X125" s="105">
        <v>56</v>
      </c>
      <c r="Y125" s="105">
        <v>15</v>
      </c>
      <c r="Z125" s="105">
        <v>91</v>
      </c>
      <c r="AA125" s="105">
        <v>0</v>
      </c>
      <c r="AX125" s="105">
        <v>2</v>
      </c>
      <c r="AY125" s="105">
        <v>4</v>
      </c>
      <c r="AZ125" s="105">
        <v>16</v>
      </c>
      <c r="BA125" s="105">
        <v>3</v>
      </c>
      <c r="BC125" s="105">
        <v>2025</v>
      </c>
      <c r="BD125" s="105">
        <v>58</v>
      </c>
    </row>
    <row r="126" spans="1:56">
      <c r="A126" s="158">
        <v>1</v>
      </c>
      <c r="B126" s="107" t="s">
        <v>16733</v>
      </c>
      <c r="C126" s="105" t="s">
        <v>134</v>
      </c>
      <c r="E126" s="105">
        <v>7</v>
      </c>
      <c r="F126" s="105">
        <v>625</v>
      </c>
      <c r="J126" s="105">
        <v>1342</v>
      </c>
      <c r="K126" s="105">
        <v>4</v>
      </c>
      <c r="R126" s="105">
        <v>3</v>
      </c>
      <c r="S126" s="105">
        <v>0</v>
      </c>
      <c r="T126" s="105">
        <v>0</v>
      </c>
      <c r="U126" s="105">
        <v>0</v>
      </c>
      <c r="V126" s="105">
        <v>0</v>
      </c>
      <c r="W126" s="105">
        <v>96</v>
      </c>
      <c r="X126" s="105">
        <v>0</v>
      </c>
      <c r="Y126" s="105">
        <v>0</v>
      </c>
      <c r="Z126" s="105">
        <v>0</v>
      </c>
      <c r="AA126" s="105">
        <v>0</v>
      </c>
      <c r="AX126" s="105">
        <v>1</v>
      </c>
      <c r="AY126" s="105">
        <v>1</v>
      </c>
      <c r="AZ126" s="105">
        <v>1</v>
      </c>
      <c r="BA126" s="105">
        <v>0</v>
      </c>
      <c r="BC126" s="105">
        <v>2025</v>
      </c>
    </row>
    <row r="127" spans="1:56">
      <c r="A127" s="158">
        <v>7</v>
      </c>
      <c r="B127" s="107" t="s">
        <v>133</v>
      </c>
      <c r="C127" s="105" t="s">
        <v>134</v>
      </c>
      <c r="D127" s="105">
        <v>13</v>
      </c>
      <c r="E127" s="105">
        <v>6</v>
      </c>
      <c r="F127" s="105">
        <v>1251</v>
      </c>
      <c r="J127" s="105"/>
      <c r="AV127" s="105">
        <v>2</v>
      </c>
      <c r="AX127" s="105">
        <v>246</v>
      </c>
      <c r="BA127" s="105">
        <v>1</v>
      </c>
      <c r="BC127" s="105">
        <v>2025</v>
      </c>
    </row>
    <row r="128" spans="1:56">
      <c r="A128" s="158">
        <v>7</v>
      </c>
      <c r="B128" s="107" t="s">
        <v>133</v>
      </c>
      <c r="C128" s="105" t="s">
        <v>135</v>
      </c>
      <c r="D128" s="105">
        <v>34</v>
      </c>
      <c r="E128" s="105">
        <v>12</v>
      </c>
      <c r="F128" s="105">
        <v>3515</v>
      </c>
      <c r="G128" s="105">
        <v>245</v>
      </c>
      <c r="H128" s="105">
        <v>477</v>
      </c>
      <c r="I128" s="105">
        <v>1</v>
      </c>
      <c r="J128" s="105"/>
      <c r="R128" s="105">
        <v>10</v>
      </c>
      <c r="S128" s="105">
        <v>3</v>
      </c>
      <c r="T128" s="105">
        <v>7</v>
      </c>
      <c r="U128" s="105">
        <v>5</v>
      </c>
      <c r="V128" s="105">
        <v>6</v>
      </c>
      <c r="W128" s="105">
        <v>114</v>
      </c>
      <c r="X128" s="105">
        <v>39</v>
      </c>
      <c r="Y128" s="105">
        <v>39</v>
      </c>
      <c r="Z128" s="105">
        <v>36</v>
      </c>
      <c r="AA128" s="105">
        <v>126</v>
      </c>
      <c r="AV128" s="105">
        <v>1</v>
      </c>
      <c r="AX128" s="105">
        <v>4</v>
      </c>
      <c r="AY128" s="105">
        <v>14</v>
      </c>
      <c r="AZ128" s="105">
        <v>15.8</v>
      </c>
      <c r="BC128" s="105">
        <v>2025</v>
      </c>
      <c r="BD128" s="105">
        <v>87</v>
      </c>
    </row>
    <row r="129" spans="1:56">
      <c r="A129" s="158">
        <v>7</v>
      </c>
      <c r="B129" s="107" t="s">
        <v>133</v>
      </c>
      <c r="C129" s="105" t="s">
        <v>136</v>
      </c>
      <c r="D129" s="105">
        <v>252</v>
      </c>
      <c r="E129" s="105">
        <v>76</v>
      </c>
      <c r="F129" s="105">
        <v>15128</v>
      </c>
      <c r="G129" s="105">
        <v>772</v>
      </c>
      <c r="H129" s="105">
        <v>2086</v>
      </c>
      <c r="J129" s="105"/>
      <c r="R129" s="105">
        <v>24</v>
      </c>
      <c r="S129" s="105">
        <v>6</v>
      </c>
      <c r="T129" s="105">
        <v>8</v>
      </c>
      <c r="U129" s="105">
        <v>12</v>
      </c>
      <c r="V129" s="105">
        <v>14</v>
      </c>
      <c r="W129" s="105">
        <v>731</v>
      </c>
      <c r="X129" s="105">
        <v>148</v>
      </c>
      <c r="Y129" s="105">
        <v>269</v>
      </c>
      <c r="Z129" s="105">
        <v>117</v>
      </c>
      <c r="AA129" s="105">
        <v>803</v>
      </c>
      <c r="AC129" s="105">
        <v>1</v>
      </c>
      <c r="AX129" s="105">
        <v>4</v>
      </c>
      <c r="AY129" s="105">
        <v>9</v>
      </c>
      <c r="AZ129" s="105">
        <v>10</v>
      </c>
      <c r="BC129" s="105">
        <v>2025</v>
      </c>
      <c r="BD129" s="105">
        <v>674</v>
      </c>
    </row>
    <row r="130" spans="1:56">
      <c r="A130" s="158">
        <v>7</v>
      </c>
      <c r="B130" s="107" t="s">
        <v>133</v>
      </c>
      <c r="C130" s="105" t="s">
        <v>138</v>
      </c>
      <c r="D130" s="105">
        <v>67</v>
      </c>
      <c r="E130" s="105">
        <v>15</v>
      </c>
      <c r="J130" s="105"/>
      <c r="BC130" s="105">
        <v>2025</v>
      </c>
      <c r="BD130" s="105">
        <v>257</v>
      </c>
    </row>
    <row r="131" spans="1:56">
      <c r="A131" s="158">
        <v>7</v>
      </c>
      <c r="B131" s="107" t="s">
        <v>133</v>
      </c>
      <c r="C131" s="105" t="s">
        <v>139</v>
      </c>
      <c r="D131" s="105">
        <v>223</v>
      </c>
      <c r="E131" s="105">
        <v>90</v>
      </c>
      <c r="J131" s="105"/>
      <c r="BC131" s="105">
        <v>2025</v>
      </c>
      <c r="BD131" s="105">
        <v>413</v>
      </c>
    </row>
    <row r="132" spans="1:56">
      <c r="A132" s="158">
        <v>7</v>
      </c>
      <c r="B132" s="107" t="s">
        <v>133</v>
      </c>
      <c r="C132" s="105" t="s">
        <v>139</v>
      </c>
      <c r="F132" s="105">
        <v>20248</v>
      </c>
      <c r="G132" s="105">
        <v>2158</v>
      </c>
      <c r="H132" s="105">
        <v>3826</v>
      </c>
      <c r="I132" s="105">
        <v>20</v>
      </c>
      <c r="J132" s="105">
        <v>33792</v>
      </c>
      <c r="K132" s="105">
        <v>141</v>
      </c>
      <c r="L132" s="105">
        <v>27</v>
      </c>
      <c r="N132" s="105">
        <v>123</v>
      </c>
      <c r="O132" s="105">
        <v>7</v>
      </c>
      <c r="Q132" s="105">
        <v>2011</v>
      </c>
      <c r="R132" s="105">
        <v>12</v>
      </c>
      <c r="S132" s="105">
        <v>6</v>
      </c>
      <c r="T132" s="105">
        <v>21</v>
      </c>
      <c r="U132" s="105">
        <v>21</v>
      </c>
      <c r="V132" s="105">
        <v>13</v>
      </c>
      <c r="W132" s="105">
        <v>547</v>
      </c>
      <c r="X132" s="105">
        <v>226</v>
      </c>
      <c r="Y132" s="105">
        <v>398</v>
      </c>
      <c r="Z132" s="105">
        <v>192</v>
      </c>
      <c r="AA132" s="105">
        <v>1385</v>
      </c>
      <c r="AC132" s="105">
        <v>4</v>
      </c>
      <c r="AH132" s="105">
        <v>1602</v>
      </c>
      <c r="AM132" s="105">
        <v>2</v>
      </c>
      <c r="AR132" s="105">
        <v>10</v>
      </c>
      <c r="AX132" s="105">
        <v>374</v>
      </c>
      <c r="AY132" s="105">
        <v>20</v>
      </c>
      <c r="AZ132" s="105">
        <v>27.5</v>
      </c>
      <c r="BA132" s="105">
        <v>8</v>
      </c>
      <c r="BC132" s="105">
        <v>2025</v>
      </c>
    </row>
    <row r="133" spans="1:56">
      <c r="A133" s="158">
        <v>7</v>
      </c>
      <c r="B133" s="107" t="s">
        <v>133</v>
      </c>
      <c r="C133" s="105" t="s">
        <v>140</v>
      </c>
      <c r="D133" s="105">
        <v>65</v>
      </c>
      <c r="E133" s="105">
        <v>21</v>
      </c>
      <c r="F133" s="105">
        <v>4771</v>
      </c>
      <c r="G133" s="105">
        <v>471</v>
      </c>
      <c r="H133" s="105">
        <v>724</v>
      </c>
      <c r="I133" s="105">
        <v>0</v>
      </c>
      <c r="J133" s="105">
        <v>6285</v>
      </c>
      <c r="K133" s="105">
        <v>105</v>
      </c>
      <c r="Q133" s="105">
        <v>1125</v>
      </c>
      <c r="R133" s="105">
        <v>11</v>
      </c>
      <c r="S133" s="105">
        <v>3</v>
      </c>
      <c r="T133" s="105">
        <v>6</v>
      </c>
      <c r="U133" s="105">
        <v>7</v>
      </c>
      <c r="V133" s="105">
        <v>4</v>
      </c>
      <c r="W133" s="105">
        <v>202</v>
      </c>
      <c r="X133" s="105">
        <v>93</v>
      </c>
      <c r="Y133" s="105">
        <v>57</v>
      </c>
      <c r="Z133" s="105">
        <v>53</v>
      </c>
      <c r="AA133" s="105">
        <v>249</v>
      </c>
      <c r="AX133" s="105">
        <v>95</v>
      </c>
      <c r="AY133" s="105">
        <v>7</v>
      </c>
      <c r="AZ133" s="105">
        <v>6</v>
      </c>
      <c r="BA133" s="105">
        <v>0</v>
      </c>
      <c r="BC133" s="105">
        <v>2025</v>
      </c>
      <c r="BD133" s="105">
        <v>81</v>
      </c>
    </row>
    <row r="134" spans="1:56">
      <c r="A134" s="158">
        <v>6</v>
      </c>
      <c r="B134" s="107" t="s">
        <v>16737</v>
      </c>
      <c r="C134" s="105" t="s">
        <v>139</v>
      </c>
      <c r="D134" s="105">
        <v>349</v>
      </c>
      <c r="F134" s="105">
        <v>19413</v>
      </c>
      <c r="G134" s="105">
        <v>2046</v>
      </c>
      <c r="H134" s="105">
        <v>10094</v>
      </c>
      <c r="I134" s="105">
        <v>9</v>
      </c>
      <c r="J134" s="105">
        <v>21648</v>
      </c>
      <c r="K134" s="105">
        <v>151</v>
      </c>
      <c r="M134" s="105">
        <v>2</v>
      </c>
      <c r="N134" s="105">
        <v>137</v>
      </c>
      <c r="O134" s="105">
        <v>3102</v>
      </c>
      <c r="P134" s="105">
        <v>1021</v>
      </c>
      <c r="Q134" s="105">
        <v>697</v>
      </c>
      <c r="R134" s="105">
        <v>13</v>
      </c>
      <c r="S134" s="105">
        <v>4</v>
      </c>
      <c r="T134" s="105">
        <v>23</v>
      </c>
      <c r="U134" s="105">
        <v>22</v>
      </c>
      <c r="V134" s="105">
        <v>19</v>
      </c>
      <c r="W134" s="105">
        <v>629</v>
      </c>
      <c r="X134" s="105">
        <v>92</v>
      </c>
      <c r="Y134" s="105">
        <v>289</v>
      </c>
      <c r="Z134" s="105">
        <v>202</v>
      </c>
      <c r="AA134" s="105">
        <v>1912</v>
      </c>
      <c r="AX134" s="105">
        <v>8</v>
      </c>
      <c r="AY134" s="105">
        <v>15</v>
      </c>
      <c r="AZ134" s="105">
        <v>14</v>
      </c>
      <c r="BA134" s="105">
        <v>5</v>
      </c>
      <c r="BC134" s="105">
        <v>2025</v>
      </c>
    </row>
    <row r="135" spans="1:56">
      <c r="A135" s="158">
        <v>6</v>
      </c>
      <c r="B135" s="107" t="s">
        <v>16737</v>
      </c>
      <c r="C135" s="105" t="s">
        <v>135</v>
      </c>
      <c r="D135" s="105">
        <v>62</v>
      </c>
      <c r="F135" s="105">
        <v>3404</v>
      </c>
      <c r="G135" s="105">
        <v>222</v>
      </c>
      <c r="H135" s="105">
        <v>490</v>
      </c>
      <c r="I135" s="105">
        <v>0</v>
      </c>
      <c r="J135" s="105">
        <v>4678</v>
      </c>
      <c r="K135" s="105">
        <v>70</v>
      </c>
      <c r="O135" s="105">
        <v>1359</v>
      </c>
      <c r="P135" s="105">
        <v>1968</v>
      </c>
      <c r="Q135" s="105">
        <v>208</v>
      </c>
      <c r="R135" s="105">
        <v>10</v>
      </c>
      <c r="S135" s="105">
        <v>3</v>
      </c>
      <c r="T135" s="105">
        <v>4</v>
      </c>
      <c r="U135" s="105">
        <v>4</v>
      </c>
      <c r="V135" s="105">
        <v>4</v>
      </c>
      <c r="W135" s="105">
        <v>130</v>
      </c>
      <c r="X135" s="105">
        <v>45</v>
      </c>
      <c r="Y135" s="105">
        <v>25</v>
      </c>
      <c r="Z135" s="105">
        <v>21</v>
      </c>
      <c r="AA135" s="105">
        <v>125</v>
      </c>
      <c r="AX135" s="105">
        <v>8</v>
      </c>
      <c r="AY135" s="105">
        <v>1</v>
      </c>
      <c r="AZ135" s="105">
        <v>21</v>
      </c>
      <c r="BA135" s="105">
        <v>1</v>
      </c>
      <c r="BC135" s="105">
        <v>2025</v>
      </c>
    </row>
    <row r="136" spans="1:56">
      <c r="A136" s="158">
        <v>6</v>
      </c>
      <c r="B136" s="107" t="s">
        <v>16737</v>
      </c>
      <c r="C136" s="105" t="s">
        <v>136</v>
      </c>
      <c r="D136" s="105">
        <v>265</v>
      </c>
      <c r="F136" s="105">
        <v>14653</v>
      </c>
      <c r="G136" s="105">
        <v>766</v>
      </c>
      <c r="H136" s="105">
        <v>1871</v>
      </c>
      <c r="I136" s="105">
        <v>1</v>
      </c>
      <c r="J136" s="105">
        <v>23998</v>
      </c>
      <c r="K136" s="105">
        <v>38</v>
      </c>
      <c r="O136" s="105">
        <v>1847</v>
      </c>
      <c r="P136" s="105">
        <v>7156</v>
      </c>
      <c r="Q136" s="105">
        <v>274</v>
      </c>
      <c r="R136" s="105">
        <v>22</v>
      </c>
      <c r="S136" s="105">
        <v>5</v>
      </c>
      <c r="T136" s="105">
        <v>9</v>
      </c>
      <c r="U136" s="105">
        <v>12</v>
      </c>
      <c r="V136" s="105">
        <v>16</v>
      </c>
      <c r="W136" s="105">
        <v>679</v>
      </c>
      <c r="X136" s="105">
        <v>129</v>
      </c>
      <c r="Y136" s="105">
        <v>113</v>
      </c>
      <c r="Z136" s="105">
        <v>83</v>
      </c>
      <c r="AA136" s="105">
        <v>1121</v>
      </c>
      <c r="AX136" s="105">
        <v>4</v>
      </c>
      <c r="AY136" s="105">
        <v>1</v>
      </c>
      <c r="AZ136" s="105">
        <v>12</v>
      </c>
      <c r="BA136" s="105">
        <v>0</v>
      </c>
      <c r="BC136" s="105">
        <v>2025</v>
      </c>
    </row>
    <row r="137" spans="1:56">
      <c r="A137" s="158">
        <v>6</v>
      </c>
      <c r="B137" s="107" t="s">
        <v>16737</v>
      </c>
      <c r="C137" s="105" t="s">
        <v>138</v>
      </c>
      <c r="D137" s="105">
        <v>137</v>
      </c>
      <c r="F137" s="105">
        <v>5355</v>
      </c>
      <c r="G137" s="105">
        <v>214</v>
      </c>
      <c r="H137" s="105">
        <v>891</v>
      </c>
      <c r="I137" s="105">
        <v>5</v>
      </c>
      <c r="J137" s="105">
        <v>6109</v>
      </c>
      <c r="K137" s="105">
        <v>22</v>
      </c>
      <c r="O137" s="105">
        <v>1568</v>
      </c>
      <c r="P137" s="105">
        <v>3167</v>
      </c>
      <c r="Q137" s="105">
        <v>141</v>
      </c>
      <c r="R137" s="105">
        <v>4</v>
      </c>
      <c r="S137" s="105">
        <v>12</v>
      </c>
      <c r="T137" s="105">
        <v>2</v>
      </c>
      <c r="U137" s="105">
        <v>11</v>
      </c>
      <c r="V137" s="105">
        <v>5</v>
      </c>
      <c r="W137" s="105">
        <v>45</v>
      </c>
      <c r="X137" s="105">
        <v>623</v>
      </c>
      <c r="Y137" s="105">
        <v>20</v>
      </c>
      <c r="Z137" s="105">
        <v>92</v>
      </c>
      <c r="AA137" s="105">
        <v>23</v>
      </c>
      <c r="AX137" s="105">
        <v>9</v>
      </c>
      <c r="AY137" s="105">
        <v>1</v>
      </c>
      <c r="AZ137" s="105">
        <v>16</v>
      </c>
      <c r="BA137" s="105">
        <v>8</v>
      </c>
      <c r="BC137" s="105">
        <v>2025</v>
      </c>
    </row>
    <row r="138" spans="1:56">
      <c r="A138" s="158">
        <v>6</v>
      </c>
      <c r="B138" s="107" t="s">
        <v>16737</v>
      </c>
      <c r="C138" s="105" t="s">
        <v>140</v>
      </c>
      <c r="D138" s="105">
        <v>82</v>
      </c>
      <c r="F138" s="105">
        <v>4774</v>
      </c>
      <c r="G138" s="105">
        <v>447</v>
      </c>
      <c r="H138" s="105">
        <v>1015</v>
      </c>
      <c r="I138" s="105">
        <v>1</v>
      </c>
      <c r="J138" s="105">
        <v>5010</v>
      </c>
      <c r="K138" s="105">
        <v>120</v>
      </c>
      <c r="O138" s="105">
        <v>1501</v>
      </c>
      <c r="P138" s="105">
        <v>2669</v>
      </c>
      <c r="Q138" s="105">
        <v>242</v>
      </c>
      <c r="R138" s="105">
        <v>10</v>
      </c>
      <c r="S138" s="105">
        <v>2</v>
      </c>
      <c r="T138" s="105">
        <v>3</v>
      </c>
      <c r="U138" s="105">
        <v>7</v>
      </c>
      <c r="V138" s="105">
        <v>4</v>
      </c>
      <c r="W138" s="105">
        <v>246</v>
      </c>
      <c r="X138" s="105">
        <v>60</v>
      </c>
      <c r="Y138" s="105">
        <v>20</v>
      </c>
      <c r="Z138" s="105">
        <v>99</v>
      </c>
      <c r="AA138" s="105">
        <v>332</v>
      </c>
      <c r="AX138" s="105">
        <v>2</v>
      </c>
      <c r="AY138" s="105">
        <v>10</v>
      </c>
      <c r="AZ138" s="105">
        <v>7</v>
      </c>
      <c r="BA138" s="105">
        <v>0</v>
      </c>
      <c r="BC138" s="105">
        <v>2025</v>
      </c>
    </row>
    <row r="139" spans="1:56">
      <c r="A139" s="158">
        <v>6</v>
      </c>
      <c r="B139" s="107" t="s">
        <v>16737</v>
      </c>
      <c r="C139" s="105" t="s">
        <v>134</v>
      </c>
      <c r="D139" s="105">
        <v>235</v>
      </c>
      <c r="F139" s="105">
        <v>1346</v>
      </c>
      <c r="J139" s="105">
        <v>1498</v>
      </c>
      <c r="K139" s="105">
        <v>4</v>
      </c>
      <c r="O139" s="105">
        <v>21</v>
      </c>
      <c r="P139" s="105">
        <v>309</v>
      </c>
      <c r="R139" s="105">
        <v>0</v>
      </c>
      <c r="S139" s="105">
        <v>0</v>
      </c>
      <c r="T139" s="105">
        <v>0</v>
      </c>
      <c r="U139" s="105">
        <v>0</v>
      </c>
      <c r="V139" s="105">
        <v>0</v>
      </c>
      <c r="W139" s="105">
        <v>0</v>
      </c>
      <c r="X139" s="105">
        <v>0</v>
      </c>
      <c r="Y139" s="105">
        <v>0</v>
      </c>
      <c r="Z139" s="105">
        <v>0</v>
      </c>
      <c r="AA139" s="105">
        <v>0</v>
      </c>
      <c r="AX139" s="105">
        <v>3</v>
      </c>
      <c r="AY139" s="105">
        <v>1</v>
      </c>
      <c r="AZ139" s="105">
        <v>4</v>
      </c>
      <c r="BA139" s="105">
        <v>2</v>
      </c>
      <c r="BC139" s="105">
        <v>2025</v>
      </c>
    </row>
    <row r="140" spans="1:56">
      <c r="A140" s="158">
        <v>3</v>
      </c>
      <c r="B140" s="107" t="s">
        <v>16732</v>
      </c>
      <c r="C140" s="105" t="s">
        <v>135</v>
      </c>
      <c r="J140" s="105"/>
      <c r="BC140" s="105">
        <v>2025</v>
      </c>
    </row>
    <row r="141" spans="1:56">
      <c r="A141" s="158">
        <v>3</v>
      </c>
      <c r="B141" s="107" t="s">
        <v>16732</v>
      </c>
      <c r="C141" s="105" t="s">
        <v>136</v>
      </c>
      <c r="J141" s="105"/>
      <c r="BC141" s="105">
        <v>2025</v>
      </c>
    </row>
    <row r="142" spans="1:56">
      <c r="A142" s="158">
        <v>3</v>
      </c>
      <c r="B142" s="107" t="s">
        <v>16732</v>
      </c>
      <c r="C142" s="105" t="s">
        <v>138</v>
      </c>
      <c r="J142" s="105"/>
      <c r="BC142" s="105">
        <v>2025</v>
      </c>
    </row>
    <row r="143" spans="1:56">
      <c r="A143" s="158">
        <v>3</v>
      </c>
      <c r="B143" s="107" t="s">
        <v>16732</v>
      </c>
      <c r="C143" s="105" t="s">
        <v>139</v>
      </c>
      <c r="J143" s="105"/>
      <c r="BC143" s="105">
        <v>2025</v>
      </c>
    </row>
    <row r="144" spans="1:56">
      <c r="A144" s="158">
        <v>3</v>
      </c>
      <c r="B144" s="107" t="s">
        <v>16732</v>
      </c>
      <c r="C144" s="105" t="s">
        <v>140</v>
      </c>
      <c r="J144" s="105"/>
      <c r="BC144" s="105">
        <v>2025</v>
      </c>
    </row>
    <row r="145" spans="1:56">
      <c r="A145" s="158">
        <v>3</v>
      </c>
      <c r="B145" s="107" t="s">
        <v>16732</v>
      </c>
      <c r="C145" s="105" t="s">
        <v>134</v>
      </c>
      <c r="J145" s="105"/>
      <c r="BC145" s="105">
        <v>2025</v>
      </c>
    </row>
    <row r="146" spans="1:56">
      <c r="A146" s="158">
        <v>3</v>
      </c>
      <c r="B146" s="107" t="s">
        <v>16732</v>
      </c>
      <c r="C146" s="105" t="s">
        <v>139</v>
      </c>
      <c r="D146" s="105">
        <v>209</v>
      </c>
      <c r="F146" s="105">
        <v>15555</v>
      </c>
      <c r="G146" s="105">
        <v>2125</v>
      </c>
      <c r="H146" s="105">
        <v>3342</v>
      </c>
      <c r="I146" s="105">
        <v>6</v>
      </c>
      <c r="J146" s="105">
        <v>17206</v>
      </c>
      <c r="K146" s="105">
        <v>141</v>
      </c>
      <c r="M146" s="105">
        <v>6</v>
      </c>
      <c r="N146" s="105">
        <v>131</v>
      </c>
      <c r="O146" s="105">
        <v>2981</v>
      </c>
      <c r="P146" s="105">
        <v>6480</v>
      </c>
      <c r="Q146" s="105">
        <v>852</v>
      </c>
      <c r="R146" s="105">
        <v>31</v>
      </c>
      <c r="S146" s="105">
        <v>5</v>
      </c>
      <c r="T146" s="105">
        <v>13</v>
      </c>
      <c r="U146" s="105">
        <v>27</v>
      </c>
      <c r="V146" s="105">
        <v>6</v>
      </c>
      <c r="W146" s="105">
        <v>1188</v>
      </c>
      <c r="X146" s="105">
        <v>116</v>
      </c>
      <c r="Y146" s="105">
        <v>155</v>
      </c>
      <c r="Z146" s="105">
        <v>277</v>
      </c>
      <c r="AA146" s="105">
        <v>106</v>
      </c>
      <c r="AX146" s="105">
        <v>13</v>
      </c>
      <c r="AY146" s="105">
        <v>42</v>
      </c>
      <c r="AZ146" s="105">
        <v>41</v>
      </c>
      <c r="BA146" s="105">
        <v>10</v>
      </c>
      <c r="BC146" s="105">
        <v>2025</v>
      </c>
    </row>
    <row r="147" spans="1:56">
      <c r="A147" s="158">
        <v>3</v>
      </c>
      <c r="B147" s="107" t="s">
        <v>16732</v>
      </c>
      <c r="C147" s="105" t="s">
        <v>135</v>
      </c>
      <c r="D147" s="105">
        <v>37</v>
      </c>
      <c r="F147" s="105">
        <v>2402</v>
      </c>
      <c r="G147" s="105">
        <v>208</v>
      </c>
      <c r="H147" s="105">
        <v>457</v>
      </c>
      <c r="I147" s="105">
        <v>0</v>
      </c>
      <c r="J147" s="105">
        <v>2858</v>
      </c>
      <c r="K147" s="105">
        <v>66</v>
      </c>
      <c r="O147" s="105">
        <v>1046</v>
      </c>
      <c r="P147" s="105">
        <v>1961</v>
      </c>
      <c r="Q147" s="105">
        <v>253</v>
      </c>
      <c r="R147" s="105">
        <v>7</v>
      </c>
      <c r="S147" s="105">
        <v>2</v>
      </c>
      <c r="T147" s="105">
        <v>2</v>
      </c>
      <c r="U147" s="105">
        <v>6</v>
      </c>
      <c r="V147" s="105">
        <v>1</v>
      </c>
      <c r="W147" s="105">
        <v>62</v>
      </c>
      <c r="X147" s="105">
        <v>14</v>
      </c>
      <c r="Y147" s="105">
        <v>11</v>
      </c>
      <c r="Z147" s="105">
        <v>48</v>
      </c>
      <c r="AA147" s="105">
        <v>10</v>
      </c>
      <c r="AX147" s="105">
        <v>21</v>
      </c>
      <c r="AY147" s="105">
        <v>16</v>
      </c>
      <c r="AZ147" s="105">
        <v>20</v>
      </c>
      <c r="BA147" s="105">
        <v>0</v>
      </c>
      <c r="BC147" s="105">
        <v>2025</v>
      </c>
    </row>
    <row r="148" spans="1:56">
      <c r="A148" s="158">
        <v>3</v>
      </c>
      <c r="B148" s="107" t="s">
        <v>16732</v>
      </c>
      <c r="C148" s="105" t="s">
        <v>136</v>
      </c>
      <c r="D148" s="105">
        <v>208</v>
      </c>
      <c r="F148" s="105">
        <v>12513</v>
      </c>
      <c r="G148" s="105">
        <v>810</v>
      </c>
      <c r="H148" s="105">
        <v>1795</v>
      </c>
      <c r="I148" s="105">
        <v>14</v>
      </c>
      <c r="J148" s="105">
        <v>19038</v>
      </c>
      <c r="K148" s="105">
        <v>30</v>
      </c>
      <c r="O148" s="105">
        <v>1805</v>
      </c>
      <c r="P148" s="105">
        <v>6730</v>
      </c>
      <c r="Q148" s="105">
        <v>273</v>
      </c>
      <c r="R148" s="105">
        <v>33</v>
      </c>
      <c r="S148" s="105">
        <v>6</v>
      </c>
      <c r="T148" s="105">
        <v>7</v>
      </c>
      <c r="U148" s="105">
        <v>14</v>
      </c>
      <c r="V148" s="105">
        <v>4</v>
      </c>
      <c r="W148" s="105">
        <v>1059</v>
      </c>
      <c r="X148" s="105">
        <v>88</v>
      </c>
      <c r="Y148" s="105">
        <v>75</v>
      </c>
      <c r="Z148" s="105">
        <v>128</v>
      </c>
      <c r="AA148" s="105">
        <v>145</v>
      </c>
      <c r="AX148" s="105">
        <v>6</v>
      </c>
      <c r="AY148" s="105">
        <v>6</v>
      </c>
      <c r="AZ148" s="105">
        <v>13</v>
      </c>
      <c r="BA148" s="105">
        <v>0</v>
      </c>
      <c r="BC148" s="105">
        <v>2025</v>
      </c>
    </row>
    <row r="149" spans="1:56">
      <c r="A149" s="158">
        <v>3</v>
      </c>
      <c r="B149" s="107" t="s">
        <v>16732</v>
      </c>
      <c r="C149" s="105" t="s">
        <v>138</v>
      </c>
      <c r="D149" s="105">
        <v>55</v>
      </c>
      <c r="F149" s="105">
        <v>3810</v>
      </c>
      <c r="G149" s="105">
        <v>218</v>
      </c>
      <c r="H149" s="105">
        <v>958</v>
      </c>
      <c r="I149" s="105">
        <v>12</v>
      </c>
      <c r="J149" s="105">
        <v>4857</v>
      </c>
      <c r="K149" s="105">
        <v>18</v>
      </c>
      <c r="O149" s="105">
        <v>1414</v>
      </c>
      <c r="P149" s="105">
        <v>2581</v>
      </c>
      <c r="Q149" s="105">
        <v>87</v>
      </c>
      <c r="R149" s="105">
        <v>4</v>
      </c>
      <c r="S149" s="105">
        <v>1</v>
      </c>
      <c r="T149" s="105">
        <v>2</v>
      </c>
      <c r="U149" s="105">
        <v>13</v>
      </c>
      <c r="V149" s="105">
        <v>2</v>
      </c>
      <c r="W149" s="105">
        <v>39</v>
      </c>
      <c r="X149" s="105">
        <v>7</v>
      </c>
      <c r="Y149" s="105">
        <v>19</v>
      </c>
      <c r="Z149" s="105">
        <v>122</v>
      </c>
      <c r="AA149" s="105">
        <v>16</v>
      </c>
      <c r="AX149" s="105">
        <v>8</v>
      </c>
      <c r="AY149" s="105">
        <v>1</v>
      </c>
      <c r="AZ149" s="105">
        <v>53</v>
      </c>
      <c r="BA149" s="105">
        <v>9</v>
      </c>
      <c r="BC149" s="105">
        <v>2025</v>
      </c>
    </row>
    <row r="150" spans="1:56">
      <c r="A150" s="158">
        <v>3</v>
      </c>
      <c r="B150" s="107" t="s">
        <v>16732</v>
      </c>
      <c r="C150" s="105" t="s">
        <v>140</v>
      </c>
      <c r="D150" s="105">
        <v>62</v>
      </c>
      <c r="F150" s="105">
        <v>3798</v>
      </c>
      <c r="G150" s="105">
        <v>458</v>
      </c>
      <c r="H150" s="105">
        <v>1054</v>
      </c>
      <c r="I150" s="105">
        <v>4</v>
      </c>
      <c r="J150" s="105">
        <v>3862</v>
      </c>
      <c r="K150" s="105">
        <v>121</v>
      </c>
      <c r="O150" s="105">
        <v>1352</v>
      </c>
      <c r="P150" s="105">
        <v>2362</v>
      </c>
      <c r="Q150" s="105">
        <v>234</v>
      </c>
      <c r="R150" s="105">
        <v>14</v>
      </c>
      <c r="S150" s="105">
        <v>1</v>
      </c>
      <c r="T150" s="105">
        <v>1</v>
      </c>
      <c r="U150" s="105">
        <v>8</v>
      </c>
      <c r="V150" s="105">
        <v>0</v>
      </c>
      <c r="W150" s="105">
        <v>162</v>
      </c>
      <c r="X150" s="105">
        <v>4</v>
      </c>
      <c r="Y150" s="105">
        <v>4</v>
      </c>
      <c r="Z150" s="105">
        <v>61</v>
      </c>
      <c r="AA150" s="105">
        <v>0</v>
      </c>
      <c r="AX150" s="105">
        <v>2</v>
      </c>
      <c r="AY150" s="105">
        <v>11</v>
      </c>
      <c r="AZ150" s="105">
        <v>66</v>
      </c>
      <c r="BA150" s="105">
        <v>0</v>
      </c>
      <c r="BC150" s="105">
        <v>2025</v>
      </c>
    </row>
    <row r="151" spans="1:56">
      <c r="A151" s="158">
        <v>3</v>
      </c>
      <c r="B151" s="107" t="s">
        <v>16732</v>
      </c>
      <c r="C151" s="105" t="s">
        <v>134</v>
      </c>
      <c r="D151" s="105">
        <v>18</v>
      </c>
      <c r="F151" s="105">
        <v>507</v>
      </c>
      <c r="J151" s="105">
        <v>1184</v>
      </c>
      <c r="K151" s="105">
        <v>4</v>
      </c>
      <c r="O151" s="105">
        <v>12</v>
      </c>
      <c r="P151" s="105">
        <v>409</v>
      </c>
      <c r="R151" s="105">
        <v>4</v>
      </c>
      <c r="S151" s="105">
        <v>0</v>
      </c>
      <c r="T151" s="105">
        <v>0</v>
      </c>
      <c r="U151" s="105">
        <v>0</v>
      </c>
      <c r="V151" s="105">
        <v>0</v>
      </c>
      <c r="W151" s="105">
        <v>123</v>
      </c>
      <c r="X151" s="105">
        <v>0</v>
      </c>
      <c r="Y151" s="105">
        <v>0</v>
      </c>
      <c r="Z151" s="105">
        <v>0</v>
      </c>
      <c r="AA151" s="105">
        <v>0</v>
      </c>
      <c r="AX151" s="105">
        <v>1</v>
      </c>
      <c r="AY151" s="105">
        <v>2</v>
      </c>
      <c r="AZ151" s="105">
        <v>2</v>
      </c>
      <c r="BA151" s="105">
        <v>3</v>
      </c>
      <c r="BC151" s="105">
        <v>2025</v>
      </c>
    </row>
    <row r="152" spans="1:56">
      <c r="A152" s="158">
        <v>5</v>
      </c>
      <c r="B152" s="107" t="s">
        <v>16736</v>
      </c>
      <c r="C152" s="105" t="s">
        <v>135</v>
      </c>
      <c r="J152" s="105"/>
      <c r="BC152" s="105">
        <v>2025</v>
      </c>
      <c r="BD152" s="105">
        <v>112</v>
      </c>
    </row>
    <row r="153" spans="1:56">
      <c r="A153" s="158">
        <v>5</v>
      </c>
      <c r="B153" s="107" t="s">
        <v>16736</v>
      </c>
      <c r="C153" s="105" t="s">
        <v>136</v>
      </c>
      <c r="J153" s="105"/>
      <c r="BC153" s="105">
        <v>2025</v>
      </c>
      <c r="BD153" s="105">
        <v>484</v>
      </c>
    </row>
    <row r="154" spans="1:56">
      <c r="A154" s="158">
        <v>5</v>
      </c>
      <c r="B154" s="107" t="s">
        <v>16736</v>
      </c>
      <c r="C154" s="105" t="s">
        <v>138</v>
      </c>
      <c r="J154" s="105"/>
      <c r="BC154" s="105">
        <v>2025</v>
      </c>
      <c r="BD154" s="105">
        <v>178</v>
      </c>
    </row>
    <row r="155" spans="1:56">
      <c r="A155" s="158">
        <v>5</v>
      </c>
      <c r="B155" s="107" t="s">
        <v>16736</v>
      </c>
      <c r="C155" s="105" t="s">
        <v>139</v>
      </c>
      <c r="J155" s="105"/>
      <c r="BC155" s="105">
        <v>2025</v>
      </c>
      <c r="BD155" s="105">
        <v>315</v>
      </c>
    </row>
    <row r="156" spans="1:56">
      <c r="A156" s="158">
        <v>5</v>
      </c>
      <c r="B156" s="107" t="s">
        <v>16736</v>
      </c>
      <c r="C156" s="105" t="s">
        <v>140</v>
      </c>
      <c r="J156" s="105"/>
      <c r="BC156" s="105">
        <v>2025</v>
      </c>
      <c r="BD156" s="105">
        <v>88</v>
      </c>
    </row>
    <row r="157" spans="1:56">
      <c r="A157" s="158">
        <v>5</v>
      </c>
      <c r="B157" s="107" t="s">
        <v>16736</v>
      </c>
      <c r="C157" s="105" t="s">
        <v>134</v>
      </c>
      <c r="J157" s="105"/>
      <c r="BC157" s="105">
        <v>2025</v>
      </c>
    </row>
    <row r="158" spans="1:56">
      <c r="A158" s="158">
        <v>5</v>
      </c>
      <c r="B158" s="107" t="s">
        <v>16736</v>
      </c>
      <c r="C158" s="105" t="s">
        <v>139</v>
      </c>
      <c r="D158" s="105">
        <v>376</v>
      </c>
      <c r="F158" s="105">
        <v>17078</v>
      </c>
      <c r="G158" s="105">
        <v>1972</v>
      </c>
      <c r="H158" s="105">
        <v>3674</v>
      </c>
      <c r="I158" s="105">
        <v>12</v>
      </c>
      <c r="J158" s="105">
        <v>19243</v>
      </c>
      <c r="K158" s="105">
        <v>122</v>
      </c>
      <c r="M158" s="105">
        <v>1</v>
      </c>
      <c r="N158" s="105">
        <v>122</v>
      </c>
      <c r="O158" s="105">
        <v>2986</v>
      </c>
      <c r="P158" s="105">
        <v>6594</v>
      </c>
      <c r="Q158" s="105">
        <v>767</v>
      </c>
      <c r="R158" s="105">
        <v>15</v>
      </c>
      <c r="S158" s="105">
        <v>10</v>
      </c>
      <c r="T158" s="105">
        <v>6</v>
      </c>
      <c r="U158" s="105">
        <v>22</v>
      </c>
      <c r="V158" s="105">
        <v>8</v>
      </c>
      <c r="W158" s="105">
        <v>636</v>
      </c>
      <c r="X158" s="105">
        <v>140</v>
      </c>
      <c r="Y158" s="105">
        <v>59</v>
      </c>
      <c r="Z158" s="105">
        <v>245</v>
      </c>
      <c r="AA158" s="105">
        <v>1644</v>
      </c>
      <c r="AX158" s="105">
        <v>4</v>
      </c>
      <c r="AY158" s="105">
        <v>15</v>
      </c>
      <c r="AZ158" s="105">
        <v>15</v>
      </c>
      <c r="BA158" s="105">
        <v>7</v>
      </c>
      <c r="BC158" s="105">
        <v>2025</v>
      </c>
    </row>
    <row r="159" spans="1:56">
      <c r="A159" s="158">
        <v>5</v>
      </c>
      <c r="B159" s="107" t="s">
        <v>16736</v>
      </c>
      <c r="C159" s="105" t="s">
        <v>135</v>
      </c>
      <c r="D159" s="105">
        <v>59</v>
      </c>
      <c r="F159" s="105">
        <v>2618</v>
      </c>
      <c r="G159" s="105">
        <v>229</v>
      </c>
      <c r="H159" s="105">
        <v>373</v>
      </c>
      <c r="I159" s="105">
        <v>1</v>
      </c>
      <c r="J159" s="105">
        <v>3426</v>
      </c>
      <c r="K159" s="105">
        <v>69</v>
      </c>
      <c r="O159" s="105">
        <v>1169</v>
      </c>
      <c r="P159" s="105">
        <v>1920</v>
      </c>
      <c r="Q159" s="105">
        <v>229</v>
      </c>
      <c r="R159" s="105">
        <v>10</v>
      </c>
      <c r="S159" s="105">
        <v>2</v>
      </c>
      <c r="T159" s="105">
        <v>3</v>
      </c>
      <c r="U159" s="105">
        <v>3</v>
      </c>
      <c r="V159" s="105">
        <v>0</v>
      </c>
      <c r="W159" s="105">
        <v>155</v>
      </c>
      <c r="X159" s="105">
        <v>12</v>
      </c>
      <c r="Y159" s="105">
        <v>17</v>
      </c>
      <c r="Z159" s="105">
        <v>28</v>
      </c>
      <c r="AA159" s="105">
        <v>0</v>
      </c>
      <c r="AX159" s="105">
        <v>23</v>
      </c>
      <c r="AY159" s="105">
        <v>1</v>
      </c>
      <c r="AZ159" s="105">
        <v>25</v>
      </c>
      <c r="BA159" s="105">
        <v>0</v>
      </c>
      <c r="BC159" s="105">
        <v>2025</v>
      </c>
    </row>
    <row r="160" spans="1:56">
      <c r="A160" s="158">
        <v>5</v>
      </c>
      <c r="B160" s="107" t="s">
        <v>16736</v>
      </c>
      <c r="C160" s="105" t="s">
        <v>136</v>
      </c>
      <c r="D160" s="105">
        <v>210</v>
      </c>
      <c r="F160" s="105">
        <v>12345</v>
      </c>
      <c r="G160" s="105">
        <v>747</v>
      </c>
      <c r="H160" s="105">
        <v>1578</v>
      </c>
      <c r="I160" s="105">
        <v>4</v>
      </c>
      <c r="J160" s="105">
        <v>20990</v>
      </c>
      <c r="K160" s="105">
        <v>34</v>
      </c>
      <c r="O160" s="105">
        <v>1724</v>
      </c>
      <c r="P160" s="105">
        <v>6894</v>
      </c>
      <c r="Q160" s="105">
        <v>301</v>
      </c>
      <c r="R160" s="105">
        <v>21</v>
      </c>
      <c r="S160" s="105">
        <v>5</v>
      </c>
      <c r="T160" s="105">
        <v>5</v>
      </c>
      <c r="U160" s="105">
        <v>10</v>
      </c>
      <c r="V160" s="105">
        <v>5</v>
      </c>
      <c r="W160" s="105">
        <v>714</v>
      </c>
      <c r="X160" s="105">
        <v>70</v>
      </c>
      <c r="Y160" s="105">
        <v>84</v>
      </c>
      <c r="Z160" s="105">
        <v>96</v>
      </c>
      <c r="AA160" s="105">
        <v>894</v>
      </c>
      <c r="AX160" s="105">
        <v>6</v>
      </c>
      <c r="AY160" s="105">
        <v>6</v>
      </c>
      <c r="AZ160" s="105">
        <v>4</v>
      </c>
      <c r="BA160" s="105">
        <v>0</v>
      </c>
      <c r="BC160" s="105">
        <v>2025</v>
      </c>
    </row>
    <row r="161" spans="1:56">
      <c r="A161" s="158">
        <v>5</v>
      </c>
      <c r="B161" s="107" t="s">
        <v>16736</v>
      </c>
      <c r="C161" s="105" t="s">
        <v>138</v>
      </c>
      <c r="D161" s="105">
        <v>68</v>
      </c>
      <c r="F161" s="105">
        <v>3941</v>
      </c>
      <c r="G161" s="105">
        <v>163</v>
      </c>
      <c r="H161" s="105">
        <v>414</v>
      </c>
      <c r="I161" s="105">
        <v>4</v>
      </c>
      <c r="J161" s="105">
        <v>5447</v>
      </c>
      <c r="K161" s="105">
        <v>17</v>
      </c>
      <c r="O161" s="105">
        <v>1498</v>
      </c>
      <c r="P161" s="105">
        <v>2684</v>
      </c>
      <c r="Q161" s="105">
        <v>122</v>
      </c>
      <c r="R161" s="105">
        <v>4</v>
      </c>
      <c r="S161" s="105">
        <v>5</v>
      </c>
      <c r="T161" s="105">
        <v>2</v>
      </c>
      <c r="U161" s="105">
        <v>9</v>
      </c>
      <c r="V161" s="105">
        <v>3</v>
      </c>
      <c r="W161" s="105">
        <v>50</v>
      </c>
      <c r="X161" s="105">
        <v>51</v>
      </c>
      <c r="Y161" s="105">
        <v>11</v>
      </c>
      <c r="Z161" s="105">
        <v>91</v>
      </c>
      <c r="AA161" s="105">
        <v>3</v>
      </c>
      <c r="AX161" s="105">
        <v>9</v>
      </c>
      <c r="AY161" s="105">
        <v>1</v>
      </c>
      <c r="AZ161" s="105">
        <v>9</v>
      </c>
      <c r="BA161" s="105">
        <v>1</v>
      </c>
      <c r="BC161" s="105">
        <v>2025</v>
      </c>
    </row>
    <row r="162" spans="1:56">
      <c r="A162" s="158">
        <v>5</v>
      </c>
      <c r="B162" s="107" t="s">
        <v>16736</v>
      </c>
      <c r="C162" s="105" t="s">
        <v>140</v>
      </c>
      <c r="D162" s="105">
        <v>64</v>
      </c>
      <c r="F162" s="105">
        <v>3958</v>
      </c>
      <c r="G162" s="105">
        <v>451</v>
      </c>
      <c r="H162" s="105">
        <v>694</v>
      </c>
      <c r="I162" s="105">
        <v>2</v>
      </c>
      <c r="J162" s="105">
        <v>4424</v>
      </c>
      <c r="K162" s="105">
        <v>103</v>
      </c>
      <c r="O162" s="105">
        <v>1342</v>
      </c>
      <c r="P162" s="105">
        <v>2364</v>
      </c>
      <c r="Q162" s="105">
        <v>266</v>
      </c>
      <c r="R162" s="105">
        <v>10</v>
      </c>
      <c r="S162" s="105">
        <v>3</v>
      </c>
      <c r="T162" s="105">
        <v>7</v>
      </c>
      <c r="U162" s="105">
        <v>9</v>
      </c>
      <c r="V162" s="105">
        <v>1</v>
      </c>
      <c r="W162" s="105">
        <v>135</v>
      </c>
      <c r="X162" s="105">
        <v>72</v>
      </c>
      <c r="Y162" s="105">
        <v>7</v>
      </c>
      <c r="Z162" s="105">
        <v>69</v>
      </c>
      <c r="AA162" s="105">
        <v>112</v>
      </c>
      <c r="AX162" s="105">
        <v>2</v>
      </c>
      <c r="AY162" s="105">
        <v>1</v>
      </c>
      <c r="AZ162" s="105">
        <v>9</v>
      </c>
      <c r="BA162" s="105">
        <v>0</v>
      </c>
      <c r="BC162" s="105">
        <v>2025</v>
      </c>
    </row>
    <row r="163" spans="1:56">
      <c r="A163" s="158">
        <v>5</v>
      </c>
      <c r="B163" s="107" t="s">
        <v>16736</v>
      </c>
      <c r="C163" s="105" t="s">
        <v>134</v>
      </c>
      <c r="D163" s="105">
        <v>69</v>
      </c>
      <c r="F163" s="105">
        <v>571</v>
      </c>
      <c r="J163" s="105">
        <v>1324</v>
      </c>
      <c r="K163" s="105">
        <v>1</v>
      </c>
      <c r="O163" s="105">
        <v>11</v>
      </c>
      <c r="P163" s="105">
        <v>272</v>
      </c>
      <c r="R163" s="105">
        <v>1</v>
      </c>
      <c r="S163" s="105">
        <v>0</v>
      </c>
      <c r="T163" s="105">
        <v>0</v>
      </c>
      <c r="U163" s="105">
        <v>0</v>
      </c>
      <c r="V163" s="105">
        <v>0</v>
      </c>
      <c r="W163" s="105">
        <v>8</v>
      </c>
      <c r="X163" s="105">
        <v>0</v>
      </c>
      <c r="Y163" s="105">
        <v>0</v>
      </c>
      <c r="Z163" s="105">
        <v>0</v>
      </c>
      <c r="AA163" s="105">
        <v>0</v>
      </c>
      <c r="AX163" s="105">
        <v>15</v>
      </c>
      <c r="AY163" s="105">
        <v>0</v>
      </c>
      <c r="AZ163" s="105">
        <v>0</v>
      </c>
      <c r="BA163" s="105">
        <v>0</v>
      </c>
      <c r="BC163" s="105">
        <v>2025</v>
      </c>
    </row>
    <row r="164" spans="1:56">
      <c r="A164" s="158">
        <v>11</v>
      </c>
      <c r="B164" s="107" t="s">
        <v>16738</v>
      </c>
      <c r="C164" s="105" t="s">
        <v>136</v>
      </c>
      <c r="J164" s="105"/>
      <c r="AY164" s="105">
        <v>0</v>
      </c>
      <c r="AZ164" s="105">
        <v>0</v>
      </c>
      <c r="BB164" s="105" t="s">
        <v>192</v>
      </c>
      <c r="BC164" s="105">
        <v>2025</v>
      </c>
    </row>
    <row r="165" spans="1:56">
      <c r="A165" s="158">
        <v>11</v>
      </c>
      <c r="B165" s="107" t="s">
        <v>16738</v>
      </c>
      <c r="C165" s="105" t="s">
        <v>135</v>
      </c>
      <c r="D165" s="105">
        <v>21</v>
      </c>
      <c r="E165" s="105">
        <v>7</v>
      </c>
      <c r="F165" s="105">
        <v>2435</v>
      </c>
      <c r="G165" s="105">
        <v>213</v>
      </c>
      <c r="H165" s="105">
        <v>426</v>
      </c>
      <c r="I165" s="105">
        <v>1</v>
      </c>
      <c r="J165" s="105">
        <v>4166</v>
      </c>
      <c r="K165" s="105">
        <v>76</v>
      </c>
      <c r="L165" s="105">
        <v>0</v>
      </c>
      <c r="N165" s="105">
        <v>0</v>
      </c>
      <c r="Q165" s="105">
        <v>840</v>
      </c>
      <c r="R165" s="105">
        <v>4</v>
      </c>
      <c r="S165" s="105">
        <v>4</v>
      </c>
      <c r="T165" s="105">
        <v>4</v>
      </c>
      <c r="U165" s="105">
        <v>8</v>
      </c>
      <c r="V165" s="105">
        <v>1</v>
      </c>
      <c r="W165" s="105">
        <v>40</v>
      </c>
      <c r="X165" s="105">
        <v>41</v>
      </c>
      <c r="Y165" s="105">
        <v>39</v>
      </c>
      <c r="Z165" s="105">
        <v>53</v>
      </c>
      <c r="AA165" s="105">
        <v>12</v>
      </c>
      <c r="AB165" s="105">
        <v>0</v>
      </c>
      <c r="AC165" s="105">
        <v>0</v>
      </c>
      <c r="AD165" s="105">
        <v>0</v>
      </c>
      <c r="AE165" s="105">
        <v>0</v>
      </c>
      <c r="AF165" s="105">
        <v>0</v>
      </c>
      <c r="AG165" s="105">
        <v>0</v>
      </c>
      <c r="AH165" s="105">
        <v>0</v>
      </c>
      <c r="AI165" s="105">
        <v>0</v>
      </c>
      <c r="AJ165" s="105">
        <v>0</v>
      </c>
      <c r="AK165" s="105">
        <v>0</v>
      </c>
      <c r="AL165" s="105">
        <v>0</v>
      </c>
      <c r="AM165" s="105">
        <v>0</v>
      </c>
      <c r="AN165" s="105">
        <v>0</v>
      </c>
      <c r="AO165" s="105">
        <v>0</v>
      </c>
      <c r="AP165" s="105">
        <v>0</v>
      </c>
      <c r="AQ165" s="105">
        <v>0</v>
      </c>
      <c r="AR165" s="105">
        <v>0</v>
      </c>
      <c r="AS165" s="105">
        <v>0</v>
      </c>
      <c r="AT165" s="105">
        <v>0</v>
      </c>
      <c r="AU165" s="105">
        <v>0</v>
      </c>
      <c r="AV165" s="105">
        <v>0</v>
      </c>
      <c r="AW165" s="105">
        <v>0</v>
      </c>
      <c r="AX165" s="105">
        <v>514</v>
      </c>
      <c r="AY165" s="105">
        <v>7</v>
      </c>
      <c r="AZ165" s="105">
        <v>30.5</v>
      </c>
      <c r="BA165" s="105">
        <v>5</v>
      </c>
      <c r="BB165" s="105" t="s">
        <v>16617</v>
      </c>
      <c r="BC165" s="105">
        <v>2025</v>
      </c>
      <c r="BD165" s="105">
        <v>59</v>
      </c>
    </row>
    <row r="166" spans="1:56">
      <c r="A166" s="158">
        <v>11</v>
      </c>
      <c r="B166" s="107" t="s">
        <v>16738</v>
      </c>
      <c r="C166" s="105" t="s">
        <v>138</v>
      </c>
      <c r="D166" s="105">
        <v>38</v>
      </c>
      <c r="E166" s="105">
        <v>2</v>
      </c>
      <c r="F166" s="105">
        <v>3068</v>
      </c>
      <c r="G166" s="105">
        <v>178</v>
      </c>
      <c r="H166" s="105">
        <v>523</v>
      </c>
      <c r="I166" s="105">
        <v>11</v>
      </c>
      <c r="J166" s="105">
        <v>4116</v>
      </c>
      <c r="K166" s="105">
        <v>17</v>
      </c>
      <c r="L166" s="105">
        <v>1</v>
      </c>
      <c r="Q166" s="105">
        <v>153</v>
      </c>
      <c r="R166" s="105">
        <v>4</v>
      </c>
      <c r="S166" s="105">
        <v>4</v>
      </c>
      <c r="T166" s="105">
        <v>2</v>
      </c>
      <c r="U166" s="105">
        <v>8</v>
      </c>
      <c r="V166" s="105">
        <v>0</v>
      </c>
      <c r="W166" s="105">
        <v>35</v>
      </c>
      <c r="X166" s="105">
        <v>31</v>
      </c>
      <c r="Y166" s="105">
        <v>10</v>
      </c>
      <c r="Z166" s="105">
        <v>70</v>
      </c>
      <c r="AA166" s="105">
        <v>0</v>
      </c>
      <c r="AB166" s="105">
        <v>0</v>
      </c>
      <c r="AC166" s="105">
        <v>0</v>
      </c>
      <c r="AD166" s="105">
        <v>0</v>
      </c>
      <c r="AE166" s="105">
        <v>0</v>
      </c>
      <c r="AF166" s="105">
        <v>0</v>
      </c>
      <c r="AG166" s="105">
        <v>0</v>
      </c>
      <c r="AH166" s="105">
        <v>0</v>
      </c>
      <c r="AI166" s="105">
        <v>0</v>
      </c>
      <c r="AJ166" s="105">
        <v>0</v>
      </c>
      <c r="AK166" s="105">
        <v>0</v>
      </c>
      <c r="AL166" s="105">
        <v>0</v>
      </c>
      <c r="AM166" s="105">
        <v>0</v>
      </c>
      <c r="AN166" s="105">
        <v>0</v>
      </c>
      <c r="AO166" s="105">
        <v>1</v>
      </c>
      <c r="AP166" s="105">
        <v>0</v>
      </c>
      <c r="AQ166" s="105">
        <v>0</v>
      </c>
      <c r="AR166" s="105">
        <v>0</v>
      </c>
      <c r="AS166" s="105">
        <v>0</v>
      </c>
      <c r="AT166" s="105">
        <v>4</v>
      </c>
      <c r="AU166" s="105">
        <v>0</v>
      </c>
      <c r="AV166" s="105">
        <v>0</v>
      </c>
      <c r="AW166" s="105">
        <v>0</v>
      </c>
      <c r="AX166" s="105">
        <v>767</v>
      </c>
      <c r="AY166" s="105">
        <v>10</v>
      </c>
      <c r="AZ166" s="105">
        <v>90</v>
      </c>
      <c r="BA166" s="105">
        <v>3</v>
      </c>
      <c r="BB166" s="105" t="s">
        <v>16615</v>
      </c>
      <c r="BC166" s="105">
        <v>2025</v>
      </c>
      <c r="BD166" s="105">
        <v>143</v>
      </c>
    </row>
    <row r="167" spans="1:56">
      <c r="A167" s="158">
        <v>11</v>
      </c>
      <c r="B167" s="107" t="s">
        <v>16738</v>
      </c>
      <c r="C167" s="105" t="s">
        <v>136</v>
      </c>
      <c r="D167" s="105">
        <v>181</v>
      </c>
      <c r="E167" s="105">
        <v>42</v>
      </c>
      <c r="F167" s="105">
        <v>10748</v>
      </c>
      <c r="G167" s="105">
        <v>788</v>
      </c>
      <c r="H167" s="105">
        <v>1507</v>
      </c>
      <c r="I167" s="105">
        <v>4</v>
      </c>
      <c r="J167" s="105">
        <v>34845</v>
      </c>
      <c r="K167" s="105">
        <v>56</v>
      </c>
      <c r="L167" s="105">
        <v>5</v>
      </c>
      <c r="Q167" s="105">
        <v>1424</v>
      </c>
      <c r="R167" s="105">
        <v>21</v>
      </c>
      <c r="S167" s="105">
        <v>6</v>
      </c>
      <c r="T167" s="105">
        <v>8</v>
      </c>
      <c r="U167" s="105">
        <v>12</v>
      </c>
      <c r="V167" s="105">
        <v>4</v>
      </c>
      <c r="W167" s="105">
        <v>701</v>
      </c>
      <c r="X167" s="105">
        <v>76</v>
      </c>
      <c r="Y167" s="105">
        <v>60</v>
      </c>
      <c r="Z167" s="105">
        <v>93</v>
      </c>
      <c r="AA167" s="105">
        <v>142</v>
      </c>
      <c r="AX167" s="105">
        <v>1433</v>
      </c>
      <c r="AY167" s="105">
        <v>18</v>
      </c>
      <c r="AZ167" s="105">
        <v>140</v>
      </c>
      <c r="BB167" s="105" t="s">
        <v>16619</v>
      </c>
      <c r="BC167" s="105">
        <v>2025</v>
      </c>
      <c r="BD167" s="105">
        <v>711</v>
      </c>
    </row>
    <row r="168" spans="1:56">
      <c r="A168" s="158">
        <v>11</v>
      </c>
      <c r="B168" s="107" t="s">
        <v>16738</v>
      </c>
      <c r="C168" s="105" t="s">
        <v>134</v>
      </c>
      <c r="D168" s="105">
        <v>9</v>
      </c>
      <c r="E168" s="105">
        <v>4</v>
      </c>
      <c r="F168" s="105">
        <v>1554</v>
      </c>
      <c r="J168" s="105">
        <v>3056</v>
      </c>
      <c r="K168" s="105">
        <v>3</v>
      </c>
      <c r="AB168" s="105">
        <v>3</v>
      </c>
      <c r="AG168" s="105">
        <v>102</v>
      </c>
      <c r="AV168" s="105">
        <v>2</v>
      </c>
      <c r="AW168" s="105">
        <v>101</v>
      </c>
      <c r="AX168" s="105">
        <v>311</v>
      </c>
      <c r="AY168" s="105">
        <v>8</v>
      </c>
      <c r="AZ168" s="105">
        <v>151.5</v>
      </c>
      <c r="BA168" s="105">
        <v>2</v>
      </c>
      <c r="BB168" s="105" t="s">
        <v>16614</v>
      </c>
      <c r="BC168" s="105">
        <v>2025</v>
      </c>
    </row>
    <row r="169" spans="1:56">
      <c r="A169" s="158">
        <v>11</v>
      </c>
      <c r="B169" s="107" t="s">
        <v>16738</v>
      </c>
      <c r="C169" s="105" t="s">
        <v>140</v>
      </c>
      <c r="D169" s="105">
        <v>49</v>
      </c>
      <c r="E169" s="105">
        <v>29</v>
      </c>
      <c r="F169" s="105">
        <v>4205</v>
      </c>
      <c r="G169" s="105">
        <v>439</v>
      </c>
      <c r="H169" s="105">
        <v>946</v>
      </c>
      <c r="I169" s="105">
        <v>13</v>
      </c>
      <c r="J169" s="105">
        <v>7503</v>
      </c>
      <c r="K169" s="105">
        <v>91</v>
      </c>
      <c r="L169" s="105">
        <v>0</v>
      </c>
      <c r="Q169" s="105">
        <v>965</v>
      </c>
      <c r="R169" s="105">
        <v>11</v>
      </c>
      <c r="S169" s="105">
        <v>3</v>
      </c>
      <c r="T169" s="105">
        <v>1</v>
      </c>
      <c r="U169" s="105">
        <v>7</v>
      </c>
      <c r="W169" s="105">
        <v>231</v>
      </c>
      <c r="X169" s="105">
        <v>46</v>
      </c>
      <c r="Y169" s="105">
        <v>9</v>
      </c>
      <c r="Z169" s="105">
        <v>52</v>
      </c>
      <c r="AV169" s="105">
        <v>1</v>
      </c>
      <c r="AW169" s="105">
        <v>52</v>
      </c>
      <c r="AX169" s="105">
        <v>40</v>
      </c>
      <c r="AY169" s="105">
        <v>16</v>
      </c>
      <c r="AZ169" s="105">
        <v>100</v>
      </c>
      <c r="BA169" s="105">
        <v>0</v>
      </c>
      <c r="BB169" s="105" t="s">
        <v>16616</v>
      </c>
      <c r="BC169" s="105">
        <v>2025</v>
      </c>
      <c r="BD169" s="105">
        <v>96</v>
      </c>
    </row>
    <row r="170" spans="1:56">
      <c r="A170" s="158">
        <v>11</v>
      </c>
      <c r="B170" s="107" t="s">
        <v>16738</v>
      </c>
      <c r="C170" s="105" t="s">
        <v>139</v>
      </c>
      <c r="D170" s="105">
        <v>17</v>
      </c>
      <c r="E170" s="105">
        <v>2</v>
      </c>
      <c r="F170" s="105">
        <v>0</v>
      </c>
      <c r="G170" s="105">
        <v>0</v>
      </c>
      <c r="H170" s="105">
        <v>0</v>
      </c>
      <c r="I170" s="105">
        <v>0</v>
      </c>
      <c r="J170" s="105">
        <v>31</v>
      </c>
      <c r="K170" s="105">
        <v>0</v>
      </c>
      <c r="L170" s="105">
        <v>0</v>
      </c>
      <c r="M170" s="105">
        <v>3</v>
      </c>
      <c r="N170" s="105">
        <v>71</v>
      </c>
      <c r="O170" s="105">
        <v>1534</v>
      </c>
      <c r="P170" s="105">
        <v>4781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Z170" s="105">
        <v>0</v>
      </c>
      <c r="AA170" s="105">
        <v>0</v>
      </c>
      <c r="AB170" s="105">
        <v>13</v>
      </c>
      <c r="AC170" s="105">
        <v>3</v>
      </c>
      <c r="AD170" s="105">
        <v>15</v>
      </c>
      <c r="AE170" s="105">
        <v>11</v>
      </c>
      <c r="AF170" s="105">
        <v>7</v>
      </c>
      <c r="AG170" s="105">
        <v>255</v>
      </c>
      <c r="AH170" s="105">
        <v>56</v>
      </c>
      <c r="AI170" s="105">
        <v>1406</v>
      </c>
      <c r="AJ170" s="105">
        <v>107</v>
      </c>
      <c r="AK170" s="105">
        <v>299</v>
      </c>
      <c r="AL170" s="105">
        <v>0</v>
      </c>
      <c r="AM170" s="105">
        <v>0</v>
      </c>
      <c r="AN170" s="105">
        <v>1</v>
      </c>
      <c r="AO170" s="105">
        <v>5</v>
      </c>
      <c r="AP170" s="105">
        <v>1</v>
      </c>
      <c r="AQ170" s="105">
        <v>0</v>
      </c>
      <c r="AR170" s="105">
        <v>0</v>
      </c>
      <c r="AS170" s="105">
        <v>156</v>
      </c>
      <c r="AT170" s="105">
        <v>49</v>
      </c>
      <c r="AU170" s="105">
        <v>18</v>
      </c>
      <c r="AX170" s="105">
        <v>15</v>
      </c>
      <c r="AY170" s="105">
        <v>65</v>
      </c>
      <c r="AZ170" s="105">
        <v>259</v>
      </c>
      <c r="BA170" s="105">
        <v>1</v>
      </c>
      <c r="BB170" s="105" t="s">
        <v>16618</v>
      </c>
      <c r="BC170" s="105">
        <v>2025</v>
      </c>
      <c r="BD170" s="105">
        <v>0</v>
      </c>
    </row>
    <row r="171" spans="1:56">
      <c r="A171" s="158">
        <v>10</v>
      </c>
      <c r="B171" s="107" t="s">
        <v>222</v>
      </c>
      <c r="C171" s="105" t="s">
        <v>140</v>
      </c>
      <c r="D171" s="105">
        <v>64</v>
      </c>
      <c r="E171" s="105">
        <v>87</v>
      </c>
      <c r="F171" s="105">
        <v>5553</v>
      </c>
      <c r="G171" s="105">
        <v>657</v>
      </c>
      <c r="H171" s="105">
        <v>1145</v>
      </c>
      <c r="I171" s="105">
        <v>22</v>
      </c>
      <c r="J171" s="105">
        <v>8931</v>
      </c>
      <c r="K171" s="105">
        <v>125</v>
      </c>
      <c r="L171" s="105">
        <v>0</v>
      </c>
      <c r="Q171" s="105">
        <v>2239</v>
      </c>
      <c r="R171" s="105">
        <v>12</v>
      </c>
      <c r="S171" s="105">
        <v>2</v>
      </c>
      <c r="T171" s="105">
        <v>3</v>
      </c>
      <c r="U171" s="105">
        <v>9</v>
      </c>
      <c r="V171" s="105">
        <v>2</v>
      </c>
      <c r="W171" s="105">
        <v>231</v>
      </c>
      <c r="X171" s="105">
        <v>32</v>
      </c>
      <c r="Y171" s="105">
        <v>14</v>
      </c>
      <c r="Z171" s="105">
        <v>84</v>
      </c>
      <c r="AA171" s="105">
        <v>22</v>
      </c>
      <c r="AV171" s="105">
        <v>1</v>
      </c>
      <c r="AW171" s="105">
        <v>140</v>
      </c>
      <c r="AX171" s="105">
        <v>278</v>
      </c>
      <c r="AY171" s="105">
        <v>8</v>
      </c>
      <c r="AZ171" s="105">
        <v>12</v>
      </c>
      <c r="BA171" s="105">
        <v>0</v>
      </c>
      <c r="BB171" s="105" t="s">
        <v>16616</v>
      </c>
      <c r="BC171" s="105">
        <v>2025</v>
      </c>
      <c r="BD171" s="105">
        <v>148</v>
      </c>
    </row>
    <row r="172" spans="1:56">
      <c r="A172" s="158">
        <v>10</v>
      </c>
      <c r="B172" s="107" t="s">
        <v>222</v>
      </c>
      <c r="C172" s="105" t="s">
        <v>134</v>
      </c>
      <c r="D172" s="105">
        <v>12</v>
      </c>
      <c r="E172" s="105">
        <v>16</v>
      </c>
      <c r="F172" s="105">
        <v>1254</v>
      </c>
      <c r="J172" s="105"/>
      <c r="AV172" s="105">
        <v>5</v>
      </c>
      <c r="AW172" s="105">
        <v>2428</v>
      </c>
      <c r="AX172" s="105">
        <v>264</v>
      </c>
      <c r="AY172" s="105">
        <v>6</v>
      </c>
      <c r="AZ172" s="105">
        <v>113</v>
      </c>
      <c r="BA172" s="105">
        <v>4</v>
      </c>
      <c r="BB172" s="105" t="s">
        <v>16614</v>
      </c>
      <c r="BC172" s="105">
        <v>2025</v>
      </c>
    </row>
    <row r="173" spans="1:56">
      <c r="A173" s="158">
        <v>10</v>
      </c>
      <c r="B173" s="107" t="s">
        <v>222</v>
      </c>
      <c r="C173" s="105" t="s">
        <v>138</v>
      </c>
      <c r="D173" s="105">
        <v>49</v>
      </c>
      <c r="E173" s="105">
        <v>13</v>
      </c>
      <c r="F173" s="105">
        <v>3918</v>
      </c>
      <c r="G173" s="105">
        <v>193</v>
      </c>
      <c r="H173" s="105">
        <v>668</v>
      </c>
      <c r="I173" s="105">
        <v>11</v>
      </c>
      <c r="J173" s="105">
        <v>5737</v>
      </c>
      <c r="K173" s="105">
        <v>26</v>
      </c>
      <c r="L173" s="105">
        <v>2</v>
      </c>
      <c r="Q173" s="105">
        <v>1056</v>
      </c>
      <c r="R173" s="105">
        <v>4</v>
      </c>
      <c r="S173" s="105">
        <v>5</v>
      </c>
      <c r="T173" s="105">
        <v>2</v>
      </c>
      <c r="U173" s="105">
        <v>10</v>
      </c>
      <c r="V173" s="105">
        <v>1</v>
      </c>
      <c r="W173" s="105">
        <v>48</v>
      </c>
      <c r="X173" s="105">
        <v>30</v>
      </c>
      <c r="Y173" s="105">
        <v>13</v>
      </c>
      <c r="Z173" s="105">
        <v>81</v>
      </c>
      <c r="AA173" s="105">
        <v>6</v>
      </c>
      <c r="AB173" s="105">
        <v>0</v>
      </c>
      <c r="AC173" s="105">
        <v>0</v>
      </c>
      <c r="AD173" s="105">
        <v>0</v>
      </c>
      <c r="AE173" s="105">
        <v>0</v>
      </c>
      <c r="AF173" s="105">
        <v>0</v>
      </c>
      <c r="AG173" s="105">
        <v>0</v>
      </c>
      <c r="AH173" s="105">
        <v>0</v>
      </c>
      <c r="AI173" s="105">
        <v>0</v>
      </c>
      <c r="AJ173" s="105">
        <v>0</v>
      </c>
      <c r="AK173" s="105">
        <v>0</v>
      </c>
      <c r="AL173" s="105">
        <v>0</v>
      </c>
      <c r="AM173" s="105">
        <v>0</v>
      </c>
      <c r="AN173" s="105">
        <v>0</v>
      </c>
      <c r="AO173" s="105">
        <v>0</v>
      </c>
      <c r="AP173" s="105">
        <v>0</v>
      </c>
      <c r="AQ173" s="105">
        <v>0</v>
      </c>
      <c r="AR173" s="105">
        <v>0</v>
      </c>
      <c r="AS173" s="105">
        <v>0</v>
      </c>
      <c r="AT173" s="105">
        <v>0</v>
      </c>
      <c r="AU173" s="105">
        <v>0</v>
      </c>
      <c r="AV173" s="105">
        <v>0</v>
      </c>
      <c r="AW173" s="105">
        <v>0</v>
      </c>
      <c r="AX173" s="105">
        <v>965</v>
      </c>
      <c r="AY173" s="105">
        <v>2</v>
      </c>
      <c r="AZ173" s="105">
        <v>10</v>
      </c>
      <c r="BA173" s="105">
        <v>6</v>
      </c>
      <c r="BB173" s="105" t="s">
        <v>16615</v>
      </c>
      <c r="BC173" s="105">
        <v>2025</v>
      </c>
      <c r="BD173" s="105">
        <v>254</v>
      </c>
    </row>
    <row r="174" spans="1:56">
      <c r="A174" s="158">
        <v>10</v>
      </c>
      <c r="B174" s="107" t="s">
        <v>222</v>
      </c>
      <c r="C174" s="105" t="s">
        <v>135</v>
      </c>
      <c r="D174" s="105">
        <v>26</v>
      </c>
      <c r="E174" s="105">
        <v>6</v>
      </c>
      <c r="F174" s="105">
        <v>3167</v>
      </c>
      <c r="G174" s="105">
        <v>271</v>
      </c>
      <c r="H174" s="105">
        <v>531</v>
      </c>
      <c r="I174" s="105">
        <v>1</v>
      </c>
      <c r="J174" s="105">
        <v>5548</v>
      </c>
      <c r="K174" s="105">
        <v>88</v>
      </c>
      <c r="L174" s="105">
        <v>0</v>
      </c>
      <c r="Q174" s="105">
        <v>1053</v>
      </c>
      <c r="R174" s="105">
        <v>6</v>
      </c>
      <c r="S174" s="105">
        <v>3</v>
      </c>
      <c r="T174" s="105">
        <v>5</v>
      </c>
      <c r="U174" s="105">
        <v>8</v>
      </c>
      <c r="V174" s="105">
        <v>1</v>
      </c>
      <c r="W174" s="105">
        <v>67</v>
      </c>
      <c r="X174" s="105">
        <v>38</v>
      </c>
      <c r="Y174" s="105">
        <v>28</v>
      </c>
      <c r="Z174" s="105">
        <v>35</v>
      </c>
      <c r="AA174" s="105">
        <v>3</v>
      </c>
      <c r="AX174" s="105">
        <v>638</v>
      </c>
      <c r="AY174" s="105">
        <v>6</v>
      </c>
      <c r="AZ174" s="105">
        <v>28</v>
      </c>
      <c r="BA174" s="105">
        <v>2</v>
      </c>
      <c r="BB174" s="105" t="s">
        <v>16617</v>
      </c>
      <c r="BC174" s="105">
        <v>2025</v>
      </c>
      <c r="BD174" s="105">
        <v>126</v>
      </c>
    </row>
    <row r="175" spans="1:56">
      <c r="A175" s="158">
        <v>10</v>
      </c>
      <c r="B175" s="107" t="s">
        <v>222</v>
      </c>
      <c r="C175" s="105" t="s">
        <v>136</v>
      </c>
      <c r="D175" s="105">
        <v>211</v>
      </c>
      <c r="E175" s="105">
        <v>53</v>
      </c>
      <c r="F175" s="105">
        <v>13504</v>
      </c>
      <c r="G175" s="105">
        <v>921</v>
      </c>
      <c r="H175" s="105">
        <v>1956</v>
      </c>
      <c r="J175" s="105">
        <v>23486</v>
      </c>
      <c r="K175" s="105">
        <v>65</v>
      </c>
      <c r="L175" s="105">
        <v>5</v>
      </c>
      <c r="Q175" s="105">
        <v>1494</v>
      </c>
      <c r="R175" s="105">
        <v>31</v>
      </c>
      <c r="S175" s="105">
        <v>5</v>
      </c>
      <c r="T175" s="105">
        <v>8</v>
      </c>
      <c r="U175" s="105">
        <v>12</v>
      </c>
      <c r="V175" s="105">
        <v>5</v>
      </c>
      <c r="W175" s="105">
        <v>1194</v>
      </c>
      <c r="X175" s="105">
        <v>72</v>
      </c>
      <c r="Y175" s="105">
        <v>73</v>
      </c>
      <c r="Z175" s="105">
        <v>109</v>
      </c>
      <c r="AA175" s="105">
        <v>162</v>
      </c>
      <c r="AV175" s="105">
        <v>1</v>
      </c>
      <c r="AW175" s="105">
        <v>250</v>
      </c>
      <c r="AX175" s="105">
        <v>1688</v>
      </c>
      <c r="AY175" s="105">
        <v>2</v>
      </c>
      <c r="AZ175" s="105">
        <v>2</v>
      </c>
      <c r="BB175" s="105" t="s">
        <v>16619</v>
      </c>
      <c r="BC175" s="105">
        <v>2025</v>
      </c>
      <c r="BD175" s="105">
        <v>707</v>
      </c>
    </row>
    <row r="176" spans="1:56">
      <c r="A176" s="158">
        <v>10</v>
      </c>
      <c r="B176" s="107" t="s">
        <v>222</v>
      </c>
      <c r="C176" s="105" t="s">
        <v>136</v>
      </c>
      <c r="J176" s="105"/>
      <c r="AY176" s="105">
        <v>1</v>
      </c>
      <c r="AZ176" s="105">
        <v>15.5</v>
      </c>
      <c r="BB176" s="105" t="s">
        <v>192</v>
      </c>
      <c r="BC176" s="105">
        <v>2025</v>
      </c>
    </row>
    <row r="177" spans="1:56">
      <c r="A177" s="158">
        <v>10</v>
      </c>
      <c r="B177" s="107" t="s">
        <v>222</v>
      </c>
      <c r="C177" s="105" t="s">
        <v>16676</v>
      </c>
      <c r="J177" s="105"/>
      <c r="BB177" s="105" t="s">
        <v>192</v>
      </c>
      <c r="BC177" s="105">
        <v>2025</v>
      </c>
      <c r="BD177" s="105">
        <v>38</v>
      </c>
    </row>
    <row r="178" spans="1:56">
      <c r="A178" s="158">
        <v>9</v>
      </c>
      <c r="B178" s="107" t="s">
        <v>223</v>
      </c>
      <c r="C178" s="105" t="s">
        <v>134</v>
      </c>
      <c r="D178" s="105">
        <v>16</v>
      </c>
      <c r="E178" s="105">
        <v>113</v>
      </c>
      <c r="F178" s="105">
        <v>792</v>
      </c>
      <c r="J178" s="105"/>
      <c r="AV178" s="105">
        <v>7</v>
      </c>
      <c r="AW178" s="105">
        <v>260</v>
      </c>
      <c r="AX178" s="105">
        <v>136</v>
      </c>
      <c r="BA178" s="105">
        <v>5</v>
      </c>
      <c r="BB178" s="105" t="s">
        <v>16614</v>
      </c>
      <c r="BC178" s="105">
        <v>2025</v>
      </c>
    </row>
    <row r="179" spans="1:56">
      <c r="A179" s="158">
        <v>9</v>
      </c>
      <c r="B179" s="107" t="s">
        <v>223</v>
      </c>
      <c r="C179" s="105" t="s">
        <v>138</v>
      </c>
      <c r="D179" s="105">
        <v>48</v>
      </c>
      <c r="E179" s="105">
        <v>11</v>
      </c>
      <c r="F179" s="105">
        <v>3974</v>
      </c>
      <c r="G179" s="105">
        <v>216</v>
      </c>
      <c r="H179" s="105">
        <v>594</v>
      </c>
      <c r="I179" s="105">
        <v>9</v>
      </c>
      <c r="J179" s="105">
        <v>5549</v>
      </c>
      <c r="K179" s="105">
        <v>18</v>
      </c>
      <c r="L179" s="105">
        <v>2</v>
      </c>
      <c r="Q179" s="105">
        <v>351</v>
      </c>
      <c r="R179" s="105">
        <v>5</v>
      </c>
      <c r="S179" s="105">
        <v>4</v>
      </c>
      <c r="T179" s="105">
        <v>2</v>
      </c>
      <c r="U179" s="105">
        <v>13</v>
      </c>
      <c r="V179" s="105">
        <v>2</v>
      </c>
      <c r="W179" s="105">
        <v>65</v>
      </c>
      <c r="X179" s="105">
        <v>31</v>
      </c>
      <c r="Y179" s="105">
        <v>11</v>
      </c>
      <c r="Z179" s="105">
        <v>103</v>
      </c>
      <c r="AA179" s="105">
        <v>3</v>
      </c>
      <c r="AB179" s="105">
        <v>0</v>
      </c>
      <c r="AC179" s="105">
        <v>0</v>
      </c>
      <c r="AD179" s="105">
        <v>0</v>
      </c>
      <c r="AE179" s="105">
        <v>0</v>
      </c>
      <c r="AF179" s="105">
        <v>0</v>
      </c>
      <c r="AG179" s="105">
        <v>0</v>
      </c>
      <c r="AH179" s="105">
        <v>0</v>
      </c>
      <c r="AI179" s="105">
        <v>0</v>
      </c>
      <c r="AJ179" s="105">
        <v>0</v>
      </c>
      <c r="AK179" s="105">
        <v>0</v>
      </c>
      <c r="AL179" s="105">
        <v>0</v>
      </c>
      <c r="AM179" s="105">
        <v>0</v>
      </c>
      <c r="AN179" s="105">
        <v>0</v>
      </c>
      <c r="AO179" s="105">
        <v>0</v>
      </c>
      <c r="AP179" s="105">
        <v>0</v>
      </c>
      <c r="AQ179" s="105">
        <v>0</v>
      </c>
      <c r="AR179" s="105">
        <v>0</v>
      </c>
      <c r="AS179" s="105">
        <v>0</v>
      </c>
      <c r="AT179" s="105">
        <v>0</v>
      </c>
      <c r="AU179" s="105">
        <v>0</v>
      </c>
      <c r="AV179" s="105">
        <v>0</v>
      </c>
      <c r="AW179" s="105">
        <v>0</v>
      </c>
      <c r="AX179" s="105">
        <v>754</v>
      </c>
      <c r="AY179" s="105">
        <v>3</v>
      </c>
      <c r="AZ179" s="105">
        <v>15</v>
      </c>
      <c r="BA179" s="105">
        <v>3</v>
      </c>
      <c r="BB179" s="105" t="s">
        <v>16615</v>
      </c>
      <c r="BC179" s="105">
        <v>2025</v>
      </c>
      <c r="BD179" s="105">
        <v>294</v>
      </c>
    </row>
    <row r="180" spans="1:56">
      <c r="A180" s="158">
        <v>9</v>
      </c>
      <c r="B180" s="107" t="s">
        <v>223</v>
      </c>
      <c r="C180" s="105" t="s">
        <v>140</v>
      </c>
      <c r="D180" s="105">
        <v>64</v>
      </c>
      <c r="E180" s="105">
        <v>67</v>
      </c>
      <c r="F180" s="105">
        <v>4490</v>
      </c>
      <c r="G180" s="105">
        <v>497</v>
      </c>
      <c r="H180" s="105">
        <v>809</v>
      </c>
      <c r="I180" s="105">
        <v>8</v>
      </c>
      <c r="J180" s="105">
        <v>6762</v>
      </c>
      <c r="K180" s="105">
        <v>93</v>
      </c>
      <c r="L180" s="105">
        <v>0</v>
      </c>
      <c r="Q180" s="105">
        <v>1602</v>
      </c>
      <c r="R180" s="105">
        <v>9</v>
      </c>
      <c r="S180" s="105">
        <v>2</v>
      </c>
      <c r="T180" s="105">
        <v>0</v>
      </c>
      <c r="U180" s="105">
        <v>9</v>
      </c>
      <c r="V180" s="105">
        <v>1</v>
      </c>
      <c r="W180" s="105">
        <v>184</v>
      </c>
      <c r="X180" s="105">
        <v>64</v>
      </c>
      <c r="Y180" s="105">
        <v>0</v>
      </c>
      <c r="Z180" s="105">
        <v>65</v>
      </c>
      <c r="AA180" s="105">
        <v>13</v>
      </c>
      <c r="AV180" s="105">
        <v>2</v>
      </c>
      <c r="AW180" s="105">
        <v>330</v>
      </c>
      <c r="AX180" s="105">
        <v>275</v>
      </c>
      <c r="AY180" s="105">
        <v>0</v>
      </c>
      <c r="AZ180" s="105">
        <v>0</v>
      </c>
      <c r="BA180" s="105">
        <v>0</v>
      </c>
      <c r="BB180" s="105" t="s">
        <v>16616</v>
      </c>
      <c r="BC180" s="105">
        <v>2025</v>
      </c>
      <c r="BD180" s="105">
        <v>125</v>
      </c>
    </row>
    <row r="181" spans="1:56">
      <c r="A181" s="158">
        <v>9</v>
      </c>
      <c r="B181" s="107" t="s">
        <v>223</v>
      </c>
      <c r="C181" s="105" t="s">
        <v>135</v>
      </c>
      <c r="D181" s="105">
        <v>41</v>
      </c>
      <c r="E181" s="105">
        <v>14</v>
      </c>
      <c r="F181" s="105">
        <v>2893</v>
      </c>
      <c r="G181" s="105">
        <v>294</v>
      </c>
      <c r="H181" s="105">
        <v>472</v>
      </c>
      <c r="I181" s="105">
        <v>2</v>
      </c>
      <c r="J181" s="105">
        <v>5324</v>
      </c>
      <c r="K181" s="105">
        <v>69</v>
      </c>
      <c r="L181" s="105">
        <v>0</v>
      </c>
      <c r="M181" s="105">
        <v>0</v>
      </c>
      <c r="N181" s="105">
        <v>0</v>
      </c>
      <c r="O181" s="105">
        <v>0</v>
      </c>
      <c r="P181" s="105">
        <v>0</v>
      </c>
      <c r="Q181" s="105">
        <v>676</v>
      </c>
      <c r="R181" s="105">
        <v>4</v>
      </c>
      <c r="S181" s="105">
        <v>4</v>
      </c>
      <c r="T181" s="105">
        <v>4</v>
      </c>
      <c r="U181" s="105">
        <v>8</v>
      </c>
      <c r="V181" s="105">
        <v>1</v>
      </c>
      <c r="W181" s="105">
        <v>38</v>
      </c>
      <c r="X181" s="105">
        <v>48</v>
      </c>
      <c r="Y181" s="105">
        <v>29</v>
      </c>
      <c r="Z181" s="105">
        <v>59</v>
      </c>
      <c r="AA181" s="105">
        <v>13</v>
      </c>
      <c r="AB181" s="105">
        <v>0</v>
      </c>
      <c r="AC181" s="105">
        <v>0</v>
      </c>
      <c r="AD181" s="105">
        <v>0</v>
      </c>
      <c r="AE181" s="105">
        <v>0</v>
      </c>
      <c r="AF181" s="105">
        <v>0</v>
      </c>
      <c r="AG181" s="105">
        <v>0</v>
      </c>
      <c r="AH181" s="105">
        <v>0</v>
      </c>
      <c r="AI181" s="105">
        <v>0</v>
      </c>
      <c r="AJ181" s="105">
        <v>0</v>
      </c>
      <c r="AK181" s="105">
        <v>0</v>
      </c>
      <c r="AL181" s="105">
        <v>0</v>
      </c>
      <c r="AM181" s="105">
        <v>0</v>
      </c>
      <c r="AN181" s="105">
        <v>0</v>
      </c>
      <c r="AO181" s="105">
        <v>0</v>
      </c>
      <c r="AP181" s="105">
        <v>0</v>
      </c>
      <c r="AQ181" s="105">
        <v>0</v>
      </c>
      <c r="AR181" s="105">
        <v>0</v>
      </c>
      <c r="AS181" s="105">
        <v>0</v>
      </c>
      <c r="AT181" s="105">
        <v>0</v>
      </c>
      <c r="AU181" s="105">
        <v>0</v>
      </c>
      <c r="AV181" s="105">
        <v>0</v>
      </c>
      <c r="AW181" s="105">
        <v>0</v>
      </c>
      <c r="AX181" s="105">
        <v>819</v>
      </c>
      <c r="AY181" s="105">
        <v>6</v>
      </c>
      <c r="AZ181" s="105">
        <v>19</v>
      </c>
      <c r="BA181" s="105">
        <v>4</v>
      </c>
      <c r="BB181" s="105" t="s">
        <v>16617</v>
      </c>
      <c r="BC181" s="105">
        <v>2025</v>
      </c>
      <c r="BD181" s="105">
        <v>103</v>
      </c>
    </row>
    <row r="182" spans="1:56">
      <c r="A182" s="158">
        <v>9</v>
      </c>
      <c r="B182" s="107" t="s">
        <v>223</v>
      </c>
      <c r="C182" s="105" t="s">
        <v>139</v>
      </c>
      <c r="D182" s="105">
        <v>210</v>
      </c>
      <c r="E182" s="105">
        <v>172</v>
      </c>
      <c r="F182" s="105">
        <v>14788</v>
      </c>
      <c r="G182" s="105">
        <v>1909</v>
      </c>
      <c r="H182" s="105">
        <v>3690</v>
      </c>
      <c r="I182" s="105">
        <v>18</v>
      </c>
      <c r="J182" s="105">
        <v>16046</v>
      </c>
      <c r="K182" s="105">
        <v>117</v>
      </c>
      <c r="L182" s="105">
        <v>36</v>
      </c>
      <c r="M182" s="105">
        <v>4</v>
      </c>
      <c r="N182" s="105">
        <v>137</v>
      </c>
      <c r="Q182" s="105">
        <v>3193</v>
      </c>
      <c r="R182" s="105">
        <v>21</v>
      </c>
      <c r="S182" s="105">
        <v>4</v>
      </c>
      <c r="T182" s="105">
        <v>13</v>
      </c>
      <c r="U182" s="105">
        <v>23</v>
      </c>
      <c r="V182" s="105">
        <v>4</v>
      </c>
      <c r="W182" s="105">
        <v>847</v>
      </c>
      <c r="X182" s="105">
        <v>106</v>
      </c>
      <c r="Y182" s="105">
        <v>116</v>
      </c>
      <c r="AA182" s="105">
        <v>284</v>
      </c>
      <c r="AB182" s="105">
        <v>0</v>
      </c>
      <c r="AC182" s="105">
        <v>4</v>
      </c>
      <c r="AD182" s="105">
        <v>2</v>
      </c>
      <c r="AE182" s="105">
        <v>6</v>
      </c>
      <c r="AF182" s="105">
        <v>5</v>
      </c>
      <c r="AG182" s="105">
        <v>0</v>
      </c>
      <c r="AH182" s="105">
        <v>1278</v>
      </c>
      <c r="AI182" s="105">
        <v>51</v>
      </c>
      <c r="AJ182" s="105">
        <v>126</v>
      </c>
      <c r="AK182" s="105">
        <v>656</v>
      </c>
      <c r="AL182" s="105">
        <v>0</v>
      </c>
      <c r="AM182" s="105">
        <v>0</v>
      </c>
      <c r="AN182" s="105">
        <v>0</v>
      </c>
      <c r="AO182" s="105">
        <v>2</v>
      </c>
      <c r="AP182" s="105">
        <v>1</v>
      </c>
      <c r="AQ182" s="105">
        <v>0</v>
      </c>
      <c r="AR182" s="105">
        <v>0</v>
      </c>
      <c r="AS182" s="105">
        <v>0</v>
      </c>
      <c r="AT182" s="105">
        <v>29</v>
      </c>
      <c r="AU182" s="105">
        <v>98</v>
      </c>
      <c r="AX182" s="105">
        <v>135</v>
      </c>
      <c r="AY182" s="105">
        <v>7</v>
      </c>
      <c r="AZ182" s="105">
        <v>37.299999999999997</v>
      </c>
      <c r="BA182" s="105">
        <v>9</v>
      </c>
      <c r="BB182" s="105" t="s">
        <v>16618</v>
      </c>
      <c r="BC182" s="105">
        <v>2025</v>
      </c>
      <c r="BD182" s="105">
        <v>301</v>
      </c>
    </row>
    <row r="183" spans="1:56">
      <c r="A183" s="158">
        <v>9</v>
      </c>
      <c r="B183" s="107" t="s">
        <v>223</v>
      </c>
      <c r="C183" s="105" t="s">
        <v>136</v>
      </c>
      <c r="D183" s="105">
        <v>200</v>
      </c>
      <c r="E183" s="105">
        <v>61</v>
      </c>
      <c r="F183" s="105">
        <v>11114</v>
      </c>
      <c r="G183" s="105">
        <v>733</v>
      </c>
      <c r="H183" s="105">
        <v>1860</v>
      </c>
      <c r="J183" s="105">
        <v>21893</v>
      </c>
      <c r="K183" s="105">
        <v>33</v>
      </c>
      <c r="L183" s="105">
        <v>5</v>
      </c>
      <c r="Q183" s="105">
        <v>2008</v>
      </c>
      <c r="R183" s="105">
        <v>35</v>
      </c>
      <c r="S183" s="105">
        <v>6</v>
      </c>
      <c r="T183" s="105">
        <v>9</v>
      </c>
      <c r="U183" s="105">
        <v>14</v>
      </c>
      <c r="V183" s="105">
        <v>4</v>
      </c>
      <c r="W183" s="105">
        <v>1301</v>
      </c>
      <c r="X183" s="105">
        <v>87</v>
      </c>
      <c r="Y183" s="105">
        <v>79</v>
      </c>
      <c r="Z183" s="105">
        <v>116</v>
      </c>
      <c r="AA183" s="105">
        <v>203</v>
      </c>
      <c r="AX183" s="105">
        <v>1475</v>
      </c>
      <c r="BB183" s="105" t="s">
        <v>16619</v>
      </c>
      <c r="BC183" s="105">
        <v>2025</v>
      </c>
      <c r="BD183" s="105">
        <v>909</v>
      </c>
    </row>
    <row r="184" spans="1:56">
      <c r="A184" s="158">
        <v>1</v>
      </c>
      <c r="B184" s="107" t="s">
        <v>16733</v>
      </c>
      <c r="C184" s="105" t="s">
        <v>136</v>
      </c>
      <c r="J184" s="105"/>
      <c r="AY184" s="105">
        <v>3</v>
      </c>
      <c r="AZ184" s="105">
        <v>10.5</v>
      </c>
      <c r="BB184" s="105" t="s">
        <v>192</v>
      </c>
      <c r="BC184" s="105">
        <v>2026</v>
      </c>
    </row>
    <row r="185" spans="1:56">
      <c r="A185" s="158">
        <v>1</v>
      </c>
      <c r="B185" s="107" t="s">
        <v>16733</v>
      </c>
      <c r="C185" s="105" t="s">
        <v>138</v>
      </c>
      <c r="D185" s="105">
        <v>64</v>
      </c>
      <c r="E185" s="105">
        <v>12</v>
      </c>
      <c r="F185" s="105">
        <v>3615</v>
      </c>
      <c r="G185" s="105">
        <v>166</v>
      </c>
      <c r="H185" s="105">
        <v>514</v>
      </c>
      <c r="I185" s="105">
        <v>7</v>
      </c>
      <c r="J185" s="105">
        <v>5708</v>
      </c>
      <c r="K185" s="105">
        <v>29</v>
      </c>
      <c r="L185" s="105">
        <v>1</v>
      </c>
      <c r="Q185" s="105">
        <v>568</v>
      </c>
      <c r="R185" s="105">
        <v>4</v>
      </c>
      <c r="S185" s="105">
        <v>5</v>
      </c>
      <c r="T185" s="105">
        <v>1</v>
      </c>
      <c r="U185" s="105">
        <v>9</v>
      </c>
      <c r="V185" s="105">
        <v>0</v>
      </c>
      <c r="W185" s="105">
        <v>46</v>
      </c>
      <c r="X185" s="105">
        <v>22</v>
      </c>
      <c r="Y185" s="105">
        <v>12</v>
      </c>
      <c r="Z185" s="105">
        <v>89</v>
      </c>
      <c r="AA185" s="105">
        <v>0</v>
      </c>
      <c r="AB185" s="105">
        <v>2</v>
      </c>
      <c r="AC185" s="105">
        <v>0</v>
      </c>
      <c r="AD185" s="105">
        <v>0</v>
      </c>
      <c r="AE185" s="105">
        <v>0</v>
      </c>
      <c r="AF185" s="105">
        <v>0</v>
      </c>
      <c r="AG185" s="105">
        <v>31</v>
      </c>
      <c r="AH185" s="105">
        <v>0</v>
      </c>
      <c r="AI185" s="105">
        <v>0</v>
      </c>
      <c r="AJ185" s="105">
        <v>0</v>
      </c>
      <c r="AK185" s="105">
        <v>0</v>
      </c>
      <c r="AL185" s="105">
        <v>0</v>
      </c>
      <c r="AM185" s="105">
        <v>0</v>
      </c>
      <c r="AN185" s="105">
        <v>0</v>
      </c>
      <c r="AO185" s="105">
        <v>0</v>
      </c>
      <c r="AP185" s="105">
        <v>0</v>
      </c>
      <c r="AQ185" s="105">
        <v>0</v>
      </c>
      <c r="AR185" s="105">
        <v>0</v>
      </c>
      <c r="AS185" s="105">
        <v>0</v>
      </c>
      <c r="AT185" s="105">
        <v>0</v>
      </c>
      <c r="AU185" s="105">
        <v>0</v>
      </c>
      <c r="AV185" s="105">
        <v>0</v>
      </c>
      <c r="AW185" s="105">
        <v>0</v>
      </c>
      <c r="AX185" s="105">
        <v>649</v>
      </c>
      <c r="AY185" s="105">
        <v>4</v>
      </c>
      <c r="AZ185" s="105">
        <v>12</v>
      </c>
      <c r="BA185" s="105">
        <v>5</v>
      </c>
      <c r="BB185" s="105" t="s">
        <v>16615</v>
      </c>
      <c r="BC185" s="105">
        <v>2026</v>
      </c>
      <c r="BD185" s="105">
        <v>193</v>
      </c>
    </row>
    <row r="186" spans="1:56">
      <c r="A186" s="158">
        <v>1</v>
      </c>
      <c r="B186" s="107" t="s">
        <v>16733</v>
      </c>
      <c r="C186" s="105" t="s">
        <v>135</v>
      </c>
      <c r="D186" s="105">
        <v>36</v>
      </c>
      <c r="E186" s="105">
        <v>10</v>
      </c>
      <c r="F186" s="105">
        <v>2648</v>
      </c>
      <c r="G186" s="105">
        <v>202</v>
      </c>
      <c r="H186" s="105">
        <v>491</v>
      </c>
      <c r="I186" s="105">
        <v>0</v>
      </c>
      <c r="J186" s="105">
        <v>4823</v>
      </c>
      <c r="K186" s="105">
        <v>64</v>
      </c>
      <c r="L186" s="105">
        <v>0</v>
      </c>
      <c r="Q186" s="105">
        <v>700</v>
      </c>
      <c r="R186" s="105">
        <v>5</v>
      </c>
      <c r="S186" s="105">
        <v>3</v>
      </c>
      <c r="T186" s="105">
        <v>4</v>
      </c>
      <c r="U186" s="105">
        <v>5</v>
      </c>
      <c r="V186" s="105">
        <v>1</v>
      </c>
      <c r="W186" s="105">
        <v>32</v>
      </c>
      <c r="X186" s="105">
        <v>28</v>
      </c>
      <c r="Y186" s="105">
        <v>25</v>
      </c>
      <c r="Z186" s="105">
        <v>34</v>
      </c>
      <c r="AA186" s="105">
        <v>0</v>
      </c>
      <c r="AB186" s="105">
        <v>0</v>
      </c>
      <c r="AC186" s="105">
        <v>0</v>
      </c>
      <c r="AD186" s="105">
        <v>0</v>
      </c>
      <c r="AE186" s="105">
        <v>0</v>
      </c>
      <c r="AF186" s="105">
        <v>0</v>
      </c>
      <c r="AG186" s="105">
        <v>0</v>
      </c>
      <c r="AH186" s="105">
        <v>0</v>
      </c>
      <c r="AI186" s="105">
        <v>0</v>
      </c>
      <c r="AJ186" s="105">
        <v>0</v>
      </c>
      <c r="AK186" s="105">
        <v>0</v>
      </c>
      <c r="AL186" s="105">
        <v>0</v>
      </c>
      <c r="AM186" s="105">
        <v>0</v>
      </c>
      <c r="AN186" s="105">
        <v>0</v>
      </c>
      <c r="AO186" s="105">
        <v>0</v>
      </c>
      <c r="AP186" s="105">
        <v>0</v>
      </c>
      <c r="AQ186" s="105">
        <v>0</v>
      </c>
      <c r="AR186" s="105">
        <v>0</v>
      </c>
      <c r="AS186" s="105">
        <v>0</v>
      </c>
      <c r="AT186" s="105">
        <v>0</v>
      </c>
      <c r="AU186" s="105">
        <v>0</v>
      </c>
      <c r="AV186" s="105">
        <v>0</v>
      </c>
      <c r="AX186" s="105">
        <v>287</v>
      </c>
      <c r="AY186" s="105">
        <v>7</v>
      </c>
      <c r="AZ186" s="105">
        <v>22</v>
      </c>
      <c r="BA186" s="105">
        <v>2</v>
      </c>
      <c r="BB186" s="105" t="s">
        <v>16617</v>
      </c>
      <c r="BC186" s="105">
        <v>2026</v>
      </c>
      <c r="BD186" s="105">
        <v>121</v>
      </c>
    </row>
    <row r="187" spans="1:56">
      <c r="A187" s="158">
        <v>1</v>
      </c>
      <c r="B187" s="107" t="s">
        <v>16733</v>
      </c>
      <c r="C187" s="105" t="s">
        <v>134</v>
      </c>
      <c r="D187" s="105">
        <v>10</v>
      </c>
      <c r="E187" s="105">
        <v>37</v>
      </c>
      <c r="F187" s="105">
        <v>1556</v>
      </c>
      <c r="J187" s="105"/>
      <c r="K187" s="105">
        <v>1</v>
      </c>
      <c r="AY187" s="105">
        <v>7</v>
      </c>
      <c r="AZ187" s="105">
        <v>47.5</v>
      </c>
      <c r="BA187" s="105">
        <v>3</v>
      </c>
      <c r="BB187" s="105" t="s">
        <v>16614</v>
      </c>
      <c r="BC187" s="105">
        <v>2026</v>
      </c>
    </row>
    <row r="188" spans="1:56">
      <c r="A188" s="158">
        <v>1</v>
      </c>
      <c r="B188" s="107" t="s">
        <v>16733</v>
      </c>
      <c r="C188" s="105" t="s">
        <v>140</v>
      </c>
      <c r="D188" s="105">
        <v>62</v>
      </c>
      <c r="E188" s="105">
        <v>37</v>
      </c>
      <c r="F188" s="105">
        <v>4582</v>
      </c>
      <c r="G188" s="105">
        <v>415</v>
      </c>
      <c r="I188" s="105">
        <v>24</v>
      </c>
      <c r="J188" s="105">
        <v>7362</v>
      </c>
      <c r="K188" s="105">
        <v>102</v>
      </c>
      <c r="L188" s="105">
        <v>0</v>
      </c>
      <c r="Q188" s="105">
        <v>1766</v>
      </c>
      <c r="R188" s="105">
        <v>11</v>
      </c>
      <c r="S188" s="105">
        <v>3</v>
      </c>
      <c r="T188" s="105">
        <v>1</v>
      </c>
      <c r="U188" s="105">
        <v>6</v>
      </c>
      <c r="V188" s="105">
        <v>0</v>
      </c>
      <c r="W188" s="105">
        <v>231</v>
      </c>
      <c r="X188" s="105">
        <v>55</v>
      </c>
      <c r="Y188" s="105">
        <v>7</v>
      </c>
      <c r="Z188" s="105">
        <v>45</v>
      </c>
      <c r="AA188" s="105">
        <v>0</v>
      </c>
      <c r="AX188" s="105">
        <v>154</v>
      </c>
      <c r="AY188" s="105">
        <v>2</v>
      </c>
      <c r="AZ188" s="105">
        <v>6</v>
      </c>
      <c r="BA188" s="105">
        <v>0</v>
      </c>
      <c r="BB188" s="105" t="s">
        <v>16616</v>
      </c>
      <c r="BC188" s="105">
        <v>2026</v>
      </c>
      <c r="BD188" s="105">
        <v>154</v>
      </c>
    </row>
    <row r="189" spans="1:56">
      <c r="A189" s="158">
        <v>1</v>
      </c>
      <c r="B189" s="107" t="s">
        <v>16733</v>
      </c>
      <c r="C189" s="105" t="s">
        <v>140</v>
      </c>
      <c r="H189" s="105">
        <v>880</v>
      </c>
      <c r="J189" s="105"/>
      <c r="BB189" s="105" t="s">
        <v>16616</v>
      </c>
      <c r="BC189" s="105">
        <v>2026</v>
      </c>
    </row>
    <row r="190" spans="1:56">
      <c r="A190" s="158">
        <v>1</v>
      </c>
      <c r="B190" s="107" t="s">
        <v>16733</v>
      </c>
      <c r="C190" s="105" t="s">
        <v>136</v>
      </c>
      <c r="D190" s="105">
        <v>234</v>
      </c>
      <c r="E190" s="105">
        <v>62</v>
      </c>
      <c r="F190" s="105">
        <v>12721</v>
      </c>
      <c r="G190" s="105">
        <v>779</v>
      </c>
      <c r="H190" s="105">
        <v>1715</v>
      </c>
      <c r="I190" s="105">
        <v>8</v>
      </c>
      <c r="J190" s="105">
        <v>40953</v>
      </c>
      <c r="K190" s="105">
        <v>71</v>
      </c>
      <c r="L190" s="105">
        <v>5</v>
      </c>
      <c r="Q190" s="105">
        <v>1504</v>
      </c>
      <c r="R190" s="105">
        <v>31</v>
      </c>
      <c r="S190" s="105">
        <v>5</v>
      </c>
      <c r="T190" s="105">
        <v>6</v>
      </c>
      <c r="U190" s="105">
        <v>11</v>
      </c>
      <c r="V190" s="105">
        <v>4</v>
      </c>
      <c r="W190" s="105">
        <v>1270</v>
      </c>
      <c r="X190" s="105">
        <v>68</v>
      </c>
      <c r="Y190" s="105">
        <v>46</v>
      </c>
      <c r="Z190" s="105">
        <v>93</v>
      </c>
      <c r="AA190" s="105">
        <v>183</v>
      </c>
      <c r="AX190" s="105">
        <v>1392</v>
      </c>
      <c r="AY190" s="105">
        <v>1</v>
      </c>
      <c r="AZ190" s="105">
        <v>1</v>
      </c>
      <c r="BB190" s="105" t="s">
        <v>16619</v>
      </c>
      <c r="BC190" s="105">
        <v>2026</v>
      </c>
      <c r="BD190" s="105">
        <v>646</v>
      </c>
    </row>
    <row r="191" spans="1:56">
      <c r="A191" s="158">
        <v>1</v>
      </c>
      <c r="B191" s="107" t="s">
        <v>16733</v>
      </c>
      <c r="C191" s="105" t="s">
        <v>139</v>
      </c>
      <c r="D191" s="105">
        <v>1</v>
      </c>
      <c r="E191" s="105">
        <v>83</v>
      </c>
      <c r="F191" s="105">
        <v>0</v>
      </c>
      <c r="G191" s="105">
        <v>0</v>
      </c>
      <c r="H191" s="105">
        <v>0</v>
      </c>
      <c r="I191" s="105">
        <v>0</v>
      </c>
      <c r="J191" s="105">
        <v>992</v>
      </c>
      <c r="K191" s="105">
        <v>0</v>
      </c>
      <c r="L191" s="105">
        <v>0</v>
      </c>
      <c r="M191" s="105">
        <v>1</v>
      </c>
      <c r="N191" s="105">
        <v>67</v>
      </c>
      <c r="O191" s="105">
        <v>1110</v>
      </c>
      <c r="P191" s="105">
        <v>6578</v>
      </c>
      <c r="Q191" s="105">
        <v>0</v>
      </c>
      <c r="R191" s="105">
        <v>0</v>
      </c>
      <c r="S191" s="105">
        <v>0</v>
      </c>
      <c r="T191" s="105">
        <v>0</v>
      </c>
      <c r="U191" s="105">
        <v>0</v>
      </c>
      <c r="V191" s="105">
        <v>0</v>
      </c>
      <c r="W191" s="105">
        <v>0</v>
      </c>
      <c r="X191" s="105">
        <v>0</v>
      </c>
      <c r="Y191" s="105">
        <v>0</v>
      </c>
      <c r="Z191" s="105">
        <v>0</v>
      </c>
      <c r="AA191" s="105">
        <v>0</v>
      </c>
      <c r="AB191" s="105">
        <v>16</v>
      </c>
      <c r="AC191" s="105">
        <v>3</v>
      </c>
      <c r="AD191" s="105">
        <v>11</v>
      </c>
      <c r="AE191" s="105">
        <v>12</v>
      </c>
      <c r="AF191" s="105">
        <v>5</v>
      </c>
      <c r="AG191" s="105">
        <v>337</v>
      </c>
      <c r="AH191" s="105">
        <v>57</v>
      </c>
      <c r="AI191" s="105">
        <v>270</v>
      </c>
      <c r="AJ191" s="105">
        <v>96</v>
      </c>
      <c r="AK191" s="105">
        <v>196</v>
      </c>
      <c r="AL191" s="105">
        <v>0</v>
      </c>
      <c r="AM191" s="105">
        <v>0</v>
      </c>
      <c r="AN191" s="105">
        <v>0</v>
      </c>
      <c r="AO191" s="105">
        <v>2</v>
      </c>
      <c r="AP191" s="105">
        <v>0</v>
      </c>
      <c r="AQ191" s="105">
        <v>0</v>
      </c>
      <c r="AR191" s="105">
        <v>0</v>
      </c>
      <c r="AS191" s="105">
        <v>0</v>
      </c>
      <c r="AT191" s="105">
        <v>22</v>
      </c>
      <c r="AU191" s="105">
        <v>0</v>
      </c>
      <c r="AV191" s="105">
        <v>0</v>
      </c>
      <c r="AW191" s="105">
        <v>0</v>
      </c>
      <c r="AX191" s="105">
        <v>64</v>
      </c>
      <c r="AY191" s="105">
        <v>66</v>
      </c>
      <c r="AZ191" s="105">
        <v>132</v>
      </c>
      <c r="BA191" s="105">
        <v>0</v>
      </c>
      <c r="BB191" s="105" t="s">
        <v>16618</v>
      </c>
      <c r="BC191" s="105">
        <v>2026</v>
      </c>
      <c r="BD191" s="105">
        <v>0</v>
      </c>
    </row>
    <row r="192" spans="1:56">
      <c r="A192" s="158">
        <v>2</v>
      </c>
      <c r="B192" s="107" t="s">
        <v>16734</v>
      </c>
      <c r="C192" s="105" t="s">
        <v>138</v>
      </c>
      <c r="D192" s="105">
        <v>47</v>
      </c>
      <c r="E192" s="105">
        <v>19</v>
      </c>
      <c r="F192" s="105">
        <v>3382</v>
      </c>
      <c r="G192" s="105">
        <v>192</v>
      </c>
      <c r="H192" s="105">
        <v>290</v>
      </c>
      <c r="I192" s="105">
        <v>10</v>
      </c>
      <c r="J192" s="105">
        <v>4042</v>
      </c>
      <c r="K192" s="105">
        <v>23</v>
      </c>
      <c r="L192" s="105">
        <v>0</v>
      </c>
      <c r="Q192" s="105">
        <v>593</v>
      </c>
      <c r="R192" s="105">
        <v>7</v>
      </c>
      <c r="S192" s="105">
        <v>5</v>
      </c>
      <c r="T192" s="105">
        <v>2</v>
      </c>
      <c r="U192" s="105">
        <v>10</v>
      </c>
      <c r="V192" s="105">
        <v>0</v>
      </c>
      <c r="W192" s="105">
        <v>77</v>
      </c>
      <c r="X192" s="105">
        <v>51</v>
      </c>
      <c r="Y192" s="105">
        <v>18</v>
      </c>
      <c r="Z192" s="105">
        <v>83</v>
      </c>
      <c r="AA192" s="105">
        <v>0</v>
      </c>
      <c r="AB192" s="105">
        <v>2</v>
      </c>
      <c r="AC192" s="105">
        <v>0</v>
      </c>
      <c r="AD192" s="105">
        <v>0</v>
      </c>
      <c r="AE192" s="105">
        <v>0</v>
      </c>
      <c r="AF192" s="105">
        <v>0</v>
      </c>
      <c r="AG192" s="105">
        <v>37</v>
      </c>
      <c r="AH192" s="105">
        <v>0</v>
      </c>
      <c r="AI192" s="105">
        <v>0</v>
      </c>
      <c r="AJ192" s="105">
        <v>0</v>
      </c>
      <c r="AK192" s="105">
        <v>0</v>
      </c>
      <c r="AL192" s="105">
        <v>0</v>
      </c>
      <c r="AM192" s="105">
        <v>0</v>
      </c>
      <c r="AN192" s="105">
        <v>0</v>
      </c>
      <c r="AO192" s="105">
        <v>0</v>
      </c>
      <c r="AP192" s="105">
        <v>0</v>
      </c>
      <c r="AQ192" s="105">
        <v>0</v>
      </c>
      <c r="AR192" s="105">
        <v>0</v>
      </c>
      <c r="AS192" s="105">
        <v>0</v>
      </c>
      <c r="AT192" s="105">
        <v>0</v>
      </c>
      <c r="AU192" s="105">
        <v>0</v>
      </c>
      <c r="AV192" s="105">
        <v>0</v>
      </c>
      <c r="AW192" s="105">
        <v>0</v>
      </c>
      <c r="AX192" s="105">
        <v>638</v>
      </c>
      <c r="AY192" s="105">
        <v>13</v>
      </c>
      <c r="AZ192" s="105">
        <v>121</v>
      </c>
      <c r="BA192" s="105">
        <v>7</v>
      </c>
      <c r="BB192" s="105" t="s">
        <v>16615</v>
      </c>
      <c r="BC192" s="105">
        <v>2026</v>
      </c>
      <c r="BD192" s="105">
        <v>151</v>
      </c>
    </row>
    <row r="193" spans="1:56">
      <c r="A193" s="158">
        <v>2</v>
      </c>
      <c r="B193" s="107" t="s">
        <v>16734</v>
      </c>
      <c r="C193" s="105" t="s">
        <v>140</v>
      </c>
      <c r="D193" s="105">
        <v>65</v>
      </c>
      <c r="E193" s="105">
        <v>12</v>
      </c>
      <c r="F193" s="105">
        <v>4167</v>
      </c>
      <c r="G193" s="105">
        <v>423</v>
      </c>
      <c r="H193" s="105">
        <v>877</v>
      </c>
      <c r="I193" s="105">
        <v>17</v>
      </c>
      <c r="J193" s="105">
        <v>7854</v>
      </c>
      <c r="K193" s="105">
        <v>110</v>
      </c>
      <c r="L193" s="105">
        <v>0</v>
      </c>
      <c r="Q193" s="105">
        <v>849</v>
      </c>
      <c r="R193" s="105">
        <v>7</v>
      </c>
      <c r="S193" s="105">
        <v>3</v>
      </c>
      <c r="T193" s="105">
        <v>2</v>
      </c>
      <c r="U193" s="105">
        <v>6</v>
      </c>
      <c r="V193" s="105">
        <v>1</v>
      </c>
      <c r="W193" s="105">
        <v>131</v>
      </c>
      <c r="X193" s="105">
        <v>45</v>
      </c>
      <c r="Y193" s="105">
        <v>9</v>
      </c>
      <c r="Z193" s="105">
        <v>47</v>
      </c>
      <c r="AA193" s="105">
        <v>5</v>
      </c>
      <c r="AX193" s="105">
        <v>251</v>
      </c>
      <c r="AY193" s="105">
        <v>18</v>
      </c>
      <c r="AZ193" s="105">
        <v>147</v>
      </c>
      <c r="BA193" s="105">
        <v>0</v>
      </c>
      <c r="BB193" s="105" t="s">
        <v>16616</v>
      </c>
      <c r="BC193" s="105">
        <v>2026</v>
      </c>
      <c r="BD193" s="105">
        <v>110</v>
      </c>
    </row>
    <row r="194" spans="1:56">
      <c r="A194" s="158">
        <v>2</v>
      </c>
      <c r="B194" s="107" t="s">
        <v>16734</v>
      </c>
      <c r="C194" s="105" t="s">
        <v>136</v>
      </c>
      <c r="D194" s="105">
        <v>211</v>
      </c>
      <c r="E194" s="105">
        <v>38</v>
      </c>
      <c r="F194" s="105">
        <v>12673</v>
      </c>
      <c r="G194" s="105">
        <v>907</v>
      </c>
      <c r="H194" s="105">
        <v>1579</v>
      </c>
      <c r="I194" s="105">
        <v>11</v>
      </c>
      <c r="J194" s="105">
        <v>39230</v>
      </c>
      <c r="K194" s="105">
        <v>64</v>
      </c>
      <c r="L194" s="105">
        <v>5</v>
      </c>
      <c r="Q194" s="105">
        <v>1875</v>
      </c>
      <c r="R194" s="105">
        <v>15</v>
      </c>
      <c r="S194" s="105">
        <v>5</v>
      </c>
      <c r="T194" s="105">
        <v>10</v>
      </c>
      <c r="U194" s="105">
        <v>13</v>
      </c>
      <c r="V194" s="105">
        <v>4</v>
      </c>
      <c r="W194" s="105">
        <v>624</v>
      </c>
      <c r="X194" s="105">
        <v>73</v>
      </c>
      <c r="Y194" s="105">
        <v>100</v>
      </c>
      <c r="Z194" s="105">
        <v>1</v>
      </c>
      <c r="AA194" s="105">
        <v>236</v>
      </c>
      <c r="AX194" s="105">
        <v>2292</v>
      </c>
      <c r="AY194" s="105">
        <v>23</v>
      </c>
      <c r="AZ194" s="105">
        <v>177</v>
      </c>
      <c r="BB194" s="105" t="s">
        <v>16619</v>
      </c>
      <c r="BC194" s="105">
        <v>2026</v>
      </c>
      <c r="BD194" s="105">
        <v>126</v>
      </c>
    </row>
    <row r="195" spans="1:56">
      <c r="A195" s="158">
        <v>2</v>
      </c>
      <c r="B195" s="107" t="s">
        <v>16734</v>
      </c>
      <c r="C195" s="105" t="s">
        <v>134</v>
      </c>
      <c r="D195" s="105">
        <v>19</v>
      </c>
      <c r="E195" s="105">
        <v>84</v>
      </c>
      <c r="F195" s="105">
        <v>841</v>
      </c>
      <c r="J195" s="105">
        <v>2226</v>
      </c>
      <c r="AB195" s="105">
        <v>3</v>
      </c>
      <c r="AE195" s="105">
        <v>2</v>
      </c>
      <c r="AG195" s="105">
        <v>91</v>
      </c>
      <c r="AJ195" s="105">
        <v>25</v>
      </c>
      <c r="AV195" s="105">
        <v>2</v>
      </c>
      <c r="AW195" s="105">
        <v>45</v>
      </c>
      <c r="AX195" s="105">
        <v>1</v>
      </c>
      <c r="AY195" s="105">
        <v>5</v>
      </c>
      <c r="AZ195" s="105">
        <v>42</v>
      </c>
      <c r="BA195" s="105">
        <v>5</v>
      </c>
      <c r="BB195" s="105" t="s">
        <v>16614</v>
      </c>
      <c r="BC195" s="105">
        <v>2026</v>
      </c>
    </row>
    <row r="196" spans="1:56">
      <c r="A196" s="158">
        <v>2</v>
      </c>
      <c r="B196" s="107" t="s">
        <v>16734</v>
      </c>
      <c r="C196" s="105" t="s">
        <v>135</v>
      </c>
      <c r="D196" s="105">
        <v>27</v>
      </c>
      <c r="E196" s="105">
        <v>5</v>
      </c>
      <c r="F196" s="105">
        <v>2568</v>
      </c>
      <c r="G196" s="105">
        <v>232</v>
      </c>
      <c r="H196" s="105">
        <v>450</v>
      </c>
      <c r="I196" s="105">
        <v>3</v>
      </c>
      <c r="J196" s="105">
        <v>4894</v>
      </c>
      <c r="K196" s="105">
        <v>58</v>
      </c>
      <c r="L196" s="105">
        <v>0</v>
      </c>
      <c r="Q196" s="105">
        <v>773</v>
      </c>
      <c r="R196" s="105">
        <v>8</v>
      </c>
      <c r="S196" s="105">
        <v>2</v>
      </c>
      <c r="T196" s="105">
        <v>2</v>
      </c>
      <c r="U196" s="105">
        <v>7</v>
      </c>
      <c r="V196" s="105">
        <v>1</v>
      </c>
      <c r="W196" s="105">
        <v>91</v>
      </c>
      <c r="X196" s="105">
        <v>14</v>
      </c>
      <c r="Y196" s="105">
        <v>12</v>
      </c>
      <c r="Z196" s="105">
        <v>46</v>
      </c>
      <c r="AA196" s="105">
        <v>5</v>
      </c>
      <c r="AB196" s="105">
        <v>0</v>
      </c>
      <c r="AC196" s="105">
        <v>0</v>
      </c>
      <c r="AD196" s="105">
        <v>0</v>
      </c>
      <c r="AE196" s="105">
        <v>0</v>
      </c>
      <c r="AF196" s="105">
        <v>0</v>
      </c>
      <c r="AG196" s="105">
        <v>0</v>
      </c>
      <c r="AH196" s="105">
        <v>0</v>
      </c>
      <c r="AI196" s="105">
        <v>0</v>
      </c>
      <c r="AJ196" s="105">
        <v>0</v>
      </c>
      <c r="AK196" s="105">
        <v>0</v>
      </c>
      <c r="AL196" s="105">
        <v>0</v>
      </c>
      <c r="AM196" s="105">
        <v>0</v>
      </c>
      <c r="AN196" s="105">
        <v>0</v>
      </c>
      <c r="AO196" s="105">
        <v>0</v>
      </c>
      <c r="AP196" s="105">
        <v>0</v>
      </c>
      <c r="AQ196" s="105">
        <v>0</v>
      </c>
      <c r="AR196" s="105">
        <v>0</v>
      </c>
      <c r="AS196" s="105">
        <v>0</v>
      </c>
      <c r="AT196" s="105">
        <v>0</v>
      </c>
      <c r="AU196" s="105">
        <v>0</v>
      </c>
      <c r="AV196" s="105">
        <v>0</v>
      </c>
      <c r="AW196" s="105">
        <v>0</v>
      </c>
      <c r="AX196" s="105">
        <v>364</v>
      </c>
      <c r="AY196" s="105">
        <v>11</v>
      </c>
      <c r="AZ196" s="105">
        <v>101.5</v>
      </c>
      <c r="BA196" s="105">
        <v>3</v>
      </c>
      <c r="BB196" s="105" t="s">
        <v>16617</v>
      </c>
      <c r="BC196" s="105">
        <v>2026</v>
      </c>
      <c r="BD196" s="105">
        <v>138</v>
      </c>
    </row>
    <row r="197" spans="1:56">
      <c r="A197" s="158">
        <v>3</v>
      </c>
      <c r="B197" s="156" t="s">
        <v>16732</v>
      </c>
      <c r="C197" s="105" t="s">
        <v>135</v>
      </c>
      <c r="D197" s="105">
        <v>24</v>
      </c>
      <c r="E197" s="105">
        <v>13</v>
      </c>
      <c r="F197" s="105">
        <v>3113</v>
      </c>
      <c r="G197" s="105">
        <v>230</v>
      </c>
      <c r="H197" s="105">
        <v>513</v>
      </c>
      <c r="I197" s="105">
        <v>2</v>
      </c>
      <c r="J197" s="105">
        <v>4877</v>
      </c>
      <c r="K197" s="105">
        <v>83</v>
      </c>
      <c r="L197" s="105">
        <v>0</v>
      </c>
      <c r="Q197" s="105">
        <v>1346</v>
      </c>
      <c r="R197" s="105">
        <v>7</v>
      </c>
      <c r="S197" s="105">
        <v>4</v>
      </c>
      <c r="T197" s="105">
        <v>2</v>
      </c>
      <c r="U197" s="105">
        <v>7</v>
      </c>
      <c r="V197" s="105">
        <v>0</v>
      </c>
      <c r="W197" s="105">
        <v>87</v>
      </c>
      <c r="X197" s="105">
        <v>21</v>
      </c>
      <c r="Y197" s="105">
        <v>17</v>
      </c>
      <c r="Z197" s="105">
        <v>59</v>
      </c>
      <c r="AA197" s="105">
        <v>0</v>
      </c>
      <c r="AB197" s="105">
        <v>0</v>
      </c>
      <c r="AC197" s="105">
        <v>0</v>
      </c>
      <c r="AD197" s="105">
        <v>0</v>
      </c>
      <c r="AE197" s="105">
        <v>0</v>
      </c>
      <c r="AF197" s="105">
        <v>0</v>
      </c>
      <c r="AG197" s="105">
        <v>0</v>
      </c>
      <c r="AH197" s="105">
        <v>0</v>
      </c>
      <c r="AI197" s="105">
        <v>0</v>
      </c>
      <c r="AJ197" s="105">
        <v>0</v>
      </c>
      <c r="AK197" s="105">
        <v>0</v>
      </c>
      <c r="AL197" s="105">
        <v>0</v>
      </c>
      <c r="AM197" s="105">
        <v>0</v>
      </c>
      <c r="AN197" s="105">
        <v>0</v>
      </c>
      <c r="AO197" s="105">
        <v>0</v>
      </c>
      <c r="AP197" s="105">
        <v>0</v>
      </c>
      <c r="AQ197" s="105">
        <v>0</v>
      </c>
      <c r="AR197" s="105">
        <v>0</v>
      </c>
      <c r="AS197" s="105">
        <v>0</v>
      </c>
      <c r="AT197" s="105">
        <v>0</v>
      </c>
      <c r="AU197" s="105">
        <v>0</v>
      </c>
      <c r="AV197" s="105">
        <v>0</v>
      </c>
      <c r="AW197" s="105">
        <v>0</v>
      </c>
      <c r="AX197" s="105">
        <v>808</v>
      </c>
      <c r="AY197" s="105">
        <v>7</v>
      </c>
      <c r="AZ197" s="105">
        <v>30.5</v>
      </c>
      <c r="BA197" s="105">
        <v>1</v>
      </c>
      <c r="BB197" s="105" t="s">
        <v>16617</v>
      </c>
      <c r="BC197" s="105">
        <v>2026</v>
      </c>
      <c r="BD197" s="105">
        <v>199</v>
      </c>
    </row>
    <row r="198" spans="1:56">
      <c r="A198" s="158">
        <v>3</v>
      </c>
      <c r="B198" s="156" t="s">
        <v>16732</v>
      </c>
      <c r="C198" s="105" t="s">
        <v>138</v>
      </c>
      <c r="D198" s="105">
        <v>59</v>
      </c>
      <c r="E198" s="105">
        <v>22</v>
      </c>
      <c r="F198" s="105">
        <v>3783</v>
      </c>
      <c r="G198" s="105">
        <v>175</v>
      </c>
      <c r="H198" s="105">
        <v>626</v>
      </c>
      <c r="I198" s="105">
        <v>12</v>
      </c>
      <c r="J198" s="105">
        <v>4975</v>
      </c>
      <c r="K198" s="105">
        <v>18</v>
      </c>
      <c r="L198" s="105">
        <v>2</v>
      </c>
      <c r="Q198" s="105">
        <v>811</v>
      </c>
      <c r="R198" s="105">
        <v>5</v>
      </c>
      <c r="S198" s="105">
        <v>4</v>
      </c>
      <c r="T198" s="105">
        <v>2</v>
      </c>
      <c r="U198" s="105">
        <v>13</v>
      </c>
      <c r="V198" s="105">
        <v>0</v>
      </c>
      <c r="W198" s="105">
        <v>70</v>
      </c>
      <c r="X198" s="105">
        <v>29</v>
      </c>
      <c r="Y198" s="105">
        <v>16</v>
      </c>
      <c r="Z198" s="105">
        <v>122</v>
      </c>
      <c r="AA198" s="105">
        <v>0</v>
      </c>
      <c r="AB198" s="105">
        <v>0</v>
      </c>
      <c r="AC198" s="105">
        <v>0</v>
      </c>
      <c r="AD198" s="105">
        <v>0</v>
      </c>
      <c r="AE198" s="105">
        <v>0</v>
      </c>
      <c r="AF198" s="105">
        <v>0</v>
      </c>
      <c r="AG198" s="105">
        <v>0</v>
      </c>
      <c r="AH198" s="105">
        <v>0</v>
      </c>
      <c r="AI198" s="105">
        <v>0</v>
      </c>
      <c r="AJ198" s="105">
        <v>0</v>
      </c>
      <c r="AK198" s="105">
        <v>0</v>
      </c>
      <c r="AL198" s="105">
        <v>0</v>
      </c>
      <c r="AM198" s="105">
        <v>0</v>
      </c>
      <c r="AN198" s="105">
        <v>0</v>
      </c>
      <c r="AO198" s="105">
        <v>0</v>
      </c>
      <c r="AP198" s="105">
        <v>0</v>
      </c>
      <c r="AQ198" s="105">
        <v>0</v>
      </c>
      <c r="AR198" s="105">
        <v>0</v>
      </c>
      <c r="AS198" s="105">
        <v>0</v>
      </c>
      <c r="AT198" s="105">
        <v>0</v>
      </c>
      <c r="AU198" s="105">
        <v>0</v>
      </c>
      <c r="AV198" s="105">
        <v>0</v>
      </c>
      <c r="AW198" s="105">
        <v>0</v>
      </c>
      <c r="AX198" s="105">
        <v>844</v>
      </c>
      <c r="AY198" s="105">
        <v>3</v>
      </c>
      <c r="AZ198" s="105">
        <v>26</v>
      </c>
      <c r="BA198" s="105">
        <v>9</v>
      </c>
      <c r="BB198" s="105" t="s">
        <v>16615</v>
      </c>
      <c r="BC198" s="105">
        <v>2026</v>
      </c>
      <c r="BD198" s="105">
        <v>198</v>
      </c>
    </row>
    <row r="199" spans="1:56">
      <c r="A199" s="158">
        <v>3</v>
      </c>
      <c r="B199" s="156" t="s">
        <v>16732</v>
      </c>
      <c r="C199" s="105" t="s">
        <v>136</v>
      </c>
      <c r="D199" s="105">
        <v>223</v>
      </c>
      <c r="E199" s="105">
        <v>42</v>
      </c>
      <c r="F199" s="105">
        <v>14045</v>
      </c>
      <c r="G199" s="105">
        <v>1042</v>
      </c>
      <c r="H199" s="105">
        <v>1807</v>
      </c>
      <c r="I199" s="105">
        <v>10</v>
      </c>
      <c r="J199" s="105">
        <v>42370</v>
      </c>
      <c r="K199" s="105">
        <v>79</v>
      </c>
      <c r="L199" s="105">
        <v>5</v>
      </c>
      <c r="Q199" s="105">
        <v>3408</v>
      </c>
      <c r="R199" s="105">
        <v>33</v>
      </c>
      <c r="S199" s="105">
        <v>6</v>
      </c>
      <c r="T199" s="105">
        <v>8</v>
      </c>
      <c r="U199" s="105">
        <v>10</v>
      </c>
      <c r="V199" s="105">
        <v>4</v>
      </c>
      <c r="W199" s="105">
        <v>1370</v>
      </c>
      <c r="X199" s="105">
        <v>81</v>
      </c>
      <c r="Y199" s="105">
        <v>76</v>
      </c>
      <c r="Z199" s="105">
        <v>87</v>
      </c>
      <c r="AA199" s="105">
        <v>230</v>
      </c>
      <c r="AV199" s="105">
        <v>2</v>
      </c>
      <c r="AW199" s="105">
        <v>550</v>
      </c>
      <c r="AX199" s="105">
        <v>1352</v>
      </c>
      <c r="AY199" s="105">
        <v>1</v>
      </c>
      <c r="AZ199" s="105">
        <v>1</v>
      </c>
      <c r="BB199" s="105" t="s">
        <v>16619</v>
      </c>
      <c r="BC199" s="105">
        <v>2026</v>
      </c>
      <c r="BD199" s="105">
        <v>126</v>
      </c>
    </row>
    <row r="200" spans="1:56">
      <c r="A200" s="158">
        <v>3</v>
      </c>
      <c r="B200" s="156" t="s">
        <v>16732</v>
      </c>
      <c r="C200" s="105" t="s">
        <v>134</v>
      </c>
      <c r="D200" s="105">
        <v>7</v>
      </c>
      <c r="E200" s="105">
        <v>31</v>
      </c>
      <c r="F200" s="105">
        <v>892</v>
      </c>
      <c r="J200" s="105">
        <v>3218</v>
      </c>
      <c r="K200" s="105">
        <v>1</v>
      </c>
      <c r="AX200" s="105">
        <v>2</v>
      </c>
      <c r="AY200" s="105">
        <v>5</v>
      </c>
      <c r="AZ200" s="105">
        <v>36.5</v>
      </c>
      <c r="BA200" s="105">
        <v>3</v>
      </c>
      <c r="BB200" s="105" t="s">
        <v>16614</v>
      </c>
      <c r="BC200" s="105">
        <v>2026</v>
      </c>
    </row>
    <row r="201" spans="1:56">
      <c r="A201" s="158">
        <v>3</v>
      </c>
      <c r="B201" s="156" t="s">
        <v>16732</v>
      </c>
      <c r="C201" s="105" t="s">
        <v>140</v>
      </c>
      <c r="D201" s="105">
        <v>63</v>
      </c>
      <c r="E201" s="105">
        <v>8</v>
      </c>
      <c r="F201" s="105">
        <v>4900</v>
      </c>
      <c r="G201" s="105">
        <v>506</v>
      </c>
      <c r="H201" s="105">
        <v>912</v>
      </c>
      <c r="I201" s="105">
        <v>16</v>
      </c>
      <c r="J201" s="105">
        <v>7611</v>
      </c>
      <c r="K201" s="105">
        <v>107</v>
      </c>
      <c r="L201" s="105">
        <v>0</v>
      </c>
      <c r="Q201" s="105">
        <v>1943</v>
      </c>
      <c r="R201" s="105">
        <v>13</v>
      </c>
      <c r="S201" s="105">
        <v>3</v>
      </c>
      <c r="T201" s="105">
        <v>2</v>
      </c>
      <c r="U201" s="105">
        <v>7</v>
      </c>
      <c r="W201" s="105">
        <v>295</v>
      </c>
      <c r="X201" s="105">
        <v>75</v>
      </c>
      <c r="Y201" s="105">
        <v>11</v>
      </c>
      <c r="Z201" s="105">
        <v>60</v>
      </c>
      <c r="AV201" s="105">
        <v>1</v>
      </c>
      <c r="AW201" s="105">
        <v>120</v>
      </c>
      <c r="AX201" s="105">
        <v>135</v>
      </c>
      <c r="AY201" s="105">
        <v>2</v>
      </c>
      <c r="AZ201" s="105">
        <v>6</v>
      </c>
      <c r="BA201" s="105">
        <v>0</v>
      </c>
      <c r="BB201" s="105" t="s">
        <v>16616</v>
      </c>
      <c r="BC201" s="105">
        <v>2026</v>
      </c>
      <c r="BD201" s="105">
        <v>117</v>
      </c>
    </row>
    <row r="202" spans="1:56">
      <c r="A202" s="158">
        <v>3</v>
      </c>
      <c r="B202" s="156" t="s">
        <v>16732</v>
      </c>
      <c r="C202" s="105" t="s">
        <v>139</v>
      </c>
      <c r="D202" s="105">
        <v>5</v>
      </c>
      <c r="E202" s="105">
        <v>293</v>
      </c>
      <c r="F202" s="105">
        <v>0</v>
      </c>
      <c r="G202" s="105">
        <v>0</v>
      </c>
      <c r="H202" s="105">
        <v>0</v>
      </c>
      <c r="I202" s="105">
        <v>0</v>
      </c>
      <c r="J202" s="145">
        <v>3708</v>
      </c>
      <c r="K202" s="105">
        <v>0</v>
      </c>
      <c r="L202" s="105">
        <v>0</v>
      </c>
      <c r="M202" s="105">
        <v>2</v>
      </c>
      <c r="N202" s="105">
        <v>77</v>
      </c>
      <c r="O202" s="105">
        <v>955</v>
      </c>
      <c r="P202" s="145">
        <v>6295</v>
      </c>
      <c r="Q202" s="105">
        <v>0</v>
      </c>
      <c r="R202" s="105">
        <v>0</v>
      </c>
      <c r="S202" s="105">
        <v>0</v>
      </c>
      <c r="T202" s="105">
        <v>0</v>
      </c>
      <c r="U202" s="105">
        <v>0</v>
      </c>
      <c r="V202" s="105">
        <v>0</v>
      </c>
      <c r="W202" s="105">
        <v>0</v>
      </c>
      <c r="X202" s="105">
        <v>0</v>
      </c>
      <c r="Y202" s="105">
        <v>0</v>
      </c>
      <c r="Z202" s="105">
        <v>0</v>
      </c>
      <c r="AA202" s="105">
        <v>0</v>
      </c>
      <c r="AB202" s="105">
        <v>14</v>
      </c>
      <c r="AC202" s="105">
        <v>2</v>
      </c>
      <c r="AD202" s="105">
        <v>7</v>
      </c>
      <c r="AE202" s="105">
        <v>11</v>
      </c>
      <c r="AF202" s="105">
        <v>5</v>
      </c>
      <c r="AG202" s="105">
        <v>431</v>
      </c>
      <c r="AH202" s="105">
        <v>28</v>
      </c>
      <c r="AI202" s="105">
        <v>248</v>
      </c>
      <c r="AJ202" s="105">
        <v>91</v>
      </c>
      <c r="AK202" s="105">
        <v>247</v>
      </c>
      <c r="AL202" s="105">
        <v>0</v>
      </c>
      <c r="AM202" s="105">
        <v>0</v>
      </c>
      <c r="AN202" s="105">
        <v>0</v>
      </c>
      <c r="AO202" s="105">
        <v>2</v>
      </c>
      <c r="AP202" s="105">
        <v>0</v>
      </c>
      <c r="AQ202" s="105">
        <v>0</v>
      </c>
      <c r="AR202" s="105">
        <v>0</v>
      </c>
      <c r="AS202" s="105">
        <v>0</v>
      </c>
      <c r="AT202" s="105">
        <v>20</v>
      </c>
      <c r="AU202" s="105">
        <v>0</v>
      </c>
      <c r="AV202" s="105">
        <v>0</v>
      </c>
      <c r="AW202" s="105">
        <v>0</v>
      </c>
      <c r="AX202" s="105">
        <v>50</v>
      </c>
      <c r="AY202" s="105">
        <v>30</v>
      </c>
      <c r="AZ202" s="105">
        <v>56.75</v>
      </c>
      <c r="BA202" s="105">
        <v>0</v>
      </c>
      <c r="BB202" s="105" t="s">
        <v>16618</v>
      </c>
      <c r="BC202" s="105">
        <v>2026</v>
      </c>
      <c r="BD202" s="105">
        <v>0</v>
      </c>
    </row>
    <row r="203" spans="1:56">
      <c r="J203" s="105"/>
    </row>
    <row r="204" spans="1:56">
      <c r="J204" s="105"/>
    </row>
    <row r="205" spans="1:56">
      <c r="J205" s="105"/>
    </row>
    <row r="206" spans="1:56">
      <c r="J206" s="105"/>
    </row>
    <row r="207" spans="1:56">
      <c r="J207" s="105"/>
    </row>
    <row r="208" spans="1:56">
      <c r="J208" s="105"/>
    </row>
    <row r="209" spans="10:10">
      <c r="J209" s="105"/>
    </row>
    <row r="210" spans="10:10">
      <c r="J210" s="105"/>
    </row>
    <row r="211" spans="10:10">
      <c r="J211" s="105"/>
    </row>
    <row r="212" spans="10:10">
      <c r="J212" s="105"/>
    </row>
    <row r="213" spans="10:10">
      <c r="J213" s="105"/>
    </row>
    <row r="214" spans="10:10">
      <c r="J214" s="105"/>
    </row>
    <row r="215" spans="10:10">
      <c r="J215" s="105"/>
    </row>
    <row r="216" spans="10:10">
      <c r="J216" s="105"/>
    </row>
    <row r="217" spans="10:10">
      <c r="J217" s="105"/>
    </row>
    <row r="218" spans="10:10">
      <c r="J218" s="105"/>
    </row>
    <row r="219" spans="10:10">
      <c r="J219" s="105"/>
    </row>
    <row r="220" spans="10:10">
      <c r="J220" s="105"/>
    </row>
    <row r="221" spans="10:10">
      <c r="J221" s="105"/>
    </row>
    <row r="222" spans="10:10">
      <c r="J222" s="105"/>
    </row>
    <row r="223" spans="10:10">
      <c r="J223" s="105"/>
    </row>
    <row r="224" spans="10:10">
      <c r="J224" s="105"/>
    </row>
    <row r="225" spans="10:10">
      <c r="J225" s="105"/>
    </row>
    <row r="226" spans="10:10">
      <c r="J226" s="105"/>
    </row>
    <row r="227" spans="10:10">
      <c r="J227" s="105"/>
    </row>
    <row r="228" spans="10:10">
      <c r="J228" s="105"/>
    </row>
    <row r="229" spans="10:10">
      <c r="J229" s="105"/>
    </row>
    <row r="230" spans="10:10">
      <c r="J230" s="105"/>
    </row>
    <row r="231" spans="10:10">
      <c r="J231" s="105"/>
    </row>
    <row r="232" spans="10:10">
      <c r="J232" s="105"/>
    </row>
    <row r="233" spans="10:10">
      <c r="J233" s="105"/>
    </row>
    <row r="234" spans="10:10">
      <c r="J234" s="105"/>
    </row>
    <row r="235" spans="10:10">
      <c r="J235" s="105"/>
    </row>
    <row r="236" spans="10:10">
      <c r="J236" s="105"/>
    </row>
    <row r="237" spans="10:10">
      <c r="J237" s="105"/>
    </row>
    <row r="238" spans="10:10">
      <c r="J238" s="105"/>
    </row>
    <row r="239" spans="10:10">
      <c r="J239" s="105"/>
    </row>
    <row r="240" spans="10:10">
      <c r="J240" s="105"/>
    </row>
    <row r="241" spans="10:10">
      <c r="J241" s="105"/>
    </row>
    <row r="242" spans="10:10">
      <c r="J242" s="105"/>
    </row>
    <row r="243" spans="10:10">
      <c r="J243" s="105"/>
    </row>
    <row r="244" spans="10:10">
      <c r="J244" s="105"/>
    </row>
    <row r="245" spans="10:10">
      <c r="J245" s="105"/>
    </row>
    <row r="246" spans="10:10">
      <c r="J246" s="105"/>
    </row>
    <row r="247" spans="10:10">
      <c r="J247" s="105"/>
    </row>
    <row r="248" spans="10:10">
      <c r="J248" s="105"/>
    </row>
    <row r="249" spans="10:10">
      <c r="J249" s="105"/>
    </row>
    <row r="250" spans="10:10">
      <c r="J250" s="105"/>
    </row>
    <row r="251" spans="10:10">
      <c r="J251" s="105"/>
    </row>
    <row r="252" spans="10:10">
      <c r="J252" s="105"/>
    </row>
    <row r="253" spans="10:10">
      <c r="J253" s="105"/>
    </row>
    <row r="254" spans="10:10">
      <c r="J254" s="105"/>
    </row>
    <row r="255" spans="10:10">
      <c r="J255" s="105"/>
    </row>
    <row r="256" spans="10:10">
      <c r="J256" s="105"/>
    </row>
    <row r="257" spans="10:10">
      <c r="J257" s="105"/>
    </row>
    <row r="258" spans="10:10">
      <c r="J258" s="105"/>
    </row>
    <row r="259" spans="10:10">
      <c r="J259" s="105"/>
    </row>
    <row r="260" spans="10:10">
      <c r="J260" s="105"/>
    </row>
    <row r="261" spans="10:10">
      <c r="J261" s="105"/>
    </row>
    <row r="262" spans="10:10">
      <c r="J262" s="105"/>
    </row>
    <row r="263" spans="10:10">
      <c r="J263" s="105"/>
    </row>
    <row r="264" spans="10:10">
      <c r="J264" s="105"/>
    </row>
    <row r="265" spans="10:10">
      <c r="J265" s="105"/>
    </row>
    <row r="266" spans="10:10">
      <c r="J266" s="105"/>
    </row>
    <row r="267" spans="10:10">
      <c r="J267" s="105"/>
    </row>
    <row r="268" spans="10:10">
      <c r="J268" s="105"/>
    </row>
    <row r="269" spans="10:10">
      <c r="J269" s="105"/>
    </row>
    <row r="270" spans="10:10">
      <c r="J270" s="105"/>
    </row>
    <row r="271" spans="10:10">
      <c r="J271" s="105"/>
    </row>
    <row r="272" spans="10:10">
      <c r="J272" s="105"/>
    </row>
    <row r="273" spans="10:10">
      <c r="J273" s="105"/>
    </row>
    <row r="274" spans="10:10">
      <c r="J274" s="105"/>
    </row>
    <row r="275" spans="10:10">
      <c r="J275" s="105"/>
    </row>
    <row r="276" spans="10:10">
      <c r="J276" s="105"/>
    </row>
    <row r="277" spans="10:10">
      <c r="J277" s="105"/>
    </row>
    <row r="278" spans="10:10">
      <c r="J278" s="105"/>
    </row>
    <row r="279" spans="10:10">
      <c r="J279" s="105"/>
    </row>
    <row r="280" spans="10:10">
      <c r="J280" s="105"/>
    </row>
    <row r="281" spans="10:10">
      <c r="J281" s="105"/>
    </row>
    <row r="282" spans="10:10">
      <c r="J282" s="105"/>
    </row>
    <row r="283" spans="10:10">
      <c r="J283" s="105"/>
    </row>
    <row r="284" spans="10:10">
      <c r="J284" s="105"/>
    </row>
    <row r="285" spans="10:10">
      <c r="J285" s="105"/>
    </row>
    <row r="286" spans="10:10">
      <c r="J286" s="105"/>
    </row>
    <row r="287" spans="10:10">
      <c r="J287" s="105"/>
    </row>
    <row r="288" spans="10:10">
      <c r="J288" s="105"/>
    </row>
    <row r="289" spans="10:10">
      <c r="J289" s="105"/>
    </row>
    <row r="290" spans="10:10">
      <c r="J290" s="105"/>
    </row>
    <row r="291" spans="10:10">
      <c r="J291" s="105"/>
    </row>
    <row r="292" spans="10:10">
      <c r="J292" s="105"/>
    </row>
    <row r="293" spans="10:10">
      <c r="J293" s="105"/>
    </row>
    <row r="294" spans="10:10">
      <c r="J294" s="105"/>
    </row>
    <row r="295" spans="10:10">
      <c r="J295" s="105"/>
    </row>
    <row r="296" spans="10:10">
      <c r="J296" s="105"/>
    </row>
    <row r="297" spans="10:10">
      <c r="J297" s="105"/>
    </row>
    <row r="298" spans="10:10">
      <c r="J298" s="105"/>
    </row>
    <row r="299" spans="10:10">
      <c r="J299" s="105"/>
    </row>
    <row r="300" spans="10:10">
      <c r="J300" s="105"/>
    </row>
    <row r="301" spans="10:10">
      <c r="J301" s="105"/>
    </row>
    <row r="302" spans="10:10">
      <c r="J302" s="105"/>
    </row>
    <row r="303" spans="10:10">
      <c r="J303" s="105"/>
    </row>
    <row r="304" spans="10:10">
      <c r="J304" s="105"/>
    </row>
    <row r="305" spans="10:10">
      <c r="J305" s="105"/>
    </row>
    <row r="306" spans="10:10">
      <c r="J306" s="105"/>
    </row>
    <row r="307" spans="10:10">
      <c r="J307" s="105"/>
    </row>
    <row r="308" spans="10:10">
      <c r="J308" s="105"/>
    </row>
    <row r="309" spans="10:10">
      <c r="J309" s="105"/>
    </row>
    <row r="310" spans="10:10">
      <c r="J310" s="105"/>
    </row>
    <row r="311" spans="10:10">
      <c r="J311" s="105"/>
    </row>
    <row r="312" spans="10:10">
      <c r="J312" s="105"/>
    </row>
    <row r="313" spans="10:10">
      <c r="J313" s="105"/>
    </row>
    <row r="314" spans="10:10">
      <c r="J314" s="105"/>
    </row>
    <row r="315" spans="10:10">
      <c r="J315" s="105"/>
    </row>
    <row r="316" spans="10:10">
      <c r="J316" s="105"/>
    </row>
    <row r="317" spans="10:10">
      <c r="J317" s="105"/>
    </row>
    <row r="318" spans="10:10">
      <c r="J318" s="105"/>
    </row>
    <row r="319" spans="10:10">
      <c r="J319" s="105"/>
    </row>
    <row r="320" spans="10:10">
      <c r="J320" s="105"/>
    </row>
    <row r="321" spans="10:10">
      <c r="J321" s="105"/>
    </row>
    <row r="322" spans="10:10">
      <c r="J322" s="105"/>
    </row>
    <row r="323" spans="10:10">
      <c r="J323" s="105"/>
    </row>
    <row r="324" spans="10:10">
      <c r="J324" s="105"/>
    </row>
    <row r="325" spans="10:10">
      <c r="J325" s="105"/>
    </row>
    <row r="326" spans="10:10">
      <c r="J326" s="105"/>
    </row>
    <row r="327" spans="10:10">
      <c r="J327" s="105"/>
    </row>
    <row r="328" spans="10:10">
      <c r="J328" s="105"/>
    </row>
    <row r="329" spans="10:10">
      <c r="J329" s="105"/>
    </row>
    <row r="330" spans="10:10">
      <c r="J330" s="105"/>
    </row>
    <row r="331" spans="10:10">
      <c r="J331" s="105"/>
    </row>
    <row r="332" spans="10:10">
      <c r="J332" s="105"/>
    </row>
    <row r="333" spans="10:10">
      <c r="J333" s="105"/>
    </row>
    <row r="334" spans="10:10">
      <c r="J334" s="105"/>
    </row>
    <row r="335" spans="10:10">
      <c r="J335" s="105"/>
    </row>
    <row r="336" spans="10:10">
      <c r="J336" s="105"/>
    </row>
    <row r="337" spans="10:10">
      <c r="J337" s="105"/>
    </row>
    <row r="338" spans="10:10">
      <c r="J338" s="105"/>
    </row>
    <row r="339" spans="10:10">
      <c r="J339" s="105"/>
    </row>
    <row r="340" spans="10:10">
      <c r="J340" s="105"/>
    </row>
    <row r="341" spans="10:10">
      <c r="J341" s="105"/>
    </row>
    <row r="342" spans="10:10">
      <c r="J342" s="105"/>
    </row>
    <row r="343" spans="10:10">
      <c r="J343" s="105"/>
    </row>
    <row r="344" spans="10:10">
      <c r="J344" s="105"/>
    </row>
    <row r="345" spans="10:10">
      <c r="J345" s="105"/>
    </row>
    <row r="346" spans="10:10">
      <c r="J346" s="105"/>
    </row>
    <row r="347" spans="10:10">
      <c r="J347" s="105"/>
    </row>
    <row r="348" spans="10:10">
      <c r="J348" s="105"/>
    </row>
    <row r="349" spans="10:10">
      <c r="J349" s="105"/>
    </row>
    <row r="350" spans="10:10">
      <c r="J350" s="105"/>
    </row>
    <row r="351" spans="10:10">
      <c r="J351" s="105"/>
    </row>
    <row r="352" spans="10:10">
      <c r="J352" s="105"/>
    </row>
    <row r="353" spans="10:10">
      <c r="J353" s="105"/>
    </row>
    <row r="354" spans="10:10">
      <c r="J354" s="105"/>
    </row>
    <row r="355" spans="10:10">
      <c r="J355" s="105"/>
    </row>
    <row r="356" spans="10:10">
      <c r="J356" s="105"/>
    </row>
    <row r="357" spans="10:10">
      <c r="J357" s="105"/>
    </row>
    <row r="358" spans="10:10">
      <c r="J358" s="105"/>
    </row>
    <row r="359" spans="10:10">
      <c r="J359" s="105"/>
    </row>
    <row r="360" spans="10:10">
      <c r="J360" s="105"/>
    </row>
    <row r="361" spans="10:10">
      <c r="J361" s="105"/>
    </row>
    <row r="362" spans="10:10">
      <c r="J362" s="105"/>
    </row>
    <row r="363" spans="10:10">
      <c r="J363" s="105"/>
    </row>
    <row r="364" spans="10:10">
      <c r="J364" s="105"/>
    </row>
    <row r="365" spans="10:10">
      <c r="J365" s="105"/>
    </row>
    <row r="366" spans="10:10">
      <c r="J366" s="105"/>
    </row>
    <row r="367" spans="10:10">
      <c r="J367" s="105"/>
    </row>
    <row r="368" spans="10:10">
      <c r="J368" s="105"/>
    </row>
    <row r="369" spans="10:10">
      <c r="J369" s="105"/>
    </row>
    <row r="370" spans="10:10">
      <c r="J370" s="105"/>
    </row>
    <row r="371" spans="10:10">
      <c r="J371" s="105"/>
    </row>
    <row r="372" spans="10:10">
      <c r="J372" s="105"/>
    </row>
    <row r="373" spans="10:10">
      <c r="J373" s="105"/>
    </row>
    <row r="374" spans="10:10">
      <c r="J374" s="105"/>
    </row>
    <row r="375" spans="10:10">
      <c r="J375" s="105"/>
    </row>
    <row r="376" spans="10:10">
      <c r="J376" s="105"/>
    </row>
    <row r="377" spans="10:10">
      <c r="J377" s="105"/>
    </row>
    <row r="378" spans="10:10">
      <c r="J378" s="105"/>
    </row>
    <row r="379" spans="10:10">
      <c r="J379" s="105"/>
    </row>
    <row r="380" spans="10:10">
      <c r="J380" s="105"/>
    </row>
    <row r="381" spans="10:10">
      <c r="J381" s="105"/>
    </row>
    <row r="382" spans="10:10">
      <c r="J382" s="105"/>
    </row>
    <row r="383" spans="10:10">
      <c r="J383" s="105"/>
    </row>
    <row r="384" spans="10:10">
      <c r="J384" s="105"/>
    </row>
    <row r="385" spans="10:10">
      <c r="J385" s="105"/>
    </row>
    <row r="386" spans="10:10">
      <c r="J386" s="105"/>
    </row>
    <row r="387" spans="10:10">
      <c r="J387" s="105"/>
    </row>
    <row r="388" spans="10:10">
      <c r="J388" s="105"/>
    </row>
    <row r="389" spans="10:10">
      <c r="J389" s="105"/>
    </row>
    <row r="390" spans="10:10">
      <c r="J390" s="105"/>
    </row>
    <row r="391" spans="10:10">
      <c r="J391" s="105"/>
    </row>
    <row r="392" spans="10:10">
      <c r="J392" s="105"/>
    </row>
    <row r="393" spans="10:10">
      <c r="J393" s="105"/>
    </row>
    <row r="394" spans="10:10">
      <c r="J394" s="105"/>
    </row>
    <row r="395" spans="10:10">
      <c r="J395" s="105"/>
    </row>
    <row r="396" spans="10:10">
      <c r="J396" s="105"/>
    </row>
    <row r="397" spans="10:10">
      <c r="J397" s="105"/>
    </row>
    <row r="398" spans="10:10">
      <c r="J398" s="105"/>
    </row>
    <row r="399" spans="10:10">
      <c r="J399" s="105"/>
    </row>
    <row r="400" spans="10:10">
      <c r="J400" s="105"/>
    </row>
    <row r="401" spans="10:10">
      <c r="J401" s="105"/>
    </row>
    <row r="402" spans="10:10">
      <c r="J402" s="105"/>
    </row>
    <row r="403" spans="10:10">
      <c r="J403" s="105"/>
    </row>
    <row r="404" spans="10:10">
      <c r="J404" s="105"/>
    </row>
    <row r="405" spans="10:10">
      <c r="J405" s="105"/>
    </row>
    <row r="406" spans="10:10">
      <c r="J406" s="105"/>
    </row>
    <row r="407" spans="10:10">
      <c r="J407" s="105"/>
    </row>
    <row r="408" spans="10:10">
      <c r="J408" s="105"/>
    </row>
    <row r="409" spans="10:10">
      <c r="J409" s="105"/>
    </row>
    <row r="410" spans="10:10">
      <c r="J410" s="105"/>
    </row>
    <row r="411" spans="10:10">
      <c r="J411" s="105"/>
    </row>
    <row r="412" spans="10:10">
      <c r="J412" s="105"/>
    </row>
    <row r="413" spans="10:10">
      <c r="J413" s="105"/>
    </row>
    <row r="414" spans="10:10">
      <c r="J414" s="105"/>
    </row>
    <row r="415" spans="10:10">
      <c r="J415" s="105"/>
    </row>
    <row r="416" spans="10:10">
      <c r="J416" s="105"/>
    </row>
    <row r="417" spans="10:10">
      <c r="J417" s="105"/>
    </row>
    <row r="418" spans="10:10">
      <c r="J418" s="105"/>
    </row>
    <row r="419" spans="10:10">
      <c r="J419" s="105"/>
    </row>
    <row r="420" spans="10:10">
      <c r="J420" s="105"/>
    </row>
    <row r="421" spans="10:10">
      <c r="J421" s="105"/>
    </row>
    <row r="422" spans="10:10">
      <c r="J422" s="105"/>
    </row>
    <row r="423" spans="10:10">
      <c r="J423" s="105"/>
    </row>
    <row r="424" spans="10:10">
      <c r="J424" s="105"/>
    </row>
    <row r="425" spans="10:10">
      <c r="J425" s="105"/>
    </row>
    <row r="426" spans="10:10">
      <c r="J426" s="105"/>
    </row>
    <row r="427" spans="10:10">
      <c r="J427" s="105"/>
    </row>
    <row r="428" spans="10:10">
      <c r="J428" s="105"/>
    </row>
    <row r="429" spans="10:10">
      <c r="J429" s="105"/>
    </row>
    <row r="430" spans="10:10">
      <c r="J430" s="105"/>
    </row>
    <row r="431" spans="10:10">
      <c r="J431" s="105"/>
    </row>
    <row r="432" spans="10:10">
      <c r="J432" s="105"/>
    </row>
    <row r="433" spans="10:10">
      <c r="J433" s="105"/>
    </row>
    <row r="434" spans="10:10">
      <c r="J434" s="105"/>
    </row>
    <row r="435" spans="10:10">
      <c r="J435" s="105"/>
    </row>
    <row r="436" spans="10:10">
      <c r="J436" s="105"/>
    </row>
    <row r="437" spans="10:10">
      <c r="J437" s="105"/>
    </row>
    <row r="438" spans="10:10">
      <c r="J438" s="105"/>
    </row>
    <row r="439" spans="10:10">
      <c r="J439" s="105"/>
    </row>
    <row r="440" spans="10:10">
      <c r="J440" s="105"/>
    </row>
    <row r="441" spans="10:10">
      <c r="J441" s="105"/>
    </row>
    <row r="442" spans="10:10">
      <c r="J442" s="105"/>
    </row>
    <row r="443" spans="10:10">
      <c r="J443" s="105"/>
    </row>
    <row r="444" spans="10:10">
      <c r="J444" s="105"/>
    </row>
    <row r="445" spans="10:10">
      <c r="J445" s="105"/>
    </row>
    <row r="446" spans="10:10">
      <c r="J446" s="105"/>
    </row>
    <row r="447" spans="10:10">
      <c r="J447" s="105"/>
    </row>
    <row r="448" spans="10:10">
      <c r="J448" s="105"/>
    </row>
    <row r="449" spans="10:10">
      <c r="J449" s="105"/>
    </row>
    <row r="450" spans="10:10">
      <c r="J450" s="105"/>
    </row>
    <row r="451" spans="10:10">
      <c r="J451" s="105"/>
    </row>
    <row r="452" spans="10:10">
      <c r="J452" s="105"/>
    </row>
    <row r="453" spans="10:10">
      <c r="J453" s="105"/>
    </row>
    <row r="454" spans="10:10">
      <c r="J454" s="105"/>
    </row>
    <row r="455" spans="10:10">
      <c r="J455" s="105"/>
    </row>
    <row r="456" spans="10:10">
      <c r="J456" s="105"/>
    </row>
    <row r="457" spans="10:10">
      <c r="J457" s="105"/>
    </row>
    <row r="458" spans="10:10">
      <c r="J458" s="105"/>
    </row>
    <row r="459" spans="10:10">
      <c r="J459" s="105"/>
    </row>
    <row r="460" spans="10:10">
      <c r="J460" s="105"/>
    </row>
    <row r="461" spans="10:10">
      <c r="J461" s="105"/>
    </row>
    <row r="462" spans="10:10">
      <c r="J462" s="105"/>
    </row>
    <row r="463" spans="10:10">
      <c r="J463" s="105"/>
    </row>
    <row r="464" spans="10:10">
      <c r="J464" s="105"/>
    </row>
    <row r="465" spans="10:10">
      <c r="J465" s="105"/>
    </row>
    <row r="466" spans="10:10">
      <c r="J466" s="105"/>
    </row>
    <row r="467" spans="10:10">
      <c r="J467" s="105"/>
    </row>
    <row r="468" spans="10:10">
      <c r="J468" s="105"/>
    </row>
    <row r="469" spans="10:10">
      <c r="J469" s="105"/>
    </row>
    <row r="470" spans="10:10">
      <c r="J470" s="105"/>
    </row>
    <row r="471" spans="10:10">
      <c r="J471" s="105"/>
    </row>
    <row r="472" spans="10:10">
      <c r="J472" s="105"/>
    </row>
    <row r="473" spans="10:10">
      <c r="J473" s="105"/>
    </row>
    <row r="474" spans="10:10">
      <c r="J474" s="105"/>
    </row>
    <row r="475" spans="10:10">
      <c r="J475" s="105"/>
    </row>
    <row r="476" spans="10:10">
      <c r="J476" s="105"/>
    </row>
    <row r="477" spans="10:10">
      <c r="J477" s="105"/>
    </row>
    <row r="478" spans="10:10">
      <c r="J478" s="105"/>
    </row>
    <row r="479" spans="10:10">
      <c r="J479" s="105"/>
    </row>
    <row r="480" spans="10:10">
      <c r="J480" s="105"/>
    </row>
    <row r="481" spans="10:10">
      <c r="J481" s="105"/>
    </row>
    <row r="482" spans="10:10">
      <c r="J482" s="105"/>
    </row>
    <row r="483" spans="10:10">
      <c r="J483" s="105"/>
    </row>
    <row r="484" spans="10:10">
      <c r="J484" s="105"/>
    </row>
    <row r="485" spans="10:10">
      <c r="J485" s="105"/>
    </row>
    <row r="486" spans="10:10">
      <c r="J486" s="105"/>
    </row>
    <row r="487" spans="10:10">
      <c r="J487" s="105"/>
    </row>
    <row r="488" spans="10:10">
      <c r="J488" s="105"/>
    </row>
    <row r="489" spans="10:10">
      <c r="J489" s="105"/>
    </row>
    <row r="490" spans="10:10">
      <c r="J490" s="105"/>
    </row>
    <row r="491" spans="10:10">
      <c r="J491" s="105"/>
    </row>
    <row r="492" spans="10:10">
      <c r="J492" s="105"/>
    </row>
    <row r="493" spans="10:10">
      <c r="J493" s="105"/>
    </row>
    <row r="494" spans="10:10">
      <c r="J494" s="105"/>
    </row>
    <row r="495" spans="10:10">
      <c r="J495" s="105"/>
    </row>
    <row r="496" spans="10:10">
      <c r="J496" s="105"/>
    </row>
    <row r="497" spans="10:10">
      <c r="J497" s="105"/>
    </row>
    <row r="498" spans="10:10">
      <c r="J498" s="105"/>
    </row>
    <row r="499" spans="10:10">
      <c r="J499" s="105"/>
    </row>
    <row r="500" spans="10:10">
      <c r="J500" s="105"/>
    </row>
    <row r="501" spans="10:10">
      <c r="J501" s="105"/>
    </row>
    <row r="502" spans="10:10">
      <c r="J502" s="105"/>
    </row>
    <row r="503" spans="10:10">
      <c r="J503" s="105"/>
    </row>
    <row r="504" spans="10:10">
      <c r="J504" s="105"/>
    </row>
    <row r="505" spans="10:10">
      <c r="J505" s="105"/>
    </row>
    <row r="506" spans="10:10">
      <c r="J506" s="105"/>
    </row>
    <row r="507" spans="10:10">
      <c r="J507" s="105"/>
    </row>
    <row r="508" spans="10:10">
      <c r="J508" s="105"/>
    </row>
    <row r="509" spans="10:10">
      <c r="J509" s="105"/>
    </row>
    <row r="510" spans="10:10">
      <c r="J510" s="105"/>
    </row>
    <row r="511" spans="10:10">
      <c r="J511" s="105"/>
    </row>
    <row r="512" spans="10:10">
      <c r="J512" s="105"/>
    </row>
    <row r="513" spans="10:10">
      <c r="J513" s="105"/>
    </row>
    <row r="514" spans="10:10">
      <c r="J514" s="105"/>
    </row>
    <row r="515" spans="10:10">
      <c r="J515" s="105"/>
    </row>
    <row r="516" spans="10:10">
      <c r="J516" s="105"/>
    </row>
    <row r="517" spans="10:10">
      <c r="J517" s="105"/>
    </row>
    <row r="518" spans="10:10">
      <c r="J518" s="105"/>
    </row>
    <row r="519" spans="10:10">
      <c r="J519" s="105"/>
    </row>
    <row r="520" spans="10:10">
      <c r="J520" s="105"/>
    </row>
    <row r="521" spans="10:10">
      <c r="J521" s="105"/>
    </row>
    <row r="522" spans="10:10">
      <c r="J522" s="105"/>
    </row>
    <row r="523" spans="10:10">
      <c r="J523" s="105"/>
    </row>
    <row r="524" spans="10:10">
      <c r="J524" s="105"/>
    </row>
    <row r="525" spans="10:10">
      <c r="J525" s="105"/>
    </row>
    <row r="526" spans="10:10">
      <c r="J526" s="105"/>
    </row>
    <row r="527" spans="10:10">
      <c r="J527" s="105"/>
    </row>
    <row r="528" spans="10:10">
      <c r="J528" s="105"/>
    </row>
    <row r="529" spans="10:10">
      <c r="J529" s="105"/>
    </row>
    <row r="530" spans="10:10">
      <c r="J530" s="105"/>
    </row>
    <row r="531" spans="10:10">
      <c r="J531" s="105"/>
    </row>
    <row r="532" spans="10:10">
      <c r="J532" s="105"/>
    </row>
    <row r="533" spans="10:10">
      <c r="J533" s="105"/>
    </row>
    <row r="534" spans="10:10">
      <c r="J534" s="105"/>
    </row>
    <row r="535" spans="10:10">
      <c r="J535" s="105"/>
    </row>
    <row r="536" spans="10:10">
      <c r="J536" s="105"/>
    </row>
    <row r="537" spans="10:10">
      <c r="J537" s="105"/>
    </row>
    <row r="538" spans="10:10">
      <c r="J538" s="105"/>
    </row>
    <row r="539" spans="10:10">
      <c r="J539" s="105"/>
    </row>
    <row r="540" spans="10:10">
      <c r="J540" s="105"/>
    </row>
    <row r="541" spans="10:10">
      <c r="J541" s="105"/>
    </row>
    <row r="542" spans="10:10">
      <c r="J542" s="105"/>
    </row>
    <row r="543" spans="10:10">
      <c r="J543" s="105"/>
    </row>
    <row r="544" spans="10:10">
      <c r="J544" s="105"/>
    </row>
    <row r="545" spans="10:10">
      <c r="J545" s="105"/>
    </row>
    <row r="546" spans="10:10">
      <c r="J546" s="105"/>
    </row>
    <row r="547" spans="10:10">
      <c r="J547" s="105"/>
    </row>
    <row r="548" spans="10:10">
      <c r="J548" s="105"/>
    </row>
    <row r="549" spans="10:10">
      <c r="J549" s="105"/>
    </row>
    <row r="550" spans="10:10">
      <c r="J550" s="105"/>
    </row>
    <row r="551" spans="10:10">
      <c r="J551" s="105"/>
    </row>
    <row r="552" spans="10:10">
      <c r="J552" s="105"/>
    </row>
    <row r="553" spans="10:10">
      <c r="J553" s="105"/>
    </row>
    <row r="554" spans="10:10">
      <c r="J554" s="105"/>
    </row>
    <row r="555" spans="10:10">
      <c r="J555" s="105"/>
    </row>
    <row r="556" spans="10:10">
      <c r="J556" s="105"/>
    </row>
    <row r="557" spans="10:10">
      <c r="J557" s="105"/>
    </row>
    <row r="558" spans="10:10">
      <c r="J558" s="105"/>
    </row>
    <row r="559" spans="10:10">
      <c r="J559" s="105"/>
    </row>
    <row r="560" spans="10:10">
      <c r="J560" s="105"/>
    </row>
    <row r="561" spans="10:10">
      <c r="J561" s="105"/>
    </row>
    <row r="562" spans="10:10">
      <c r="J562" s="105"/>
    </row>
    <row r="563" spans="10:10">
      <c r="J563" s="105"/>
    </row>
    <row r="564" spans="10:10">
      <c r="J564" s="105"/>
    </row>
    <row r="565" spans="10:10">
      <c r="J565" s="105"/>
    </row>
    <row r="566" spans="10:10">
      <c r="J566" s="105"/>
    </row>
    <row r="567" spans="10:10">
      <c r="J567" s="105"/>
    </row>
    <row r="568" spans="10:10">
      <c r="J568" s="105"/>
    </row>
    <row r="569" spans="10:10">
      <c r="J569" s="105"/>
    </row>
    <row r="570" spans="10:10">
      <c r="J570" s="105"/>
    </row>
    <row r="571" spans="10:10">
      <c r="J571" s="105"/>
    </row>
    <row r="572" spans="10:10">
      <c r="J572" s="105"/>
    </row>
    <row r="573" spans="10:10">
      <c r="J573" s="105"/>
    </row>
    <row r="574" spans="10:10">
      <c r="J574" s="105"/>
    </row>
    <row r="575" spans="10:10">
      <c r="J575" s="105"/>
    </row>
    <row r="576" spans="10:10">
      <c r="J576" s="105"/>
    </row>
    <row r="577" spans="10:10">
      <c r="J577" s="105"/>
    </row>
    <row r="578" spans="10:10">
      <c r="J578" s="105"/>
    </row>
    <row r="579" spans="10:10">
      <c r="J579" s="105"/>
    </row>
    <row r="580" spans="10:10">
      <c r="J580" s="105"/>
    </row>
    <row r="581" spans="10:10">
      <c r="J581" s="105"/>
    </row>
    <row r="582" spans="10:10">
      <c r="J582" s="105"/>
    </row>
    <row r="583" spans="10:10">
      <c r="J583" s="105"/>
    </row>
    <row r="584" spans="10:10">
      <c r="J584" s="105"/>
    </row>
    <row r="585" spans="10:10">
      <c r="J585" s="105"/>
    </row>
    <row r="586" spans="10:10">
      <c r="J586" s="105"/>
    </row>
    <row r="587" spans="10:10">
      <c r="J587" s="105"/>
    </row>
    <row r="588" spans="10:10">
      <c r="J588" s="105"/>
    </row>
    <row r="589" spans="10:10">
      <c r="J589" s="105"/>
    </row>
    <row r="590" spans="10:10">
      <c r="J590" s="105"/>
    </row>
    <row r="591" spans="10:10">
      <c r="J591" s="105"/>
    </row>
    <row r="592" spans="10:10">
      <c r="J592" s="105"/>
    </row>
    <row r="593" spans="10:10">
      <c r="J593" s="105"/>
    </row>
    <row r="594" spans="10:10">
      <c r="J594" s="105"/>
    </row>
    <row r="595" spans="10:10">
      <c r="J595" s="105"/>
    </row>
    <row r="596" spans="10:10">
      <c r="J596" s="105"/>
    </row>
    <row r="597" spans="10:10">
      <c r="J597" s="105"/>
    </row>
    <row r="598" spans="10:10">
      <c r="J598" s="105"/>
    </row>
    <row r="599" spans="10:10">
      <c r="J599" s="105"/>
    </row>
    <row r="600" spans="10:10">
      <c r="J600" s="105"/>
    </row>
    <row r="601" spans="10:10">
      <c r="J601" s="105"/>
    </row>
    <row r="602" spans="10:10">
      <c r="J602" s="105"/>
    </row>
    <row r="603" spans="10:10">
      <c r="J603" s="105"/>
    </row>
    <row r="604" spans="10:10">
      <c r="J604" s="105"/>
    </row>
    <row r="605" spans="10:10">
      <c r="J605" s="105"/>
    </row>
    <row r="606" spans="10:10">
      <c r="J606" s="105"/>
    </row>
    <row r="607" spans="10:10">
      <c r="J607" s="105"/>
    </row>
    <row r="608" spans="10:10">
      <c r="J608" s="105"/>
    </row>
    <row r="609" spans="10:10">
      <c r="J609" s="105"/>
    </row>
    <row r="610" spans="10:10">
      <c r="J610" s="105"/>
    </row>
    <row r="611" spans="10:10">
      <c r="J611" s="105"/>
    </row>
    <row r="612" spans="10:10">
      <c r="J612" s="105"/>
    </row>
    <row r="613" spans="10:10">
      <c r="J613" s="105"/>
    </row>
    <row r="614" spans="10:10">
      <c r="J614" s="105"/>
    </row>
    <row r="615" spans="10:10">
      <c r="J615" s="105"/>
    </row>
    <row r="616" spans="10:10">
      <c r="J616" s="105"/>
    </row>
    <row r="617" spans="10:10">
      <c r="J617" s="105"/>
    </row>
    <row r="618" spans="10:10">
      <c r="J618" s="105"/>
    </row>
    <row r="619" spans="10:10">
      <c r="J619" s="105"/>
    </row>
  </sheetData>
  <autoFilter ref="A1:BD619" xr:uid="{E645232E-2CD9-422A-8476-5FB9F2DF8E6D}">
    <sortState ref="A2:BD84">
      <sortCondition ref="A1:A619"/>
    </sortState>
  </autoFilter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/>
    <outlinePr summaryBelow="0" summaryRight="0"/>
  </sheetPr>
  <dimension ref="A1:XFD49"/>
  <sheetViews>
    <sheetView workbookViewId="0">
      <pane ySplit="1" topLeftCell="A2" activePane="bottomLeft" state="frozen"/>
      <selection pane="bottomLeft" activeCell="F29" sqref="F29"/>
    </sheetView>
  </sheetViews>
  <sheetFormatPr defaultColWidth="12.5703125" defaultRowHeight="15.75" customHeight="1"/>
  <cols>
    <col min="1" max="4" width="18.85546875" customWidth="1"/>
    <col min="5" max="5" width="26.85546875" customWidth="1"/>
    <col min="6" max="6" width="18.85546875" customWidth="1"/>
    <col min="7" max="7" width="20.7109375" customWidth="1"/>
    <col min="8" max="8" width="20.5703125" customWidth="1"/>
    <col min="9" max="9" width="18.85546875" customWidth="1"/>
    <col min="10" max="10" width="24.5703125" customWidth="1"/>
    <col min="11" max="15" width="18.85546875" customWidth="1"/>
    <col min="16" max="16" width="29.5703125" customWidth="1"/>
    <col min="17" max="17" width="29.42578125" customWidth="1"/>
    <col min="18" max="18" width="18.85546875" customWidth="1"/>
    <col min="19" max="19" width="23.28515625" customWidth="1"/>
    <col min="20" max="20" width="34.7109375" customWidth="1"/>
    <col min="21" max="21" width="36.140625" customWidth="1"/>
    <col min="22" max="22" width="18.85546875" customWidth="1"/>
    <col min="23" max="23" width="20.7109375" customWidth="1"/>
    <col min="24" max="24" width="18.85546875" customWidth="1"/>
    <col min="25" max="26" width="19.140625" customWidth="1"/>
    <col min="27" max="27" width="21.28515625" customWidth="1"/>
    <col min="28" max="28" width="20.7109375" customWidth="1"/>
    <col min="29" max="31" width="18.85546875" customWidth="1"/>
    <col min="32" max="32" width="22.42578125" customWidth="1"/>
    <col min="33" max="36" width="18.85546875" customWidth="1"/>
    <col min="37" max="37" width="31.5703125" customWidth="1"/>
    <col min="38" max="38" width="18.85546875" customWidth="1"/>
    <col min="39" max="39" width="30" customWidth="1"/>
    <col min="40" max="41" width="18.85546875" customWidth="1"/>
    <col min="42" max="42" width="19.7109375" customWidth="1"/>
    <col min="43" max="45" width="18.85546875" customWidth="1"/>
    <col min="46" max="46" width="27" customWidth="1"/>
    <col min="47" max="47" width="20.5703125" customWidth="1"/>
    <col min="48" max="48" width="18.85546875" customWidth="1"/>
    <col min="49" max="49" width="22.28515625" customWidth="1"/>
    <col min="50" max="50" width="30.85546875" customWidth="1"/>
    <col min="51" max="51" width="18.85546875" customWidth="1"/>
  </cols>
  <sheetData>
    <row r="1" spans="1:16384" ht="12.75">
      <c r="A1" s="66" t="s">
        <v>88</v>
      </c>
      <c r="B1" s="67" t="s">
        <v>141</v>
      </c>
      <c r="C1" s="67" t="s">
        <v>142</v>
      </c>
      <c r="D1" s="67" t="s">
        <v>143</v>
      </c>
      <c r="E1" s="67" t="s">
        <v>144</v>
      </c>
      <c r="F1" s="67" t="s">
        <v>145</v>
      </c>
      <c r="G1" s="67" t="s">
        <v>146</v>
      </c>
      <c r="H1" s="67" t="s">
        <v>147</v>
      </c>
      <c r="I1" s="67" t="s">
        <v>148</v>
      </c>
      <c r="J1" s="67" t="s">
        <v>149</v>
      </c>
      <c r="K1" s="67" t="s">
        <v>150</v>
      </c>
      <c r="L1" s="67" t="s">
        <v>151</v>
      </c>
      <c r="M1" s="67" t="s">
        <v>152</v>
      </c>
      <c r="N1" s="67" t="s">
        <v>153</v>
      </c>
      <c r="O1" s="67" t="s">
        <v>154</v>
      </c>
      <c r="P1" s="67" t="s">
        <v>155</v>
      </c>
      <c r="Q1" s="67" t="s">
        <v>156</v>
      </c>
      <c r="R1" s="67" t="s">
        <v>157</v>
      </c>
      <c r="S1" s="67" t="s">
        <v>158</v>
      </c>
      <c r="T1" s="67" t="s">
        <v>159</v>
      </c>
      <c r="U1" s="67" t="s">
        <v>160</v>
      </c>
      <c r="V1" s="67" t="s">
        <v>161</v>
      </c>
      <c r="W1" s="67" t="s">
        <v>162</v>
      </c>
      <c r="X1" s="67" t="s">
        <v>163</v>
      </c>
      <c r="Y1" s="67" t="s">
        <v>164</v>
      </c>
      <c r="Z1" s="67" t="s">
        <v>165</v>
      </c>
      <c r="AA1" s="67" t="s">
        <v>166</v>
      </c>
      <c r="AB1" s="67" t="s">
        <v>167</v>
      </c>
      <c r="AC1" s="67" t="s">
        <v>168</v>
      </c>
      <c r="AD1" s="67" t="s">
        <v>169</v>
      </c>
      <c r="AE1" s="67" t="s">
        <v>170</v>
      </c>
      <c r="AF1" s="67" t="s">
        <v>171</v>
      </c>
      <c r="AG1" s="67" t="s">
        <v>172</v>
      </c>
      <c r="AH1" s="67" t="s">
        <v>173</v>
      </c>
      <c r="AI1" s="67" t="s">
        <v>174</v>
      </c>
      <c r="AJ1" s="67" t="s">
        <v>175</v>
      </c>
      <c r="AK1" s="67" t="s">
        <v>176</v>
      </c>
      <c r="AL1" s="67" t="s">
        <v>177</v>
      </c>
      <c r="AM1" s="67" t="s">
        <v>178</v>
      </c>
      <c r="AN1" s="67" t="s">
        <v>179</v>
      </c>
      <c r="AO1" s="67" t="s">
        <v>180</v>
      </c>
      <c r="AP1" s="67" t="s">
        <v>181</v>
      </c>
      <c r="AQ1" s="67" t="s">
        <v>182</v>
      </c>
      <c r="AR1" s="67" t="s">
        <v>183</v>
      </c>
      <c r="AS1" s="67" t="s">
        <v>184</v>
      </c>
      <c r="AT1" s="67" t="s">
        <v>185</v>
      </c>
      <c r="AU1" s="67" t="s">
        <v>186</v>
      </c>
      <c r="AV1" s="67" t="s">
        <v>187</v>
      </c>
      <c r="AW1" s="67" t="s">
        <v>188</v>
      </c>
      <c r="AX1" s="67" t="s">
        <v>189</v>
      </c>
      <c r="AY1" s="67" t="s">
        <v>225</v>
      </c>
      <c r="AZ1" t="s">
        <v>238</v>
      </c>
      <c r="BA1" t="s">
        <v>239</v>
      </c>
      <c r="BB1" t="s">
        <v>240</v>
      </c>
      <c r="BC1" t="s">
        <v>241</v>
      </c>
      <c r="BD1" t="s">
        <v>242</v>
      </c>
      <c r="BE1" t="s">
        <v>243</v>
      </c>
      <c r="BF1" t="s">
        <v>244</v>
      </c>
      <c r="BG1" t="s">
        <v>245</v>
      </c>
      <c r="BH1" t="s">
        <v>246</v>
      </c>
      <c r="BI1" t="s">
        <v>247</v>
      </c>
      <c r="BJ1" t="s">
        <v>248</v>
      </c>
      <c r="BK1" t="s">
        <v>249</v>
      </c>
      <c r="BL1" t="s">
        <v>250</v>
      </c>
      <c r="BM1" t="s">
        <v>251</v>
      </c>
      <c r="BN1" t="s">
        <v>252</v>
      </c>
      <c r="BO1" t="s">
        <v>253</v>
      </c>
      <c r="BP1" t="s">
        <v>254</v>
      </c>
      <c r="BQ1" t="s">
        <v>255</v>
      </c>
      <c r="BR1" t="s">
        <v>256</v>
      </c>
      <c r="BS1" t="s">
        <v>257</v>
      </c>
      <c r="BT1" t="s">
        <v>258</v>
      </c>
      <c r="BU1" t="s">
        <v>259</v>
      </c>
      <c r="BV1" t="s">
        <v>260</v>
      </c>
      <c r="BW1" t="s">
        <v>261</v>
      </c>
      <c r="BX1" t="s">
        <v>262</v>
      </c>
      <c r="BY1" t="s">
        <v>263</v>
      </c>
      <c r="BZ1" t="s">
        <v>264</v>
      </c>
      <c r="CA1" t="s">
        <v>265</v>
      </c>
      <c r="CB1" t="s">
        <v>266</v>
      </c>
      <c r="CC1" t="s">
        <v>267</v>
      </c>
      <c r="CD1" t="s">
        <v>268</v>
      </c>
      <c r="CE1" t="s">
        <v>269</v>
      </c>
      <c r="CF1" t="s">
        <v>270</v>
      </c>
      <c r="CG1" t="s">
        <v>271</v>
      </c>
      <c r="CH1" t="s">
        <v>272</v>
      </c>
      <c r="CI1" t="s">
        <v>273</v>
      </c>
      <c r="CJ1" t="s">
        <v>274</v>
      </c>
      <c r="CK1" t="s">
        <v>275</v>
      </c>
      <c r="CL1" t="s">
        <v>276</v>
      </c>
      <c r="CM1" t="s">
        <v>277</v>
      </c>
      <c r="CN1" t="s">
        <v>278</v>
      </c>
      <c r="CO1" t="s">
        <v>279</v>
      </c>
      <c r="CP1" t="s">
        <v>280</v>
      </c>
      <c r="CQ1" t="s">
        <v>281</v>
      </c>
      <c r="CR1" t="s">
        <v>282</v>
      </c>
      <c r="CS1" t="s">
        <v>283</v>
      </c>
      <c r="CT1" t="s">
        <v>284</v>
      </c>
      <c r="CU1" t="s">
        <v>285</v>
      </c>
      <c r="CV1" t="s">
        <v>286</v>
      </c>
      <c r="CW1" t="s">
        <v>287</v>
      </c>
      <c r="CX1" t="s">
        <v>288</v>
      </c>
      <c r="CY1" t="s">
        <v>289</v>
      </c>
      <c r="CZ1" t="s">
        <v>290</v>
      </c>
      <c r="DA1" t="s">
        <v>291</v>
      </c>
      <c r="DB1" t="s">
        <v>292</v>
      </c>
      <c r="DC1" t="s">
        <v>293</v>
      </c>
      <c r="DD1" t="s">
        <v>294</v>
      </c>
      <c r="DE1" t="s">
        <v>295</v>
      </c>
      <c r="DF1" t="s">
        <v>296</v>
      </c>
      <c r="DG1" t="s">
        <v>297</v>
      </c>
      <c r="DH1" t="s">
        <v>298</v>
      </c>
      <c r="DI1" t="s">
        <v>299</v>
      </c>
      <c r="DJ1" t="s">
        <v>300</v>
      </c>
      <c r="DK1" t="s">
        <v>301</v>
      </c>
      <c r="DL1" t="s">
        <v>302</v>
      </c>
      <c r="DM1" t="s">
        <v>303</v>
      </c>
      <c r="DN1" t="s">
        <v>304</v>
      </c>
      <c r="DO1" t="s">
        <v>305</v>
      </c>
      <c r="DP1" t="s">
        <v>306</v>
      </c>
      <c r="DQ1" t="s">
        <v>307</v>
      </c>
      <c r="DR1" t="s">
        <v>308</v>
      </c>
      <c r="DS1" t="s">
        <v>309</v>
      </c>
      <c r="DT1" t="s">
        <v>310</v>
      </c>
      <c r="DU1" t="s">
        <v>311</v>
      </c>
      <c r="DV1" t="s">
        <v>312</v>
      </c>
      <c r="DW1" t="s">
        <v>313</v>
      </c>
      <c r="DX1" t="s">
        <v>314</v>
      </c>
      <c r="DY1" t="s">
        <v>315</v>
      </c>
      <c r="DZ1" t="s">
        <v>316</v>
      </c>
      <c r="EA1" t="s">
        <v>317</v>
      </c>
      <c r="EB1" t="s">
        <v>318</v>
      </c>
      <c r="EC1" t="s">
        <v>319</v>
      </c>
      <c r="ED1" t="s">
        <v>320</v>
      </c>
      <c r="EE1" t="s">
        <v>321</v>
      </c>
      <c r="EF1" t="s">
        <v>322</v>
      </c>
      <c r="EG1" t="s">
        <v>323</v>
      </c>
      <c r="EH1" t="s">
        <v>324</v>
      </c>
      <c r="EI1" t="s">
        <v>325</v>
      </c>
      <c r="EJ1" t="s">
        <v>326</v>
      </c>
      <c r="EK1" t="s">
        <v>327</v>
      </c>
      <c r="EL1" t="s">
        <v>328</v>
      </c>
      <c r="EM1" t="s">
        <v>329</v>
      </c>
      <c r="EN1" t="s">
        <v>330</v>
      </c>
      <c r="EO1" t="s">
        <v>331</v>
      </c>
      <c r="EP1" t="s">
        <v>332</v>
      </c>
      <c r="EQ1" t="s">
        <v>333</v>
      </c>
      <c r="ER1" t="s">
        <v>334</v>
      </c>
      <c r="ES1" t="s">
        <v>335</v>
      </c>
      <c r="ET1" t="s">
        <v>336</v>
      </c>
      <c r="EU1" t="s">
        <v>337</v>
      </c>
      <c r="EV1" t="s">
        <v>338</v>
      </c>
      <c r="EW1" t="s">
        <v>339</v>
      </c>
      <c r="EX1" t="s">
        <v>340</v>
      </c>
      <c r="EY1" t="s">
        <v>341</v>
      </c>
      <c r="EZ1" t="s">
        <v>342</v>
      </c>
      <c r="FA1" t="s">
        <v>343</v>
      </c>
      <c r="FB1" t="s">
        <v>344</v>
      </c>
      <c r="FC1" t="s">
        <v>345</v>
      </c>
      <c r="FD1" t="s">
        <v>346</v>
      </c>
      <c r="FE1" t="s">
        <v>347</v>
      </c>
      <c r="FF1" t="s">
        <v>348</v>
      </c>
      <c r="FG1" t="s">
        <v>349</v>
      </c>
      <c r="FH1" t="s">
        <v>350</v>
      </c>
      <c r="FI1" t="s">
        <v>351</v>
      </c>
      <c r="FJ1" t="s">
        <v>352</v>
      </c>
      <c r="FK1" t="s">
        <v>353</v>
      </c>
      <c r="FL1" t="s">
        <v>354</v>
      </c>
      <c r="FM1" t="s">
        <v>355</v>
      </c>
      <c r="FN1" t="s">
        <v>356</v>
      </c>
      <c r="FO1" t="s">
        <v>357</v>
      </c>
      <c r="FP1" t="s">
        <v>358</v>
      </c>
      <c r="FQ1" t="s">
        <v>359</v>
      </c>
      <c r="FR1" t="s">
        <v>360</v>
      </c>
      <c r="FS1" t="s">
        <v>361</v>
      </c>
      <c r="FT1" t="s">
        <v>362</v>
      </c>
      <c r="FU1" t="s">
        <v>363</v>
      </c>
      <c r="FV1" t="s">
        <v>364</v>
      </c>
      <c r="FW1" t="s">
        <v>365</v>
      </c>
      <c r="FX1" t="s">
        <v>366</v>
      </c>
      <c r="FY1" t="s">
        <v>367</v>
      </c>
      <c r="FZ1" t="s">
        <v>368</v>
      </c>
      <c r="GA1" t="s">
        <v>369</v>
      </c>
      <c r="GB1" t="s">
        <v>370</v>
      </c>
      <c r="GC1" t="s">
        <v>371</v>
      </c>
      <c r="GD1" t="s">
        <v>372</v>
      </c>
      <c r="GE1" t="s">
        <v>373</v>
      </c>
      <c r="GF1" t="s">
        <v>374</v>
      </c>
      <c r="GG1" t="s">
        <v>375</v>
      </c>
      <c r="GH1" t="s">
        <v>376</v>
      </c>
      <c r="GI1" t="s">
        <v>377</v>
      </c>
      <c r="GJ1" t="s">
        <v>378</v>
      </c>
      <c r="GK1" t="s">
        <v>379</v>
      </c>
      <c r="GL1" t="s">
        <v>380</v>
      </c>
      <c r="GM1" t="s">
        <v>381</v>
      </c>
      <c r="GN1" t="s">
        <v>382</v>
      </c>
      <c r="GO1" t="s">
        <v>383</v>
      </c>
      <c r="GP1" t="s">
        <v>384</v>
      </c>
      <c r="GQ1" t="s">
        <v>385</v>
      </c>
      <c r="GR1" t="s">
        <v>386</v>
      </c>
      <c r="GS1" t="s">
        <v>387</v>
      </c>
      <c r="GT1" t="s">
        <v>388</v>
      </c>
      <c r="GU1" t="s">
        <v>389</v>
      </c>
      <c r="GV1" t="s">
        <v>390</v>
      </c>
      <c r="GW1" t="s">
        <v>391</v>
      </c>
      <c r="GX1" t="s">
        <v>392</v>
      </c>
      <c r="GY1" t="s">
        <v>393</v>
      </c>
      <c r="GZ1" t="s">
        <v>394</v>
      </c>
      <c r="HA1" t="s">
        <v>395</v>
      </c>
      <c r="HB1" t="s">
        <v>396</v>
      </c>
      <c r="HC1" t="s">
        <v>397</v>
      </c>
      <c r="HD1" t="s">
        <v>398</v>
      </c>
      <c r="HE1" t="s">
        <v>399</v>
      </c>
      <c r="HF1" t="s">
        <v>400</v>
      </c>
      <c r="HG1" t="s">
        <v>401</v>
      </c>
      <c r="HH1" t="s">
        <v>402</v>
      </c>
      <c r="HI1" t="s">
        <v>403</v>
      </c>
      <c r="HJ1" t="s">
        <v>404</v>
      </c>
      <c r="HK1" t="s">
        <v>405</v>
      </c>
      <c r="HL1" t="s">
        <v>406</v>
      </c>
      <c r="HM1" t="s">
        <v>407</v>
      </c>
      <c r="HN1" t="s">
        <v>408</v>
      </c>
      <c r="HO1" t="s">
        <v>409</v>
      </c>
      <c r="HP1" t="s">
        <v>410</v>
      </c>
      <c r="HQ1" t="s">
        <v>411</v>
      </c>
      <c r="HR1" t="s">
        <v>412</v>
      </c>
      <c r="HS1" t="s">
        <v>413</v>
      </c>
      <c r="HT1" t="s">
        <v>414</v>
      </c>
      <c r="HU1" t="s">
        <v>415</v>
      </c>
      <c r="HV1" t="s">
        <v>416</v>
      </c>
      <c r="HW1" t="s">
        <v>417</v>
      </c>
      <c r="HX1" t="s">
        <v>418</v>
      </c>
      <c r="HY1" t="s">
        <v>419</v>
      </c>
      <c r="HZ1" t="s">
        <v>420</v>
      </c>
      <c r="IA1" t="s">
        <v>421</v>
      </c>
      <c r="IB1" t="s">
        <v>422</v>
      </c>
      <c r="IC1" t="s">
        <v>423</v>
      </c>
      <c r="ID1" t="s">
        <v>424</v>
      </c>
      <c r="IE1" t="s">
        <v>425</v>
      </c>
      <c r="IF1" t="s">
        <v>426</v>
      </c>
      <c r="IG1" t="s">
        <v>427</v>
      </c>
      <c r="IH1" t="s">
        <v>428</v>
      </c>
      <c r="II1" t="s">
        <v>429</v>
      </c>
      <c r="IJ1" t="s">
        <v>430</v>
      </c>
      <c r="IK1" t="s">
        <v>431</v>
      </c>
      <c r="IL1" t="s">
        <v>432</v>
      </c>
      <c r="IM1" t="s">
        <v>433</v>
      </c>
      <c r="IN1" t="s">
        <v>434</v>
      </c>
      <c r="IO1" t="s">
        <v>435</v>
      </c>
      <c r="IP1" t="s">
        <v>436</v>
      </c>
      <c r="IQ1" t="s">
        <v>437</v>
      </c>
      <c r="IR1" t="s">
        <v>438</v>
      </c>
      <c r="IS1" t="s">
        <v>439</v>
      </c>
      <c r="IT1" t="s">
        <v>440</v>
      </c>
      <c r="IU1" t="s">
        <v>441</v>
      </c>
      <c r="IV1" t="s">
        <v>442</v>
      </c>
      <c r="IW1" t="s">
        <v>443</v>
      </c>
      <c r="IX1" t="s">
        <v>444</v>
      </c>
      <c r="IY1" t="s">
        <v>445</v>
      </c>
      <c r="IZ1" t="s">
        <v>446</v>
      </c>
      <c r="JA1" t="s">
        <v>447</v>
      </c>
      <c r="JB1" t="s">
        <v>448</v>
      </c>
      <c r="JC1" t="s">
        <v>449</v>
      </c>
      <c r="JD1" t="s">
        <v>450</v>
      </c>
      <c r="JE1" t="s">
        <v>451</v>
      </c>
      <c r="JF1" t="s">
        <v>452</v>
      </c>
      <c r="JG1" t="s">
        <v>453</v>
      </c>
      <c r="JH1" t="s">
        <v>454</v>
      </c>
      <c r="JI1" t="s">
        <v>455</v>
      </c>
      <c r="JJ1" t="s">
        <v>456</v>
      </c>
      <c r="JK1" t="s">
        <v>457</v>
      </c>
      <c r="JL1" t="s">
        <v>458</v>
      </c>
      <c r="JM1" t="s">
        <v>459</v>
      </c>
      <c r="JN1" t="s">
        <v>460</v>
      </c>
      <c r="JO1" t="s">
        <v>461</v>
      </c>
      <c r="JP1" t="s">
        <v>462</v>
      </c>
      <c r="JQ1" t="s">
        <v>463</v>
      </c>
      <c r="JR1" t="s">
        <v>464</v>
      </c>
      <c r="JS1" t="s">
        <v>465</v>
      </c>
      <c r="JT1" t="s">
        <v>466</v>
      </c>
      <c r="JU1" t="s">
        <v>467</v>
      </c>
      <c r="JV1" t="s">
        <v>468</v>
      </c>
      <c r="JW1" t="s">
        <v>469</v>
      </c>
      <c r="JX1" t="s">
        <v>470</v>
      </c>
      <c r="JY1" t="s">
        <v>471</v>
      </c>
      <c r="JZ1" t="s">
        <v>472</v>
      </c>
      <c r="KA1" t="s">
        <v>473</v>
      </c>
      <c r="KB1" t="s">
        <v>474</v>
      </c>
      <c r="KC1" t="s">
        <v>475</v>
      </c>
      <c r="KD1" t="s">
        <v>476</v>
      </c>
      <c r="KE1" t="s">
        <v>477</v>
      </c>
      <c r="KF1" t="s">
        <v>478</v>
      </c>
      <c r="KG1" t="s">
        <v>479</v>
      </c>
      <c r="KH1" t="s">
        <v>480</v>
      </c>
      <c r="KI1" t="s">
        <v>481</v>
      </c>
      <c r="KJ1" t="s">
        <v>482</v>
      </c>
      <c r="KK1" t="s">
        <v>483</v>
      </c>
      <c r="KL1" t="s">
        <v>484</v>
      </c>
      <c r="KM1" t="s">
        <v>485</v>
      </c>
      <c r="KN1" t="s">
        <v>486</v>
      </c>
      <c r="KO1" t="s">
        <v>487</v>
      </c>
      <c r="KP1" t="s">
        <v>488</v>
      </c>
      <c r="KQ1" t="s">
        <v>489</v>
      </c>
      <c r="KR1" t="s">
        <v>490</v>
      </c>
      <c r="KS1" t="s">
        <v>491</v>
      </c>
      <c r="KT1" t="s">
        <v>492</v>
      </c>
      <c r="KU1" t="s">
        <v>493</v>
      </c>
      <c r="KV1" t="s">
        <v>494</v>
      </c>
      <c r="KW1" t="s">
        <v>495</v>
      </c>
      <c r="KX1" t="s">
        <v>496</v>
      </c>
      <c r="KY1" t="s">
        <v>497</v>
      </c>
      <c r="KZ1" t="s">
        <v>498</v>
      </c>
      <c r="LA1" t="s">
        <v>499</v>
      </c>
      <c r="LB1" t="s">
        <v>500</v>
      </c>
      <c r="LC1" t="s">
        <v>501</v>
      </c>
      <c r="LD1" t="s">
        <v>502</v>
      </c>
      <c r="LE1" t="s">
        <v>503</v>
      </c>
      <c r="LF1" t="s">
        <v>504</v>
      </c>
      <c r="LG1" t="s">
        <v>505</v>
      </c>
      <c r="LH1" t="s">
        <v>506</v>
      </c>
      <c r="LI1" t="s">
        <v>507</v>
      </c>
      <c r="LJ1" t="s">
        <v>508</v>
      </c>
      <c r="LK1" t="s">
        <v>509</v>
      </c>
      <c r="LL1" t="s">
        <v>510</v>
      </c>
      <c r="LM1" t="s">
        <v>511</v>
      </c>
      <c r="LN1" t="s">
        <v>512</v>
      </c>
      <c r="LO1" t="s">
        <v>513</v>
      </c>
      <c r="LP1" t="s">
        <v>514</v>
      </c>
      <c r="LQ1" t="s">
        <v>515</v>
      </c>
      <c r="LR1" t="s">
        <v>516</v>
      </c>
      <c r="LS1" t="s">
        <v>517</v>
      </c>
      <c r="LT1" t="s">
        <v>518</v>
      </c>
      <c r="LU1" t="s">
        <v>519</v>
      </c>
      <c r="LV1" t="s">
        <v>520</v>
      </c>
      <c r="LW1" t="s">
        <v>521</v>
      </c>
      <c r="LX1" t="s">
        <v>522</v>
      </c>
      <c r="LY1" t="s">
        <v>523</v>
      </c>
      <c r="LZ1" t="s">
        <v>524</v>
      </c>
      <c r="MA1" t="s">
        <v>525</v>
      </c>
      <c r="MB1" t="s">
        <v>526</v>
      </c>
      <c r="MC1" t="s">
        <v>527</v>
      </c>
      <c r="MD1" t="s">
        <v>528</v>
      </c>
      <c r="ME1" t="s">
        <v>529</v>
      </c>
      <c r="MF1" t="s">
        <v>530</v>
      </c>
      <c r="MG1" t="s">
        <v>531</v>
      </c>
      <c r="MH1" t="s">
        <v>532</v>
      </c>
      <c r="MI1" t="s">
        <v>533</v>
      </c>
      <c r="MJ1" t="s">
        <v>534</v>
      </c>
      <c r="MK1" t="s">
        <v>535</v>
      </c>
      <c r="ML1" t="s">
        <v>536</v>
      </c>
      <c r="MM1" t="s">
        <v>537</v>
      </c>
      <c r="MN1" t="s">
        <v>538</v>
      </c>
      <c r="MO1" t="s">
        <v>539</v>
      </c>
      <c r="MP1" t="s">
        <v>540</v>
      </c>
      <c r="MQ1" t="s">
        <v>541</v>
      </c>
      <c r="MR1" t="s">
        <v>542</v>
      </c>
      <c r="MS1" t="s">
        <v>543</v>
      </c>
      <c r="MT1" t="s">
        <v>544</v>
      </c>
      <c r="MU1" t="s">
        <v>545</v>
      </c>
      <c r="MV1" t="s">
        <v>546</v>
      </c>
      <c r="MW1" t="s">
        <v>547</v>
      </c>
      <c r="MX1" t="s">
        <v>548</v>
      </c>
      <c r="MY1" t="s">
        <v>549</v>
      </c>
      <c r="MZ1" t="s">
        <v>550</v>
      </c>
      <c r="NA1" t="s">
        <v>551</v>
      </c>
      <c r="NB1" t="s">
        <v>552</v>
      </c>
      <c r="NC1" t="s">
        <v>553</v>
      </c>
      <c r="ND1" t="s">
        <v>554</v>
      </c>
      <c r="NE1" t="s">
        <v>555</v>
      </c>
      <c r="NF1" t="s">
        <v>556</v>
      </c>
      <c r="NG1" t="s">
        <v>557</v>
      </c>
      <c r="NH1" t="s">
        <v>558</v>
      </c>
      <c r="NI1" t="s">
        <v>559</v>
      </c>
      <c r="NJ1" t="s">
        <v>560</v>
      </c>
      <c r="NK1" t="s">
        <v>561</v>
      </c>
      <c r="NL1" t="s">
        <v>562</v>
      </c>
      <c r="NM1" t="s">
        <v>563</v>
      </c>
      <c r="NN1" t="s">
        <v>564</v>
      </c>
      <c r="NO1" t="s">
        <v>565</v>
      </c>
      <c r="NP1" t="s">
        <v>566</v>
      </c>
      <c r="NQ1" t="s">
        <v>567</v>
      </c>
      <c r="NR1" t="s">
        <v>568</v>
      </c>
      <c r="NS1" t="s">
        <v>569</v>
      </c>
      <c r="NT1" t="s">
        <v>570</v>
      </c>
      <c r="NU1" t="s">
        <v>571</v>
      </c>
      <c r="NV1" t="s">
        <v>572</v>
      </c>
      <c r="NW1" t="s">
        <v>573</v>
      </c>
      <c r="NX1" t="s">
        <v>574</v>
      </c>
      <c r="NY1" t="s">
        <v>575</v>
      </c>
      <c r="NZ1" t="s">
        <v>576</v>
      </c>
      <c r="OA1" t="s">
        <v>577</v>
      </c>
      <c r="OB1" t="s">
        <v>578</v>
      </c>
      <c r="OC1" t="s">
        <v>579</v>
      </c>
      <c r="OD1" t="s">
        <v>580</v>
      </c>
      <c r="OE1" t="s">
        <v>581</v>
      </c>
      <c r="OF1" t="s">
        <v>582</v>
      </c>
      <c r="OG1" t="s">
        <v>583</v>
      </c>
      <c r="OH1" t="s">
        <v>584</v>
      </c>
      <c r="OI1" t="s">
        <v>585</v>
      </c>
      <c r="OJ1" t="s">
        <v>586</v>
      </c>
      <c r="OK1" t="s">
        <v>587</v>
      </c>
      <c r="OL1" t="s">
        <v>588</v>
      </c>
      <c r="OM1" t="s">
        <v>589</v>
      </c>
      <c r="ON1" t="s">
        <v>590</v>
      </c>
      <c r="OO1" t="s">
        <v>591</v>
      </c>
      <c r="OP1" t="s">
        <v>592</v>
      </c>
      <c r="OQ1" t="s">
        <v>593</v>
      </c>
      <c r="OR1" t="s">
        <v>594</v>
      </c>
      <c r="OS1" t="s">
        <v>595</v>
      </c>
      <c r="OT1" t="s">
        <v>596</v>
      </c>
      <c r="OU1" t="s">
        <v>597</v>
      </c>
      <c r="OV1" t="s">
        <v>598</v>
      </c>
      <c r="OW1" t="s">
        <v>599</v>
      </c>
      <c r="OX1" t="s">
        <v>600</v>
      </c>
      <c r="OY1" t="s">
        <v>601</v>
      </c>
      <c r="OZ1" t="s">
        <v>602</v>
      </c>
      <c r="PA1" t="s">
        <v>603</v>
      </c>
      <c r="PB1" t="s">
        <v>604</v>
      </c>
      <c r="PC1" t="s">
        <v>605</v>
      </c>
      <c r="PD1" t="s">
        <v>606</v>
      </c>
      <c r="PE1" t="s">
        <v>607</v>
      </c>
      <c r="PF1" t="s">
        <v>608</v>
      </c>
      <c r="PG1" t="s">
        <v>609</v>
      </c>
      <c r="PH1" t="s">
        <v>610</v>
      </c>
      <c r="PI1" t="s">
        <v>611</v>
      </c>
      <c r="PJ1" t="s">
        <v>612</v>
      </c>
      <c r="PK1" t="s">
        <v>613</v>
      </c>
      <c r="PL1" t="s">
        <v>614</v>
      </c>
      <c r="PM1" t="s">
        <v>615</v>
      </c>
      <c r="PN1" t="s">
        <v>616</v>
      </c>
      <c r="PO1" t="s">
        <v>617</v>
      </c>
      <c r="PP1" t="s">
        <v>618</v>
      </c>
      <c r="PQ1" t="s">
        <v>619</v>
      </c>
      <c r="PR1" t="s">
        <v>620</v>
      </c>
      <c r="PS1" t="s">
        <v>621</v>
      </c>
      <c r="PT1" t="s">
        <v>622</v>
      </c>
      <c r="PU1" t="s">
        <v>623</v>
      </c>
      <c r="PV1" t="s">
        <v>624</v>
      </c>
      <c r="PW1" t="s">
        <v>625</v>
      </c>
      <c r="PX1" t="s">
        <v>626</v>
      </c>
      <c r="PY1" t="s">
        <v>627</v>
      </c>
      <c r="PZ1" t="s">
        <v>628</v>
      </c>
      <c r="QA1" t="s">
        <v>629</v>
      </c>
      <c r="QB1" t="s">
        <v>630</v>
      </c>
      <c r="QC1" t="s">
        <v>631</v>
      </c>
      <c r="QD1" t="s">
        <v>632</v>
      </c>
      <c r="QE1" t="s">
        <v>633</v>
      </c>
      <c r="QF1" t="s">
        <v>634</v>
      </c>
      <c r="QG1" t="s">
        <v>635</v>
      </c>
      <c r="QH1" t="s">
        <v>636</v>
      </c>
      <c r="QI1" t="s">
        <v>637</v>
      </c>
      <c r="QJ1" t="s">
        <v>638</v>
      </c>
      <c r="QK1" t="s">
        <v>639</v>
      </c>
      <c r="QL1" t="s">
        <v>640</v>
      </c>
      <c r="QM1" t="s">
        <v>641</v>
      </c>
      <c r="QN1" t="s">
        <v>642</v>
      </c>
      <c r="QO1" t="s">
        <v>643</v>
      </c>
      <c r="QP1" t="s">
        <v>644</v>
      </c>
      <c r="QQ1" t="s">
        <v>645</v>
      </c>
      <c r="QR1" t="s">
        <v>646</v>
      </c>
      <c r="QS1" t="s">
        <v>647</v>
      </c>
      <c r="QT1" t="s">
        <v>648</v>
      </c>
      <c r="QU1" t="s">
        <v>649</v>
      </c>
      <c r="QV1" t="s">
        <v>650</v>
      </c>
      <c r="QW1" t="s">
        <v>651</v>
      </c>
      <c r="QX1" t="s">
        <v>652</v>
      </c>
      <c r="QY1" t="s">
        <v>653</v>
      </c>
      <c r="QZ1" t="s">
        <v>654</v>
      </c>
      <c r="RA1" t="s">
        <v>655</v>
      </c>
      <c r="RB1" t="s">
        <v>656</v>
      </c>
      <c r="RC1" t="s">
        <v>657</v>
      </c>
      <c r="RD1" t="s">
        <v>658</v>
      </c>
      <c r="RE1" t="s">
        <v>659</v>
      </c>
      <c r="RF1" t="s">
        <v>660</v>
      </c>
      <c r="RG1" t="s">
        <v>661</v>
      </c>
      <c r="RH1" t="s">
        <v>662</v>
      </c>
      <c r="RI1" t="s">
        <v>663</v>
      </c>
      <c r="RJ1" t="s">
        <v>664</v>
      </c>
      <c r="RK1" t="s">
        <v>665</v>
      </c>
      <c r="RL1" t="s">
        <v>666</v>
      </c>
      <c r="RM1" t="s">
        <v>667</v>
      </c>
      <c r="RN1" t="s">
        <v>668</v>
      </c>
      <c r="RO1" t="s">
        <v>669</v>
      </c>
      <c r="RP1" t="s">
        <v>670</v>
      </c>
      <c r="RQ1" t="s">
        <v>671</v>
      </c>
      <c r="RR1" t="s">
        <v>672</v>
      </c>
      <c r="RS1" t="s">
        <v>673</v>
      </c>
      <c r="RT1" t="s">
        <v>674</v>
      </c>
      <c r="RU1" t="s">
        <v>675</v>
      </c>
      <c r="RV1" t="s">
        <v>676</v>
      </c>
      <c r="RW1" t="s">
        <v>677</v>
      </c>
      <c r="RX1" t="s">
        <v>678</v>
      </c>
      <c r="RY1" t="s">
        <v>679</v>
      </c>
      <c r="RZ1" t="s">
        <v>680</v>
      </c>
      <c r="SA1" t="s">
        <v>681</v>
      </c>
      <c r="SB1" t="s">
        <v>682</v>
      </c>
      <c r="SC1" t="s">
        <v>683</v>
      </c>
      <c r="SD1" t="s">
        <v>684</v>
      </c>
      <c r="SE1" t="s">
        <v>685</v>
      </c>
      <c r="SF1" t="s">
        <v>686</v>
      </c>
      <c r="SG1" t="s">
        <v>687</v>
      </c>
      <c r="SH1" t="s">
        <v>688</v>
      </c>
      <c r="SI1" t="s">
        <v>689</v>
      </c>
      <c r="SJ1" t="s">
        <v>690</v>
      </c>
      <c r="SK1" t="s">
        <v>691</v>
      </c>
      <c r="SL1" t="s">
        <v>692</v>
      </c>
      <c r="SM1" t="s">
        <v>693</v>
      </c>
      <c r="SN1" t="s">
        <v>694</v>
      </c>
      <c r="SO1" t="s">
        <v>695</v>
      </c>
      <c r="SP1" t="s">
        <v>696</v>
      </c>
      <c r="SQ1" t="s">
        <v>697</v>
      </c>
      <c r="SR1" t="s">
        <v>698</v>
      </c>
      <c r="SS1" t="s">
        <v>699</v>
      </c>
      <c r="ST1" t="s">
        <v>700</v>
      </c>
      <c r="SU1" t="s">
        <v>701</v>
      </c>
      <c r="SV1" t="s">
        <v>702</v>
      </c>
      <c r="SW1" t="s">
        <v>703</v>
      </c>
      <c r="SX1" t="s">
        <v>704</v>
      </c>
      <c r="SY1" t="s">
        <v>705</v>
      </c>
      <c r="SZ1" t="s">
        <v>706</v>
      </c>
      <c r="TA1" t="s">
        <v>707</v>
      </c>
      <c r="TB1" t="s">
        <v>708</v>
      </c>
      <c r="TC1" t="s">
        <v>709</v>
      </c>
      <c r="TD1" t="s">
        <v>710</v>
      </c>
      <c r="TE1" t="s">
        <v>711</v>
      </c>
      <c r="TF1" t="s">
        <v>712</v>
      </c>
      <c r="TG1" t="s">
        <v>713</v>
      </c>
      <c r="TH1" t="s">
        <v>714</v>
      </c>
      <c r="TI1" t="s">
        <v>715</v>
      </c>
      <c r="TJ1" t="s">
        <v>716</v>
      </c>
      <c r="TK1" t="s">
        <v>717</v>
      </c>
      <c r="TL1" t="s">
        <v>718</v>
      </c>
      <c r="TM1" t="s">
        <v>719</v>
      </c>
      <c r="TN1" t="s">
        <v>720</v>
      </c>
      <c r="TO1" t="s">
        <v>721</v>
      </c>
      <c r="TP1" t="s">
        <v>722</v>
      </c>
      <c r="TQ1" t="s">
        <v>723</v>
      </c>
      <c r="TR1" t="s">
        <v>724</v>
      </c>
      <c r="TS1" t="s">
        <v>725</v>
      </c>
      <c r="TT1" t="s">
        <v>726</v>
      </c>
      <c r="TU1" t="s">
        <v>727</v>
      </c>
      <c r="TV1" t="s">
        <v>728</v>
      </c>
      <c r="TW1" t="s">
        <v>729</v>
      </c>
      <c r="TX1" t="s">
        <v>730</v>
      </c>
      <c r="TY1" t="s">
        <v>731</v>
      </c>
      <c r="TZ1" t="s">
        <v>732</v>
      </c>
      <c r="UA1" t="s">
        <v>733</v>
      </c>
      <c r="UB1" t="s">
        <v>734</v>
      </c>
      <c r="UC1" t="s">
        <v>735</v>
      </c>
      <c r="UD1" t="s">
        <v>736</v>
      </c>
      <c r="UE1" t="s">
        <v>737</v>
      </c>
      <c r="UF1" t="s">
        <v>738</v>
      </c>
      <c r="UG1" t="s">
        <v>739</v>
      </c>
      <c r="UH1" t="s">
        <v>740</v>
      </c>
      <c r="UI1" t="s">
        <v>741</v>
      </c>
      <c r="UJ1" t="s">
        <v>742</v>
      </c>
      <c r="UK1" t="s">
        <v>743</v>
      </c>
      <c r="UL1" t="s">
        <v>744</v>
      </c>
      <c r="UM1" t="s">
        <v>745</v>
      </c>
      <c r="UN1" t="s">
        <v>746</v>
      </c>
      <c r="UO1" t="s">
        <v>747</v>
      </c>
      <c r="UP1" t="s">
        <v>748</v>
      </c>
      <c r="UQ1" t="s">
        <v>749</v>
      </c>
      <c r="UR1" t="s">
        <v>750</v>
      </c>
      <c r="US1" t="s">
        <v>751</v>
      </c>
      <c r="UT1" t="s">
        <v>752</v>
      </c>
      <c r="UU1" t="s">
        <v>753</v>
      </c>
      <c r="UV1" t="s">
        <v>754</v>
      </c>
      <c r="UW1" t="s">
        <v>755</v>
      </c>
      <c r="UX1" t="s">
        <v>756</v>
      </c>
      <c r="UY1" t="s">
        <v>757</v>
      </c>
      <c r="UZ1" t="s">
        <v>758</v>
      </c>
      <c r="VA1" t="s">
        <v>759</v>
      </c>
      <c r="VB1" t="s">
        <v>760</v>
      </c>
      <c r="VC1" t="s">
        <v>761</v>
      </c>
      <c r="VD1" t="s">
        <v>762</v>
      </c>
      <c r="VE1" t="s">
        <v>763</v>
      </c>
      <c r="VF1" t="s">
        <v>764</v>
      </c>
      <c r="VG1" t="s">
        <v>765</v>
      </c>
      <c r="VH1" t="s">
        <v>766</v>
      </c>
      <c r="VI1" t="s">
        <v>767</v>
      </c>
      <c r="VJ1" t="s">
        <v>768</v>
      </c>
      <c r="VK1" t="s">
        <v>769</v>
      </c>
      <c r="VL1" t="s">
        <v>770</v>
      </c>
      <c r="VM1" t="s">
        <v>771</v>
      </c>
      <c r="VN1" t="s">
        <v>772</v>
      </c>
      <c r="VO1" t="s">
        <v>773</v>
      </c>
      <c r="VP1" t="s">
        <v>774</v>
      </c>
      <c r="VQ1" t="s">
        <v>775</v>
      </c>
      <c r="VR1" t="s">
        <v>776</v>
      </c>
      <c r="VS1" t="s">
        <v>777</v>
      </c>
      <c r="VT1" t="s">
        <v>778</v>
      </c>
      <c r="VU1" t="s">
        <v>779</v>
      </c>
      <c r="VV1" t="s">
        <v>780</v>
      </c>
      <c r="VW1" t="s">
        <v>781</v>
      </c>
      <c r="VX1" t="s">
        <v>782</v>
      </c>
      <c r="VY1" t="s">
        <v>783</v>
      </c>
      <c r="VZ1" t="s">
        <v>784</v>
      </c>
      <c r="WA1" t="s">
        <v>785</v>
      </c>
      <c r="WB1" t="s">
        <v>786</v>
      </c>
      <c r="WC1" t="s">
        <v>787</v>
      </c>
      <c r="WD1" t="s">
        <v>788</v>
      </c>
      <c r="WE1" t="s">
        <v>789</v>
      </c>
      <c r="WF1" t="s">
        <v>790</v>
      </c>
      <c r="WG1" t="s">
        <v>791</v>
      </c>
      <c r="WH1" t="s">
        <v>792</v>
      </c>
      <c r="WI1" t="s">
        <v>793</v>
      </c>
      <c r="WJ1" t="s">
        <v>794</v>
      </c>
      <c r="WK1" t="s">
        <v>795</v>
      </c>
      <c r="WL1" t="s">
        <v>796</v>
      </c>
      <c r="WM1" t="s">
        <v>797</v>
      </c>
      <c r="WN1" t="s">
        <v>798</v>
      </c>
      <c r="WO1" t="s">
        <v>799</v>
      </c>
      <c r="WP1" t="s">
        <v>800</v>
      </c>
      <c r="WQ1" t="s">
        <v>801</v>
      </c>
      <c r="WR1" t="s">
        <v>802</v>
      </c>
      <c r="WS1" t="s">
        <v>803</v>
      </c>
      <c r="WT1" t="s">
        <v>804</v>
      </c>
      <c r="WU1" t="s">
        <v>805</v>
      </c>
      <c r="WV1" t="s">
        <v>806</v>
      </c>
      <c r="WW1" t="s">
        <v>807</v>
      </c>
      <c r="WX1" t="s">
        <v>808</v>
      </c>
      <c r="WY1" t="s">
        <v>809</v>
      </c>
      <c r="WZ1" t="s">
        <v>810</v>
      </c>
      <c r="XA1" t="s">
        <v>811</v>
      </c>
      <c r="XB1" t="s">
        <v>812</v>
      </c>
      <c r="XC1" t="s">
        <v>813</v>
      </c>
      <c r="XD1" t="s">
        <v>814</v>
      </c>
      <c r="XE1" t="s">
        <v>815</v>
      </c>
      <c r="XF1" t="s">
        <v>816</v>
      </c>
      <c r="XG1" t="s">
        <v>817</v>
      </c>
      <c r="XH1" t="s">
        <v>818</v>
      </c>
      <c r="XI1" t="s">
        <v>819</v>
      </c>
      <c r="XJ1" t="s">
        <v>820</v>
      </c>
      <c r="XK1" t="s">
        <v>821</v>
      </c>
      <c r="XL1" t="s">
        <v>822</v>
      </c>
      <c r="XM1" t="s">
        <v>823</v>
      </c>
      <c r="XN1" t="s">
        <v>824</v>
      </c>
      <c r="XO1" t="s">
        <v>825</v>
      </c>
      <c r="XP1" t="s">
        <v>826</v>
      </c>
      <c r="XQ1" t="s">
        <v>827</v>
      </c>
      <c r="XR1" t="s">
        <v>828</v>
      </c>
      <c r="XS1" t="s">
        <v>829</v>
      </c>
      <c r="XT1" t="s">
        <v>830</v>
      </c>
      <c r="XU1" t="s">
        <v>831</v>
      </c>
      <c r="XV1" t="s">
        <v>832</v>
      </c>
      <c r="XW1" t="s">
        <v>833</v>
      </c>
      <c r="XX1" t="s">
        <v>834</v>
      </c>
      <c r="XY1" t="s">
        <v>835</v>
      </c>
      <c r="XZ1" t="s">
        <v>836</v>
      </c>
      <c r="YA1" t="s">
        <v>837</v>
      </c>
      <c r="YB1" t="s">
        <v>838</v>
      </c>
      <c r="YC1" t="s">
        <v>839</v>
      </c>
      <c r="YD1" t="s">
        <v>840</v>
      </c>
      <c r="YE1" t="s">
        <v>841</v>
      </c>
      <c r="YF1" t="s">
        <v>842</v>
      </c>
      <c r="YG1" t="s">
        <v>843</v>
      </c>
      <c r="YH1" t="s">
        <v>844</v>
      </c>
      <c r="YI1" t="s">
        <v>845</v>
      </c>
      <c r="YJ1" t="s">
        <v>846</v>
      </c>
      <c r="YK1" t="s">
        <v>847</v>
      </c>
      <c r="YL1" t="s">
        <v>848</v>
      </c>
      <c r="YM1" t="s">
        <v>849</v>
      </c>
      <c r="YN1" t="s">
        <v>850</v>
      </c>
      <c r="YO1" t="s">
        <v>851</v>
      </c>
      <c r="YP1" t="s">
        <v>852</v>
      </c>
      <c r="YQ1" t="s">
        <v>853</v>
      </c>
      <c r="YR1" t="s">
        <v>854</v>
      </c>
      <c r="YS1" t="s">
        <v>855</v>
      </c>
      <c r="YT1" t="s">
        <v>856</v>
      </c>
      <c r="YU1" t="s">
        <v>857</v>
      </c>
      <c r="YV1" t="s">
        <v>858</v>
      </c>
      <c r="YW1" t="s">
        <v>859</v>
      </c>
      <c r="YX1" t="s">
        <v>860</v>
      </c>
      <c r="YY1" t="s">
        <v>861</v>
      </c>
      <c r="YZ1" t="s">
        <v>862</v>
      </c>
      <c r="ZA1" t="s">
        <v>863</v>
      </c>
      <c r="ZB1" t="s">
        <v>864</v>
      </c>
      <c r="ZC1" t="s">
        <v>865</v>
      </c>
      <c r="ZD1" t="s">
        <v>866</v>
      </c>
      <c r="ZE1" t="s">
        <v>867</v>
      </c>
      <c r="ZF1" t="s">
        <v>868</v>
      </c>
      <c r="ZG1" t="s">
        <v>869</v>
      </c>
      <c r="ZH1" t="s">
        <v>870</v>
      </c>
      <c r="ZI1" t="s">
        <v>871</v>
      </c>
      <c r="ZJ1" t="s">
        <v>872</v>
      </c>
      <c r="ZK1" t="s">
        <v>873</v>
      </c>
      <c r="ZL1" t="s">
        <v>874</v>
      </c>
      <c r="ZM1" t="s">
        <v>875</v>
      </c>
      <c r="ZN1" t="s">
        <v>876</v>
      </c>
      <c r="ZO1" t="s">
        <v>877</v>
      </c>
      <c r="ZP1" t="s">
        <v>878</v>
      </c>
      <c r="ZQ1" t="s">
        <v>879</v>
      </c>
      <c r="ZR1" t="s">
        <v>880</v>
      </c>
      <c r="ZS1" t="s">
        <v>881</v>
      </c>
      <c r="ZT1" t="s">
        <v>882</v>
      </c>
      <c r="ZU1" t="s">
        <v>883</v>
      </c>
      <c r="ZV1" t="s">
        <v>884</v>
      </c>
      <c r="ZW1" t="s">
        <v>885</v>
      </c>
      <c r="ZX1" t="s">
        <v>886</v>
      </c>
      <c r="ZY1" t="s">
        <v>887</v>
      </c>
      <c r="ZZ1" t="s">
        <v>888</v>
      </c>
      <c r="AAA1" t="s">
        <v>889</v>
      </c>
      <c r="AAB1" t="s">
        <v>890</v>
      </c>
      <c r="AAC1" t="s">
        <v>891</v>
      </c>
      <c r="AAD1" t="s">
        <v>892</v>
      </c>
      <c r="AAE1" t="s">
        <v>893</v>
      </c>
      <c r="AAF1" t="s">
        <v>894</v>
      </c>
      <c r="AAG1" t="s">
        <v>895</v>
      </c>
      <c r="AAH1" t="s">
        <v>896</v>
      </c>
      <c r="AAI1" t="s">
        <v>897</v>
      </c>
      <c r="AAJ1" t="s">
        <v>898</v>
      </c>
      <c r="AAK1" t="s">
        <v>899</v>
      </c>
      <c r="AAL1" t="s">
        <v>900</v>
      </c>
      <c r="AAM1" t="s">
        <v>901</v>
      </c>
      <c r="AAN1" t="s">
        <v>902</v>
      </c>
      <c r="AAO1" t="s">
        <v>903</v>
      </c>
      <c r="AAP1" t="s">
        <v>904</v>
      </c>
      <c r="AAQ1" t="s">
        <v>905</v>
      </c>
      <c r="AAR1" t="s">
        <v>906</v>
      </c>
      <c r="AAS1" t="s">
        <v>907</v>
      </c>
      <c r="AAT1" t="s">
        <v>908</v>
      </c>
      <c r="AAU1" t="s">
        <v>909</v>
      </c>
      <c r="AAV1" t="s">
        <v>910</v>
      </c>
      <c r="AAW1" t="s">
        <v>911</v>
      </c>
      <c r="AAX1" t="s">
        <v>912</v>
      </c>
      <c r="AAY1" t="s">
        <v>913</v>
      </c>
      <c r="AAZ1" t="s">
        <v>914</v>
      </c>
      <c r="ABA1" t="s">
        <v>915</v>
      </c>
      <c r="ABB1" t="s">
        <v>916</v>
      </c>
      <c r="ABC1" t="s">
        <v>917</v>
      </c>
      <c r="ABD1" t="s">
        <v>918</v>
      </c>
      <c r="ABE1" t="s">
        <v>919</v>
      </c>
      <c r="ABF1" t="s">
        <v>920</v>
      </c>
      <c r="ABG1" t="s">
        <v>921</v>
      </c>
      <c r="ABH1" t="s">
        <v>922</v>
      </c>
      <c r="ABI1" t="s">
        <v>923</v>
      </c>
      <c r="ABJ1" t="s">
        <v>924</v>
      </c>
      <c r="ABK1" t="s">
        <v>925</v>
      </c>
      <c r="ABL1" t="s">
        <v>926</v>
      </c>
      <c r="ABM1" t="s">
        <v>927</v>
      </c>
      <c r="ABN1" t="s">
        <v>928</v>
      </c>
      <c r="ABO1" t="s">
        <v>929</v>
      </c>
      <c r="ABP1" t="s">
        <v>930</v>
      </c>
      <c r="ABQ1" t="s">
        <v>931</v>
      </c>
      <c r="ABR1" t="s">
        <v>932</v>
      </c>
      <c r="ABS1" t="s">
        <v>933</v>
      </c>
      <c r="ABT1" t="s">
        <v>934</v>
      </c>
      <c r="ABU1" t="s">
        <v>935</v>
      </c>
      <c r="ABV1" t="s">
        <v>936</v>
      </c>
      <c r="ABW1" t="s">
        <v>937</v>
      </c>
      <c r="ABX1" t="s">
        <v>938</v>
      </c>
      <c r="ABY1" t="s">
        <v>939</v>
      </c>
      <c r="ABZ1" t="s">
        <v>940</v>
      </c>
      <c r="ACA1" t="s">
        <v>941</v>
      </c>
      <c r="ACB1" t="s">
        <v>942</v>
      </c>
      <c r="ACC1" t="s">
        <v>943</v>
      </c>
      <c r="ACD1" t="s">
        <v>944</v>
      </c>
      <c r="ACE1" t="s">
        <v>945</v>
      </c>
      <c r="ACF1" t="s">
        <v>946</v>
      </c>
      <c r="ACG1" t="s">
        <v>947</v>
      </c>
      <c r="ACH1" t="s">
        <v>948</v>
      </c>
      <c r="ACI1" t="s">
        <v>949</v>
      </c>
      <c r="ACJ1" t="s">
        <v>950</v>
      </c>
      <c r="ACK1" t="s">
        <v>951</v>
      </c>
      <c r="ACL1" t="s">
        <v>952</v>
      </c>
      <c r="ACM1" t="s">
        <v>953</v>
      </c>
      <c r="ACN1" t="s">
        <v>954</v>
      </c>
      <c r="ACO1" t="s">
        <v>955</v>
      </c>
      <c r="ACP1" t="s">
        <v>956</v>
      </c>
      <c r="ACQ1" t="s">
        <v>957</v>
      </c>
      <c r="ACR1" t="s">
        <v>958</v>
      </c>
      <c r="ACS1" t="s">
        <v>959</v>
      </c>
      <c r="ACT1" t="s">
        <v>960</v>
      </c>
      <c r="ACU1" t="s">
        <v>961</v>
      </c>
      <c r="ACV1" t="s">
        <v>962</v>
      </c>
      <c r="ACW1" t="s">
        <v>963</v>
      </c>
      <c r="ACX1" t="s">
        <v>964</v>
      </c>
      <c r="ACY1" t="s">
        <v>965</v>
      </c>
      <c r="ACZ1" t="s">
        <v>966</v>
      </c>
      <c r="ADA1" t="s">
        <v>967</v>
      </c>
      <c r="ADB1" t="s">
        <v>968</v>
      </c>
      <c r="ADC1" t="s">
        <v>969</v>
      </c>
      <c r="ADD1" t="s">
        <v>970</v>
      </c>
      <c r="ADE1" t="s">
        <v>971</v>
      </c>
      <c r="ADF1" t="s">
        <v>972</v>
      </c>
      <c r="ADG1" t="s">
        <v>973</v>
      </c>
      <c r="ADH1" t="s">
        <v>974</v>
      </c>
      <c r="ADI1" t="s">
        <v>975</v>
      </c>
      <c r="ADJ1" t="s">
        <v>976</v>
      </c>
      <c r="ADK1" t="s">
        <v>977</v>
      </c>
      <c r="ADL1" t="s">
        <v>978</v>
      </c>
      <c r="ADM1" t="s">
        <v>979</v>
      </c>
      <c r="ADN1" t="s">
        <v>980</v>
      </c>
      <c r="ADO1" t="s">
        <v>981</v>
      </c>
      <c r="ADP1" t="s">
        <v>982</v>
      </c>
      <c r="ADQ1" t="s">
        <v>983</v>
      </c>
      <c r="ADR1" t="s">
        <v>984</v>
      </c>
      <c r="ADS1" t="s">
        <v>985</v>
      </c>
      <c r="ADT1" t="s">
        <v>986</v>
      </c>
      <c r="ADU1" t="s">
        <v>987</v>
      </c>
      <c r="ADV1" t="s">
        <v>988</v>
      </c>
      <c r="ADW1" t="s">
        <v>989</v>
      </c>
      <c r="ADX1" t="s">
        <v>990</v>
      </c>
      <c r="ADY1" t="s">
        <v>991</v>
      </c>
      <c r="ADZ1" t="s">
        <v>992</v>
      </c>
      <c r="AEA1" t="s">
        <v>993</v>
      </c>
      <c r="AEB1" t="s">
        <v>994</v>
      </c>
      <c r="AEC1" t="s">
        <v>995</v>
      </c>
      <c r="AED1" t="s">
        <v>996</v>
      </c>
      <c r="AEE1" t="s">
        <v>997</v>
      </c>
      <c r="AEF1" t="s">
        <v>998</v>
      </c>
      <c r="AEG1" t="s">
        <v>999</v>
      </c>
      <c r="AEH1" t="s">
        <v>1000</v>
      </c>
      <c r="AEI1" t="s">
        <v>1001</v>
      </c>
      <c r="AEJ1" t="s">
        <v>1002</v>
      </c>
      <c r="AEK1" t="s">
        <v>1003</v>
      </c>
      <c r="AEL1" t="s">
        <v>1004</v>
      </c>
      <c r="AEM1" t="s">
        <v>1005</v>
      </c>
      <c r="AEN1" t="s">
        <v>1006</v>
      </c>
      <c r="AEO1" t="s">
        <v>1007</v>
      </c>
      <c r="AEP1" t="s">
        <v>1008</v>
      </c>
      <c r="AEQ1" t="s">
        <v>1009</v>
      </c>
      <c r="AER1" t="s">
        <v>1010</v>
      </c>
      <c r="AES1" t="s">
        <v>1011</v>
      </c>
      <c r="AET1" t="s">
        <v>1012</v>
      </c>
      <c r="AEU1" t="s">
        <v>1013</v>
      </c>
      <c r="AEV1" t="s">
        <v>1014</v>
      </c>
      <c r="AEW1" t="s">
        <v>1015</v>
      </c>
      <c r="AEX1" t="s">
        <v>1016</v>
      </c>
      <c r="AEY1" t="s">
        <v>1017</v>
      </c>
      <c r="AEZ1" t="s">
        <v>1018</v>
      </c>
      <c r="AFA1" t="s">
        <v>1019</v>
      </c>
      <c r="AFB1" t="s">
        <v>1020</v>
      </c>
      <c r="AFC1" t="s">
        <v>1021</v>
      </c>
      <c r="AFD1" t="s">
        <v>1022</v>
      </c>
      <c r="AFE1" t="s">
        <v>1023</v>
      </c>
      <c r="AFF1" t="s">
        <v>1024</v>
      </c>
      <c r="AFG1" t="s">
        <v>1025</v>
      </c>
      <c r="AFH1" t="s">
        <v>1026</v>
      </c>
      <c r="AFI1" t="s">
        <v>1027</v>
      </c>
      <c r="AFJ1" t="s">
        <v>1028</v>
      </c>
      <c r="AFK1" t="s">
        <v>1029</v>
      </c>
      <c r="AFL1" t="s">
        <v>1030</v>
      </c>
      <c r="AFM1" t="s">
        <v>1031</v>
      </c>
      <c r="AFN1" t="s">
        <v>1032</v>
      </c>
      <c r="AFO1" t="s">
        <v>1033</v>
      </c>
      <c r="AFP1" t="s">
        <v>1034</v>
      </c>
      <c r="AFQ1" t="s">
        <v>1035</v>
      </c>
      <c r="AFR1" t="s">
        <v>1036</v>
      </c>
      <c r="AFS1" t="s">
        <v>1037</v>
      </c>
      <c r="AFT1" t="s">
        <v>1038</v>
      </c>
      <c r="AFU1" t="s">
        <v>1039</v>
      </c>
      <c r="AFV1" t="s">
        <v>1040</v>
      </c>
      <c r="AFW1" t="s">
        <v>1041</v>
      </c>
      <c r="AFX1" t="s">
        <v>1042</v>
      </c>
      <c r="AFY1" t="s">
        <v>1043</v>
      </c>
      <c r="AFZ1" t="s">
        <v>1044</v>
      </c>
      <c r="AGA1" t="s">
        <v>1045</v>
      </c>
      <c r="AGB1" t="s">
        <v>1046</v>
      </c>
      <c r="AGC1" t="s">
        <v>1047</v>
      </c>
      <c r="AGD1" t="s">
        <v>1048</v>
      </c>
      <c r="AGE1" t="s">
        <v>1049</v>
      </c>
      <c r="AGF1" t="s">
        <v>1050</v>
      </c>
      <c r="AGG1" t="s">
        <v>1051</v>
      </c>
      <c r="AGH1" t="s">
        <v>1052</v>
      </c>
      <c r="AGI1" t="s">
        <v>1053</v>
      </c>
      <c r="AGJ1" t="s">
        <v>1054</v>
      </c>
      <c r="AGK1" t="s">
        <v>1055</v>
      </c>
      <c r="AGL1" t="s">
        <v>1056</v>
      </c>
      <c r="AGM1" t="s">
        <v>1057</v>
      </c>
      <c r="AGN1" t="s">
        <v>1058</v>
      </c>
      <c r="AGO1" t="s">
        <v>1059</v>
      </c>
      <c r="AGP1" t="s">
        <v>1060</v>
      </c>
      <c r="AGQ1" t="s">
        <v>1061</v>
      </c>
      <c r="AGR1" t="s">
        <v>1062</v>
      </c>
      <c r="AGS1" t="s">
        <v>1063</v>
      </c>
      <c r="AGT1" t="s">
        <v>1064</v>
      </c>
      <c r="AGU1" t="s">
        <v>1065</v>
      </c>
      <c r="AGV1" t="s">
        <v>1066</v>
      </c>
      <c r="AGW1" t="s">
        <v>1067</v>
      </c>
      <c r="AGX1" t="s">
        <v>1068</v>
      </c>
      <c r="AGY1" t="s">
        <v>1069</v>
      </c>
      <c r="AGZ1" t="s">
        <v>1070</v>
      </c>
      <c r="AHA1" t="s">
        <v>1071</v>
      </c>
      <c r="AHB1" t="s">
        <v>1072</v>
      </c>
      <c r="AHC1" t="s">
        <v>1073</v>
      </c>
      <c r="AHD1" t="s">
        <v>1074</v>
      </c>
      <c r="AHE1" t="s">
        <v>1075</v>
      </c>
      <c r="AHF1" t="s">
        <v>1076</v>
      </c>
      <c r="AHG1" t="s">
        <v>1077</v>
      </c>
      <c r="AHH1" t="s">
        <v>1078</v>
      </c>
      <c r="AHI1" t="s">
        <v>1079</v>
      </c>
      <c r="AHJ1" t="s">
        <v>1080</v>
      </c>
      <c r="AHK1" t="s">
        <v>1081</v>
      </c>
      <c r="AHL1" t="s">
        <v>1082</v>
      </c>
      <c r="AHM1" t="s">
        <v>1083</v>
      </c>
      <c r="AHN1" t="s">
        <v>1084</v>
      </c>
      <c r="AHO1" t="s">
        <v>1085</v>
      </c>
      <c r="AHP1" t="s">
        <v>1086</v>
      </c>
      <c r="AHQ1" t="s">
        <v>1087</v>
      </c>
      <c r="AHR1" t="s">
        <v>1088</v>
      </c>
      <c r="AHS1" t="s">
        <v>1089</v>
      </c>
      <c r="AHT1" t="s">
        <v>1090</v>
      </c>
      <c r="AHU1" t="s">
        <v>1091</v>
      </c>
      <c r="AHV1" t="s">
        <v>1092</v>
      </c>
      <c r="AHW1" t="s">
        <v>1093</v>
      </c>
      <c r="AHX1" t="s">
        <v>1094</v>
      </c>
      <c r="AHY1" t="s">
        <v>1095</v>
      </c>
      <c r="AHZ1" t="s">
        <v>1096</v>
      </c>
      <c r="AIA1" t="s">
        <v>1097</v>
      </c>
      <c r="AIB1" t="s">
        <v>1098</v>
      </c>
      <c r="AIC1" t="s">
        <v>1099</v>
      </c>
      <c r="AID1" t="s">
        <v>1100</v>
      </c>
      <c r="AIE1" t="s">
        <v>1101</v>
      </c>
      <c r="AIF1" t="s">
        <v>1102</v>
      </c>
      <c r="AIG1" t="s">
        <v>1103</v>
      </c>
      <c r="AIH1" t="s">
        <v>1104</v>
      </c>
      <c r="AII1" t="s">
        <v>1105</v>
      </c>
      <c r="AIJ1" t="s">
        <v>1106</v>
      </c>
      <c r="AIK1" t="s">
        <v>1107</v>
      </c>
      <c r="AIL1" t="s">
        <v>1108</v>
      </c>
      <c r="AIM1" t="s">
        <v>1109</v>
      </c>
      <c r="AIN1" t="s">
        <v>1110</v>
      </c>
      <c r="AIO1" t="s">
        <v>1111</v>
      </c>
      <c r="AIP1" t="s">
        <v>1112</v>
      </c>
      <c r="AIQ1" t="s">
        <v>1113</v>
      </c>
      <c r="AIR1" t="s">
        <v>1114</v>
      </c>
      <c r="AIS1" t="s">
        <v>1115</v>
      </c>
      <c r="AIT1" t="s">
        <v>1116</v>
      </c>
      <c r="AIU1" t="s">
        <v>1117</v>
      </c>
      <c r="AIV1" t="s">
        <v>1118</v>
      </c>
      <c r="AIW1" t="s">
        <v>1119</v>
      </c>
      <c r="AIX1" t="s">
        <v>1120</v>
      </c>
      <c r="AIY1" t="s">
        <v>1121</v>
      </c>
      <c r="AIZ1" t="s">
        <v>1122</v>
      </c>
      <c r="AJA1" t="s">
        <v>1123</v>
      </c>
      <c r="AJB1" t="s">
        <v>1124</v>
      </c>
      <c r="AJC1" t="s">
        <v>1125</v>
      </c>
      <c r="AJD1" t="s">
        <v>1126</v>
      </c>
      <c r="AJE1" t="s">
        <v>1127</v>
      </c>
      <c r="AJF1" t="s">
        <v>1128</v>
      </c>
      <c r="AJG1" t="s">
        <v>1129</v>
      </c>
      <c r="AJH1" t="s">
        <v>1130</v>
      </c>
      <c r="AJI1" t="s">
        <v>1131</v>
      </c>
      <c r="AJJ1" t="s">
        <v>1132</v>
      </c>
      <c r="AJK1" t="s">
        <v>1133</v>
      </c>
      <c r="AJL1" t="s">
        <v>1134</v>
      </c>
      <c r="AJM1" t="s">
        <v>1135</v>
      </c>
      <c r="AJN1" t="s">
        <v>1136</v>
      </c>
      <c r="AJO1" t="s">
        <v>1137</v>
      </c>
      <c r="AJP1" t="s">
        <v>1138</v>
      </c>
      <c r="AJQ1" t="s">
        <v>1139</v>
      </c>
      <c r="AJR1" t="s">
        <v>1140</v>
      </c>
      <c r="AJS1" t="s">
        <v>1141</v>
      </c>
      <c r="AJT1" t="s">
        <v>1142</v>
      </c>
      <c r="AJU1" t="s">
        <v>1143</v>
      </c>
      <c r="AJV1" t="s">
        <v>1144</v>
      </c>
      <c r="AJW1" t="s">
        <v>1145</v>
      </c>
      <c r="AJX1" t="s">
        <v>1146</v>
      </c>
      <c r="AJY1" t="s">
        <v>1147</v>
      </c>
      <c r="AJZ1" t="s">
        <v>1148</v>
      </c>
      <c r="AKA1" t="s">
        <v>1149</v>
      </c>
      <c r="AKB1" t="s">
        <v>1150</v>
      </c>
      <c r="AKC1" t="s">
        <v>1151</v>
      </c>
      <c r="AKD1" t="s">
        <v>1152</v>
      </c>
      <c r="AKE1" t="s">
        <v>1153</v>
      </c>
      <c r="AKF1" t="s">
        <v>1154</v>
      </c>
      <c r="AKG1" t="s">
        <v>1155</v>
      </c>
      <c r="AKH1" t="s">
        <v>1156</v>
      </c>
      <c r="AKI1" t="s">
        <v>1157</v>
      </c>
      <c r="AKJ1" t="s">
        <v>1158</v>
      </c>
      <c r="AKK1" t="s">
        <v>1159</v>
      </c>
      <c r="AKL1" t="s">
        <v>1160</v>
      </c>
      <c r="AKM1" t="s">
        <v>1161</v>
      </c>
      <c r="AKN1" t="s">
        <v>1162</v>
      </c>
      <c r="AKO1" t="s">
        <v>1163</v>
      </c>
      <c r="AKP1" t="s">
        <v>1164</v>
      </c>
      <c r="AKQ1" t="s">
        <v>1165</v>
      </c>
      <c r="AKR1" t="s">
        <v>1166</v>
      </c>
      <c r="AKS1" t="s">
        <v>1167</v>
      </c>
      <c r="AKT1" t="s">
        <v>1168</v>
      </c>
      <c r="AKU1" t="s">
        <v>1169</v>
      </c>
      <c r="AKV1" t="s">
        <v>1170</v>
      </c>
      <c r="AKW1" t="s">
        <v>1171</v>
      </c>
      <c r="AKX1" t="s">
        <v>1172</v>
      </c>
      <c r="AKY1" t="s">
        <v>1173</v>
      </c>
      <c r="AKZ1" t="s">
        <v>1174</v>
      </c>
      <c r="ALA1" t="s">
        <v>1175</v>
      </c>
      <c r="ALB1" t="s">
        <v>1176</v>
      </c>
      <c r="ALC1" t="s">
        <v>1177</v>
      </c>
      <c r="ALD1" t="s">
        <v>1178</v>
      </c>
      <c r="ALE1" t="s">
        <v>1179</v>
      </c>
      <c r="ALF1" t="s">
        <v>1180</v>
      </c>
      <c r="ALG1" t="s">
        <v>1181</v>
      </c>
      <c r="ALH1" t="s">
        <v>1182</v>
      </c>
      <c r="ALI1" t="s">
        <v>1183</v>
      </c>
      <c r="ALJ1" t="s">
        <v>1184</v>
      </c>
      <c r="ALK1" t="s">
        <v>1185</v>
      </c>
      <c r="ALL1" t="s">
        <v>1186</v>
      </c>
      <c r="ALM1" t="s">
        <v>1187</v>
      </c>
      <c r="ALN1" t="s">
        <v>1188</v>
      </c>
      <c r="ALO1" t="s">
        <v>1189</v>
      </c>
      <c r="ALP1" t="s">
        <v>1190</v>
      </c>
      <c r="ALQ1" t="s">
        <v>1191</v>
      </c>
      <c r="ALR1" t="s">
        <v>1192</v>
      </c>
      <c r="ALS1" t="s">
        <v>1193</v>
      </c>
      <c r="ALT1" t="s">
        <v>1194</v>
      </c>
      <c r="ALU1" t="s">
        <v>1195</v>
      </c>
      <c r="ALV1" t="s">
        <v>1196</v>
      </c>
      <c r="ALW1" t="s">
        <v>1197</v>
      </c>
      <c r="ALX1" t="s">
        <v>1198</v>
      </c>
      <c r="ALY1" t="s">
        <v>1199</v>
      </c>
      <c r="ALZ1" t="s">
        <v>1200</v>
      </c>
      <c r="AMA1" t="s">
        <v>1201</v>
      </c>
      <c r="AMB1" t="s">
        <v>1202</v>
      </c>
      <c r="AMC1" t="s">
        <v>1203</v>
      </c>
      <c r="AMD1" t="s">
        <v>1204</v>
      </c>
      <c r="AME1" t="s">
        <v>1205</v>
      </c>
      <c r="AMF1" t="s">
        <v>1206</v>
      </c>
      <c r="AMG1" t="s">
        <v>1207</v>
      </c>
      <c r="AMH1" t="s">
        <v>1208</v>
      </c>
      <c r="AMI1" t="s">
        <v>1209</v>
      </c>
      <c r="AMJ1" t="s">
        <v>1210</v>
      </c>
      <c r="AMK1" t="s">
        <v>1211</v>
      </c>
      <c r="AML1" t="s">
        <v>1212</v>
      </c>
      <c r="AMM1" t="s">
        <v>1213</v>
      </c>
      <c r="AMN1" t="s">
        <v>1214</v>
      </c>
      <c r="AMO1" t="s">
        <v>1215</v>
      </c>
      <c r="AMP1" t="s">
        <v>1216</v>
      </c>
      <c r="AMQ1" t="s">
        <v>1217</v>
      </c>
      <c r="AMR1" t="s">
        <v>1218</v>
      </c>
      <c r="AMS1" t="s">
        <v>1219</v>
      </c>
      <c r="AMT1" t="s">
        <v>1220</v>
      </c>
      <c r="AMU1" t="s">
        <v>1221</v>
      </c>
      <c r="AMV1" t="s">
        <v>1222</v>
      </c>
      <c r="AMW1" t="s">
        <v>1223</v>
      </c>
      <c r="AMX1" t="s">
        <v>1224</v>
      </c>
      <c r="AMY1" t="s">
        <v>1225</v>
      </c>
      <c r="AMZ1" t="s">
        <v>1226</v>
      </c>
      <c r="ANA1" t="s">
        <v>1227</v>
      </c>
      <c r="ANB1" t="s">
        <v>1228</v>
      </c>
      <c r="ANC1" t="s">
        <v>1229</v>
      </c>
      <c r="AND1" t="s">
        <v>1230</v>
      </c>
      <c r="ANE1" t="s">
        <v>1231</v>
      </c>
      <c r="ANF1" t="s">
        <v>1232</v>
      </c>
      <c r="ANG1" t="s">
        <v>1233</v>
      </c>
      <c r="ANH1" t="s">
        <v>1234</v>
      </c>
      <c r="ANI1" t="s">
        <v>1235</v>
      </c>
      <c r="ANJ1" t="s">
        <v>1236</v>
      </c>
      <c r="ANK1" t="s">
        <v>1237</v>
      </c>
      <c r="ANL1" t="s">
        <v>1238</v>
      </c>
      <c r="ANM1" t="s">
        <v>1239</v>
      </c>
      <c r="ANN1" t="s">
        <v>1240</v>
      </c>
      <c r="ANO1" t="s">
        <v>1241</v>
      </c>
      <c r="ANP1" t="s">
        <v>1242</v>
      </c>
      <c r="ANQ1" t="s">
        <v>1243</v>
      </c>
      <c r="ANR1" t="s">
        <v>1244</v>
      </c>
      <c r="ANS1" t="s">
        <v>1245</v>
      </c>
      <c r="ANT1" t="s">
        <v>1246</v>
      </c>
      <c r="ANU1" t="s">
        <v>1247</v>
      </c>
      <c r="ANV1" t="s">
        <v>1248</v>
      </c>
      <c r="ANW1" t="s">
        <v>1249</v>
      </c>
      <c r="ANX1" t="s">
        <v>1250</v>
      </c>
      <c r="ANY1" t="s">
        <v>1251</v>
      </c>
      <c r="ANZ1" t="s">
        <v>1252</v>
      </c>
      <c r="AOA1" t="s">
        <v>1253</v>
      </c>
      <c r="AOB1" t="s">
        <v>1254</v>
      </c>
      <c r="AOC1" t="s">
        <v>1255</v>
      </c>
      <c r="AOD1" t="s">
        <v>1256</v>
      </c>
      <c r="AOE1" t="s">
        <v>1257</v>
      </c>
      <c r="AOF1" t="s">
        <v>1258</v>
      </c>
      <c r="AOG1" t="s">
        <v>1259</v>
      </c>
      <c r="AOH1" t="s">
        <v>1260</v>
      </c>
      <c r="AOI1" t="s">
        <v>1261</v>
      </c>
      <c r="AOJ1" t="s">
        <v>1262</v>
      </c>
      <c r="AOK1" t="s">
        <v>1263</v>
      </c>
      <c r="AOL1" t="s">
        <v>1264</v>
      </c>
      <c r="AOM1" t="s">
        <v>1265</v>
      </c>
      <c r="AON1" t="s">
        <v>1266</v>
      </c>
      <c r="AOO1" t="s">
        <v>1267</v>
      </c>
      <c r="AOP1" t="s">
        <v>1268</v>
      </c>
      <c r="AOQ1" t="s">
        <v>1269</v>
      </c>
      <c r="AOR1" t="s">
        <v>1270</v>
      </c>
      <c r="AOS1" t="s">
        <v>1271</v>
      </c>
      <c r="AOT1" t="s">
        <v>1272</v>
      </c>
      <c r="AOU1" t="s">
        <v>1273</v>
      </c>
      <c r="AOV1" t="s">
        <v>1274</v>
      </c>
      <c r="AOW1" t="s">
        <v>1275</v>
      </c>
      <c r="AOX1" t="s">
        <v>1276</v>
      </c>
      <c r="AOY1" t="s">
        <v>1277</v>
      </c>
      <c r="AOZ1" t="s">
        <v>1278</v>
      </c>
      <c r="APA1" t="s">
        <v>1279</v>
      </c>
      <c r="APB1" t="s">
        <v>1280</v>
      </c>
      <c r="APC1" t="s">
        <v>1281</v>
      </c>
      <c r="APD1" t="s">
        <v>1282</v>
      </c>
      <c r="APE1" t="s">
        <v>1283</v>
      </c>
      <c r="APF1" t="s">
        <v>1284</v>
      </c>
      <c r="APG1" t="s">
        <v>1285</v>
      </c>
      <c r="APH1" t="s">
        <v>1286</v>
      </c>
      <c r="API1" t="s">
        <v>1287</v>
      </c>
      <c r="APJ1" t="s">
        <v>1288</v>
      </c>
      <c r="APK1" t="s">
        <v>1289</v>
      </c>
      <c r="APL1" t="s">
        <v>1290</v>
      </c>
      <c r="APM1" t="s">
        <v>1291</v>
      </c>
      <c r="APN1" t="s">
        <v>1292</v>
      </c>
      <c r="APO1" t="s">
        <v>1293</v>
      </c>
      <c r="APP1" t="s">
        <v>1294</v>
      </c>
      <c r="APQ1" t="s">
        <v>1295</v>
      </c>
      <c r="APR1" t="s">
        <v>1296</v>
      </c>
      <c r="APS1" t="s">
        <v>1297</v>
      </c>
      <c r="APT1" t="s">
        <v>1298</v>
      </c>
      <c r="APU1" t="s">
        <v>1299</v>
      </c>
      <c r="APV1" t="s">
        <v>1300</v>
      </c>
      <c r="APW1" t="s">
        <v>1301</v>
      </c>
      <c r="APX1" t="s">
        <v>1302</v>
      </c>
      <c r="APY1" t="s">
        <v>1303</v>
      </c>
      <c r="APZ1" t="s">
        <v>1304</v>
      </c>
      <c r="AQA1" t="s">
        <v>1305</v>
      </c>
      <c r="AQB1" t="s">
        <v>1306</v>
      </c>
      <c r="AQC1" t="s">
        <v>1307</v>
      </c>
      <c r="AQD1" t="s">
        <v>1308</v>
      </c>
      <c r="AQE1" t="s">
        <v>1309</v>
      </c>
      <c r="AQF1" t="s">
        <v>1310</v>
      </c>
      <c r="AQG1" t="s">
        <v>1311</v>
      </c>
      <c r="AQH1" t="s">
        <v>1312</v>
      </c>
      <c r="AQI1" t="s">
        <v>1313</v>
      </c>
      <c r="AQJ1" t="s">
        <v>1314</v>
      </c>
      <c r="AQK1" t="s">
        <v>1315</v>
      </c>
      <c r="AQL1" t="s">
        <v>1316</v>
      </c>
      <c r="AQM1" t="s">
        <v>1317</v>
      </c>
      <c r="AQN1" t="s">
        <v>1318</v>
      </c>
      <c r="AQO1" t="s">
        <v>1319</v>
      </c>
      <c r="AQP1" t="s">
        <v>1320</v>
      </c>
      <c r="AQQ1" t="s">
        <v>1321</v>
      </c>
      <c r="AQR1" t="s">
        <v>1322</v>
      </c>
      <c r="AQS1" t="s">
        <v>1323</v>
      </c>
      <c r="AQT1" t="s">
        <v>1324</v>
      </c>
      <c r="AQU1" t="s">
        <v>1325</v>
      </c>
      <c r="AQV1" t="s">
        <v>1326</v>
      </c>
      <c r="AQW1" t="s">
        <v>1327</v>
      </c>
      <c r="AQX1" t="s">
        <v>1328</v>
      </c>
      <c r="AQY1" t="s">
        <v>1329</v>
      </c>
      <c r="AQZ1" t="s">
        <v>1330</v>
      </c>
      <c r="ARA1" t="s">
        <v>1331</v>
      </c>
      <c r="ARB1" t="s">
        <v>1332</v>
      </c>
      <c r="ARC1" t="s">
        <v>1333</v>
      </c>
      <c r="ARD1" t="s">
        <v>1334</v>
      </c>
      <c r="ARE1" t="s">
        <v>1335</v>
      </c>
      <c r="ARF1" t="s">
        <v>1336</v>
      </c>
      <c r="ARG1" t="s">
        <v>1337</v>
      </c>
      <c r="ARH1" t="s">
        <v>1338</v>
      </c>
      <c r="ARI1" t="s">
        <v>1339</v>
      </c>
      <c r="ARJ1" t="s">
        <v>1340</v>
      </c>
      <c r="ARK1" t="s">
        <v>1341</v>
      </c>
      <c r="ARL1" t="s">
        <v>1342</v>
      </c>
      <c r="ARM1" t="s">
        <v>1343</v>
      </c>
      <c r="ARN1" t="s">
        <v>1344</v>
      </c>
      <c r="ARO1" t="s">
        <v>1345</v>
      </c>
      <c r="ARP1" t="s">
        <v>1346</v>
      </c>
      <c r="ARQ1" t="s">
        <v>1347</v>
      </c>
      <c r="ARR1" t="s">
        <v>1348</v>
      </c>
      <c r="ARS1" t="s">
        <v>1349</v>
      </c>
      <c r="ART1" t="s">
        <v>1350</v>
      </c>
      <c r="ARU1" t="s">
        <v>1351</v>
      </c>
      <c r="ARV1" t="s">
        <v>1352</v>
      </c>
      <c r="ARW1" t="s">
        <v>1353</v>
      </c>
      <c r="ARX1" t="s">
        <v>1354</v>
      </c>
      <c r="ARY1" t="s">
        <v>1355</v>
      </c>
      <c r="ARZ1" t="s">
        <v>1356</v>
      </c>
      <c r="ASA1" t="s">
        <v>1357</v>
      </c>
      <c r="ASB1" t="s">
        <v>1358</v>
      </c>
      <c r="ASC1" t="s">
        <v>1359</v>
      </c>
      <c r="ASD1" t="s">
        <v>1360</v>
      </c>
      <c r="ASE1" t="s">
        <v>1361</v>
      </c>
      <c r="ASF1" t="s">
        <v>1362</v>
      </c>
      <c r="ASG1" t="s">
        <v>1363</v>
      </c>
      <c r="ASH1" t="s">
        <v>1364</v>
      </c>
      <c r="ASI1" t="s">
        <v>1365</v>
      </c>
      <c r="ASJ1" t="s">
        <v>1366</v>
      </c>
      <c r="ASK1" t="s">
        <v>1367</v>
      </c>
      <c r="ASL1" t="s">
        <v>1368</v>
      </c>
      <c r="ASM1" t="s">
        <v>1369</v>
      </c>
      <c r="ASN1" t="s">
        <v>1370</v>
      </c>
      <c r="ASO1" t="s">
        <v>1371</v>
      </c>
      <c r="ASP1" t="s">
        <v>1372</v>
      </c>
      <c r="ASQ1" t="s">
        <v>1373</v>
      </c>
      <c r="ASR1" t="s">
        <v>1374</v>
      </c>
      <c r="ASS1" t="s">
        <v>1375</v>
      </c>
      <c r="AST1" t="s">
        <v>1376</v>
      </c>
      <c r="ASU1" t="s">
        <v>1377</v>
      </c>
      <c r="ASV1" t="s">
        <v>1378</v>
      </c>
      <c r="ASW1" t="s">
        <v>1379</v>
      </c>
      <c r="ASX1" t="s">
        <v>1380</v>
      </c>
      <c r="ASY1" t="s">
        <v>1381</v>
      </c>
      <c r="ASZ1" t="s">
        <v>1382</v>
      </c>
      <c r="ATA1" t="s">
        <v>1383</v>
      </c>
      <c r="ATB1" t="s">
        <v>1384</v>
      </c>
      <c r="ATC1" t="s">
        <v>1385</v>
      </c>
      <c r="ATD1" t="s">
        <v>1386</v>
      </c>
      <c r="ATE1" t="s">
        <v>1387</v>
      </c>
      <c r="ATF1" t="s">
        <v>1388</v>
      </c>
      <c r="ATG1" t="s">
        <v>1389</v>
      </c>
      <c r="ATH1" t="s">
        <v>1390</v>
      </c>
      <c r="ATI1" t="s">
        <v>1391</v>
      </c>
      <c r="ATJ1" t="s">
        <v>1392</v>
      </c>
      <c r="ATK1" t="s">
        <v>1393</v>
      </c>
      <c r="ATL1" t="s">
        <v>1394</v>
      </c>
      <c r="ATM1" t="s">
        <v>1395</v>
      </c>
      <c r="ATN1" t="s">
        <v>1396</v>
      </c>
      <c r="ATO1" t="s">
        <v>1397</v>
      </c>
      <c r="ATP1" t="s">
        <v>1398</v>
      </c>
      <c r="ATQ1" t="s">
        <v>1399</v>
      </c>
      <c r="ATR1" t="s">
        <v>1400</v>
      </c>
      <c r="ATS1" t="s">
        <v>1401</v>
      </c>
      <c r="ATT1" t="s">
        <v>1402</v>
      </c>
      <c r="ATU1" t="s">
        <v>1403</v>
      </c>
      <c r="ATV1" t="s">
        <v>1404</v>
      </c>
      <c r="ATW1" t="s">
        <v>1405</v>
      </c>
      <c r="ATX1" t="s">
        <v>1406</v>
      </c>
      <c r="ATY1" t="s">
        <v>1407</v>
      </c>
      <c r="ATZ1" t="s">
        <v>1408</v>
      </c>
      <c r="AUA1" t="s">
        <v>1409</v>
      </c>
      <c r="AUB1" t="s">
        <v>1410</v>
      </c>
      <c r="AUC1" t="s">
        <v>1411</v>
      </c>
      <c r="AUD1" t="s">
        <v>1412</v>
      </c>
      <c r="AUE1" t="s">
        <v>1413</v>
      </c>
      <c r="AUF1" t="s">
        <v>1414</v>
      </c>
      <c r="AUG1" t="s">
        <v>1415</v>
      </c>
      <c r="AUH1" t="s">
        <v>1416</v>
      </c>
      <c r="AUI1" t="s">
        <v>1417</v>
      </c>
      <c r="AUJ1" t="s">
        <v>1418</v>
      </c>
      <c r="AUK1" t="s">
        <v>1419</v>
      </c>
      <c r="AUL1" t="s">
        <v>1420</v>
      </c>
      <c r="AUM1" t="s">
        <v>1421</v>
      </c>
      <c r="AUN1" t="s">
        <v>1422</v>
      </c>
      <c r="AUO1" t="s">
        <v>1423</v>
      </c>
      <c r="AUP1" t="s">
        <v>1424</v>
      </c>
      <c r="AUQ1" t="s">
        <v>1425</v>
      </c>
      <c r="AUR1" t="s">
        <v>1426</v>
      </c>
      <c r="AUS1" t="s">
        <v>1427</v>
      </c>
      <c r="AUT1" t="s">
        <v>1428</v>
      </c>
      <c r="AUU1" t="s">
        <v>1429</v>
      </c>
      <c r="AUV1" t="s">
        <v>1430</v>
      </c>
      <c r="AUW1" t="s">
        <v>1431</v>
      </c>
      <c r="AUX1" t="s">
        <v>1432</v>
      </c>
      <c r="AUY1" t="s">
        <v>1433</v>
      </c>
      <c r="AUZ1" t="s">
        <v>1434</v>
      </c>
      <c r="AVA1" t="s">
        <v>1435</v>
      </c>
      <c r="AVB1" t="s">
        <v>1436</v>
      </c>
      <c r="AVC1" t="s">
        <v>1437</v>
      </c>
      <c r="AVD1" t="s">
        <v>1438</v>
      </c>
      <c r="AVE1" t="s">
        <v>1439</v>
      </c>
      <c r="AVF1" t="s">
        <v>1440</v>
      </c>
      <c r="AVG1" t="s">
        <v>1441</v>
      </c>
      <c r="AVH1" t="s">
        <v>1442</v>
      </c>
      <c r="AVI1" t="s">
        <v>1443</v>
      </c>
      <c r="AVJ1" t="s">
        <v>1444</v>
      </c>
      <c r="AVK1" t="s">
        <v>1445</v>
      </c>
      <c r="AVL1" t="s">
        <v>1446</v>
      </c>
      <c r="AVM1" t="s">
        <v>1447</v>
      </c>
      <c r="AVN1" t="s">
        <v>1448</v>
      </c>
      <c r="AVO1" t="s">
        <v>1449</v>
      </c>
      <c r="AVP1" t="s">
        <v>1450</v>
      </c>
      <c r="AVQ1" t="s">
        <v>1451</v>
      </c>
      <c r="AVR1" t="s">
        <v>1452</v>
      </c>
      <c r="AVS1" t="s">
        <v>1453</v>
      </c>
      <c r="AVT1" t="s">
        <v>1454</v>
      </c>
      <c r="AVU1" t="s">
        <v>1455</v>
      </c>
      <c r="AVV1" t="s">
        <v>1456</v>
      </c>
      <c r="AVW1" t="s">
        <v>1457</v>
      </c>
      <c r="AVX1" t="s">
        <v>1458</v>
      </c>
      <c r="AVY1" t="s">
        <v>1459</v>
      </c>
      <c r="AVZ1" t="s">
        <v>1460</v>
      </c>
      <c r="AWA1" t="s">
        <v>1461</v>
      </c>
      <c r="AWB1" t="s">
        <v>1462</v>
      </c>
      <c r="AWC1" t="s">
        <v>1463</v>
      </c>
      <c r="AWD1" t="s">
        <v>1464</v>
      </c>
      <c r="AWE1" t="s">
        <v>1465</v>
      </c>
      <c r="AWF1" t="s">
        <v>1466</v>
      </c>
      <c r="AWG1" t="s">
        <v>1467</v>
      </c>
      <c r="AWH1" t="s">
        <v>1468</v>
      </c>
      <c r="AWI1" t="s">
        <v>1469</v>
      </c>
      <c r="AWJ1" t="s">
        <v>1470</v>
      </c>
      <c r="AWK1" t="s">
        <v>1471</v>
      </c>
      <c r="AWL1" t="s">
        <v>1472</v>
      </c>
      <c r="AWM1" t="s">
        <v>1473</v>
      </c>
      <c r="AWN1" t="s">
        <v>1474</v>
      </c>
      <c r="AWO1" t="s">
        <v>1475</v>
      </c>
      <c r="AWP1" t="s">
        <v>1476</v>
      </c>
      <c r="AWQ1" t="s">
        <v>1477</v>
      </c>
      <c r="AWR1" t="s">
        <v>1478</v>
      </c>
      <c r="AWS1" t="s">
        <v>1479</v>
      </c>
      <c r="AWT1" t="s">
        <v>1480</v>
      </c>
      <c r="AWU1" t="s">
        <v>1481</v>
      </c>
      <c r="AWV1" t="s">
        <v>1482</v>
      </c>
      <c r="AWW1" t="s">
        <v>1483</v>
      </c>
      <c r="AWX1" t="s">
        <v>1484</v>
      </c>
      <c r="AWY1" t="s">
        <v>1485</v>
      </c>
      <c r="AWZ1" t="s">
        <v>1486</v>
      </c>
      <c r="AXA1" t="s">
        <v>1487</v>
      </c>
      <c r="AXB1" t="s">
        <v>1488</v>
      </c>
      <c r="AXC1" t="s">
        <v>1489</v>
      </c>
      <c r="AXD1" t="s">
        <v>1490</v>
      </c>
      <c r="AXE1" t="s">
        <v>1491</v>
      </c>
      <c r="AXF1" t="s">
        <v>1492</v>
      </c>
      <c r="AXG1" t="s">
        <v>1493</v>
      </c>
      <c r="AXH1" t="s">
        <v>1494</v>
      </c>
      <c r="AXI1" t="s">
        <v>1495</v>
      </c>
      <c r="AXJ1" t="s">
        <v>1496</v>
      </c>
      <c r="AXK1" t="s">
        <v>1497</v>
      </c>
      <c r="AXL1" t="s">
        <v>1498</v>
      </c>
      <c r="AXM1" t="s">
        <v>1499</v>
      </c>
      <c r="AXN1" t="s">
        <v>1500</v>
      </c>
      <c r="AXO1" t="s">
        <v>1501</v>
      </c>
      <c r="AXP1" t="s">
        <v>1502</v>
      </c>
      <c r="AXQ1" t="s">
        <v>1503</v>
      </c>
      <c r="AXR1" t="s">
        <v>1504</v>
      </c>
      <c r="AXS1" t="s">
        <v>1505</v>
      </c>
      <c r="AXT1" t="s">
        <v>1506</v>
      </c>
      <c r="AXU1" t="s">
        <v>1507</v>
      </c>
      <c r="AXV1" t="s">
        <v>1508</v>
      </c>
      <c r="AXW1" t="s">
        <v>1509</v>
      </c>
      <c r="AXX1" t="s">
        <v>1510</v>
      </c>
      <c r="AXY1" t="s">
        <v>1511</v>
      </c>
      <c r="AXZ1" t="s">
        <v>1512</v>
      </c>
      <c r="AYA1" t="s">
        <v>1513</v>
      </c>
      <c r="AYB1" t="s">
        <v>1514</v>
      </c>
      <c r="AYC1" t="s">
        <v>1515</v>
      </c>
      <c r="AYD1" t="s">
        <v>1516</v>
      </c>
      <c r="AYE1" t="s">
        <v>1517</v>
      </c>
      <c r="AYF1" t="s">
        <v>1518</v>
      </c>
      <c r="AYG1" t="s">
        <v>1519</v>
      </c>
      <c r="AYH1" t="s">
        <v>1520</v>
      </c>
      <c r="AYI1" t="s">
        <v>1521</v>
      </c>
      <c r="AYJ1" t="s">
        <v>1522</v>
      </c>
      <c r="AYK1" t="s">
        <v>1523</v>
      </c>
      <c r="AYL1" t="s">
        <v>1524</v>
      </c>
      <c r="AYM1" t="s">
        <v>1525</v>
      </c>
      <c r="AYN1" t="s">
        <v>1526</v>
      </c>
      <c r="AYO1" t="s">
        <v>1527</v>
      </c>
      <c r="AYP1" t="s">
        <v>1528</v>
      </c>
      <c r="AYQ1" t="s">
        <v>1529</v>
      </c>
      <c r="AYR1" t="s">
        <v>1530</v>
      </c>
      <c r="AYS1" t="s">
        <v>1531</v>
      </c>
      <c r="AYT1" t="s">
        <v>1532</v>
      </c>
      <c r="AYU1" t="s">
        <v>1533</v>
      </c>
      <c r="AYV1" t="s">
        <v>1534</v>
      </c>
      <c r="AYW1" t="s">
        <v>1535</v>
      </c>
      <c r="AYX1" t="s">
        <v>1536</v>
      </c>
      <c r="AYY1" t="s">
        <v>1537</v>
      </c>
      <c r="AYZ1" t="s">
        <v>1538</v>
      </c>
      <c r="AZA1" t="s">
        <v>1539</v>
      </c>
      <c r="AZB1" t="s">
        <v>1540</v>
      </c>
      <c r="AZC1" t="s">
        <v>1541</v>
      </c>
      <c r="AZD1" t="s">
        <v>1542</v>
      </c>
      <c r="AZE1" t="s">
        <v>1543</v>
      </c>
      <c r="AZF1" t="s">
        <v>1544</v>
      </c>
      <c r="AZG1" t="s">
        <v>1545</v>
      </c>
      <c r="AZH1" t="s">
        <v>1546</v>
      </c>
      <c r="AZI1" t="s">
        <v>1547</v>
      </c>
      <c r="AZJ1" t="s">
        <v>1548</v>
      </c>
      <c r="AZK1" t="s">
        <v>1549</v>
      </c>
      <c r="AZL1" t="s">
        <v>1550</v>
      </c>
      <c r="AZM1" t="s">
        <v>1551</v>
      </c>
      <c r="AZN1" t="s">
        <v>1552</v>
      </c>
      <c r="AZO1" t="s">
        <v>1553</v>
      </c>
      <c r="AZP1" t="s">
        <v>1554</v>
      </c>
      <c r="AZQ1" t="s">
        <v>1555</v>
      </c>
      <c r="AZR1" t="s">
        <v>1556</v>
      </c>
      <c r="AZS1" t="s">
        <v>1557</v>
      </c>
      <c r="AZT1" t="s">
        <v>1558</v>
      </c>
      <c r="AZU1" t="s">
        <v>1559</v>
      </c>
      <c r="AZV1" t="s">
        <v>1560</v>
      </c>
      <c r="AZW1" t="s">
        <v>1561</v>
      </c>
      <c r="AZX1" t="s">
        <v>1562</v>
      </c>
      <c r="AZY1" t="s">
        <v>1563</v>
      </c>
      <c r="AZZ1" t="s">
        <v>1564</v>
      </c>
      <c r="BAA1" t="s">
        <v>1565</v>
      </c>
      <c r="BAB1" t="s">
        <v>1566</v>
      </c>
      <c r="BAC1" t="s">
        <v>1567</v>
      </c>
      <c r="BAD1" t="s">
        <v>1568</v>
      </c>
      <c r="BAE1" t="s">
        <v>1569</v>
      </c>
      <c r="BAF1" t="s">
        <v>1570</v>
      </c>
      <c r="BAG1" t="s">
        <v>1571</v>
      </c>
      <c r="BAH1" t="s">
        <v>1572</v>
      </c>
      <c r="BAI1" t="s">
        <v>1573</v>
      </c>
      <c r="BAJ1" t="s">
        <v>1574</v>
      </c>
      <c r="BAK1" t="s">
        <v>1575</v>
      </c>
      <c r="BAL1" t="s">
        <v>1576</v>
      </c>
      <c r="BAM1" t="s">
        <v>1577</v>
      </c>
      <c r="BAN1" t="s">
        <v>1578</v>
      </c>
      <c r="BAO1" t="s">
        <v>1579</v>
      </c>
      <c r="BAP1" t="s">
        <v>1580</v>
      </c>
      <c r="BAQ1" t="s">
        <v>1581</v>
      </c>
      <c r="BAR1" t="s">
        <v>1582</v>
      </c>
      <c r="BAS1" t="s">
        <v>1583</v>
      </c>
      <c r="BAT1" t="s">
        <v>1584</v>
      </c>
      <c r="BAU1" t="s">
        <v>1585</v>
      </c>
      <c r="BAV1" t="s">
        <v>1586</v>
      </c>
      <c r="BAW1" t="s">
        <v>1587</v>
      </c>
      <c r="BAX1" t="s">
        <v>1588</v>
      </c>
      <c r="BAY1" t="s">
        <v>1589</v>
      </c>
      <c r="BAZ1" t="s">
        <v>1590</v>
      </c>
      <c r="BBA1" t="s">
        <v>1591</v>
      </c>
      <c r="BBB1" t="s">
        <v>1592</v>
      </c>
      <c r="BBC1" t="s">
        <v>1593</v>
      </c>
      <c r="BBD1" t="s">
        <v>1594</v>
      </c>
      <c r="BBE1" t="s">
        <v>1595</v>
      </c>
      <c r="BBF1" t="s">
        <v>1596</v>
      </c>
      <c r="BBG1" t="s">
        <v>1597</v>
      </c>
      <c r="BBH1" t="s">
        <v>1598</v>
      </c>
      <c r="BBI1" t="s">
        <v>1599</v>
      </c>
      <c r="BBJ1" t="s">
        <v>1600</v>
      </c>
      <c r="BBK1" t="s">
        <v>1601</v>
      </c>
      <c r="BBL1" t="s">
        <v>1602</v>
      </c>
      <c r="BBM1" t="s">
        <v>1603</v>
      </c>
      <c r="BBN1" t="s">
        <v>1604</v>
      </c>
      <c r="BBO1" t="s">
        <v>1605</v>
      </c>
      <c r="BBP1" t="s">
        <v>1606</v>
      </c>
      <c r="BBQ1" t="s">
        <v>1607</v>
      </c>
      <c r="BBR1" t="s">
        <v>1608</v>
      </c>
      <c r="BBS1" t="s">
        <v>1609</v>
      </c>
      <c r="BBT1" t="s">
        <v>1610</v>
      </c>
      <c r="BBU1" t="s">
        <v>1611</v>
      </c>
      <c r="BBV1" t="s">
        <v>1612</v>
      </c>
      <c r="BBW1" t="s">
        <v>1613</v>
      </c>
      <c r="BBX1" t="s">
        <v>1614</v>
      </c>
      <c r="BBY1" t="s">
        <v>1615</v>
      </c>
      <c r="BBZ1" t="s">
        <v>1616</v>
      </c>
      <c r="BCA1" t="s">
        <v>1617</v>
      </c>
      <c r="BCB1" t="s">
        <v>1618</v>
      </c>
      <c r="BCC1" t="s">
        <v>1619</v>
      </c>
      <c r="BCD1" t="s">
        <v>1620</v>
      </c>
      <c r="BCE1" t="s">
        <v>1621</v>
      </c>
      <c r="BCF1" t="s">
        <v>1622</v>
      </c>
      <c r="BCG1" t="s">
        <v>1623</v>
      </c>
      <c r="BCH1" t="s">
        <v>1624</v>
      </c>
      <c r="BCI1" t="s">
        <v>1625</v>
      </c>
      <c r="BCJ1" t="s">
        <v>1626</v>
      </c>
      <c r="BCK1" t="s">
        <v>1627</v>
      </c>
      <c r="BCL1" t="s">
        <v>1628</v>
      </c>
      <c r="BCM1" t="s">
        <v>1629</v>
      </c>
      <c r="BCN1" t="s">
        <v>1630</v>
      </c>
      <c r="BCO1" t="s">
        <v>1631</v>
      </c>
      <c r="BCP1" t="s">
        <v>1632</v>
      </c>
      <c r="BCQ1" t="s">
        <v>1633</v>
      </c>
      <c r="BCR1" t="s">
        <v>1634</v>
      </c>
      <c r="BCS1" t="s">
        <v>1635</v>
      </c>
      <c r="BCT1" t="s">
        <v>1636</v>
      </c>
      <c r="BCU1" t="s">
        <v>1637</v>
      </c>
      <c r="BCV1" t="s">
        <v>1638</v>
      </c>
      <c r="BCW1" t="s">
        <v>1639</v>
      </c>
      <c r="BCX1" t="s">
        <v>1640</v>
      </c>
      <c r="BCY1" t="s">
        <v>1641</v>
      </c>
      <c r="BCZ1" t="s">
        <v>1642</v>
      </c>
      <c r="BDA1" t="s">
        <v>1643</v>
      </c>
      <c r="BDB1" t="s">
        <v>1644</v>
      </c>
      <c r="BDC1" t="s">
        <v>1645</v>
      </c>
      <c r="BDD1" t="s">
        <v>1646</v>
      </c>
      <c r="BDE1" t="s">
        <v>1647</v>
      </c>
      <c r="BDF1" t="s">
        <v>1648</v>
      </c>
      <c r="BDG1" t="s">
        <v>1649</v>
      </c>
      <c r="BDH1" t="s">
        <v>1650</v>
      </c>
      <c r="BDI1" t="s">
        <v>1651</v>
      </c>
      <c r="BDJ1" t="s">
        <v>1652</v>
      </c>
      <c r="BDK1" t="s">
        <v>1653</v>
      </c>
      <c r="BDL1" t="s">
        <v>1654</v>
      </c>
      <c r="BDM1" t="s">
        <v>1655</v>
      </c>
      <c r="BDN1" t="s">
        <v>1656</v>
      </c>
      <c r="BDO1" t="s">
        <v>1657</v>
      </c>
      <c r="BDP1" t="s">
        <v>1658</v>
      </c>
      <c r="BDQ1" t="s">
        <v>1659</v>
      </c>
      <c r="BDR1" t="s">
        <v>1660</v>
      </c>
      <c r="BDS1" t="s">
        <v>1661</v>
      </c>
      <c r="BDT1" t="s">
        <v>1662</v>
      </c>
      <c r="BDU1" t="s">
        <v>1663</v>
      </c>
      <c r="BDV1" t="s">
        <v>1664</v>
      </c>
      <c r="BDW1" t="s">
        <v>1665</v>
      </c>
      <c r="BDX1" t="s">
        <v>1666</v>
      </c>
      <c r="BDY1" t="s">
        <v>1667</v>
      </c>
      <c r="BDZ1" t="s">
        <v>1668</v>
      </c>
      <c r="BEA1" t="s">
        <v>1669</v>
      </c>
      <c r="BEB1" t="s">
        <v>1670</v>
      </c>
      <c r="BEC1" t="s">
        <v>1671</v>
      </c>
      <c r="BED1" t="s">
        <v>1672</v>
      </c>
      <c r="BEE1" t="s">
        <v>1673</v>
      </c>
      <c r="BEF1" t="s">
        <v>1674</v>
      </c>
      <c r="BEG1" t="s">
        <v>1675</v>
      </c>
      <c r="BEH1" t="s">
        <v>1676</v>
      </c>
      <c r="BEI1" t="s">
        <v>1677</v>
      </c>
      <c r="BEJ1" t="s">
        <v>1678</v>
      </c>
      <c r="BEK1" t="s">
        <v>1679</v>
      </c>
      <c r="BEL1" t="s">
        <v>1680</v>
      </c>
      <c r="BEM1" t="s">
        <v>1681</v>
      </c>
      <c r="BEN1" t="s">
        <v>1682</v>
      </c>
      <c r="BEO1" t="s">
        <v>1683</v>
      </c>
      <c r="BEP1" t="s">
        <v>1684</v>
      </c>
      <c r="BEQ1" t="s">
        <v>1685</v>
      </c>
      <c r="BER1" t="s">
        <v>1686</v>
      </c>
      <c r="BES1" t="s">
        <v>1687</v>
      </c>
      <c r="BET1" t="s">
        <v>1688</v>
      </c>
      <c r="BEU1" t="s">
        <v>1689</v>
      </c>
      <c r="BEV1" t="s">
        <v>1690</v>
      </c>
      <c r="BEW1" t="s">
        <v>1691</v>
      </c>
      <c r="BEX1" t="s">
        <v>1692</v>
      </c>
      <c r="BEY1" t="s">
        <v>1693</v>
      </c>
      <c r="BEZ1" t="s">
        <v>1694</v>
      </c>
      <c r="BFA1" t="s">
        <v>1695</v>
      </c>
      <c r="BFB1" t="s">
        <v>1696</v>
      </c>
      <c r="BFC1" t="s">
        <v>1697</v>
      </c>
      <c r="BFD1" t="s">
        <v>1698</v>
      </c>
      <c r="BFE1" t="s">
        <v>1699</v>
      </c>
      <c r="BFF1" t="s">
        <v>1700</v>
      </c>
      <c r="BFG1" t="s">
        <v>1701</v>
      </c>
      <c r="BFH1" t="s">
        <v>1702</v>
      </c>
      <c r="BFI1" t="s">
        <v>1703</v>
      </c>
      <c r="BFJ1" t="s">
        <v>1704</v>
      </c>
      <c r="BFK1" t="s">
        <v>1705</v>
      </c>
      <c r="BFL1" t="s">
        <v>1706</v>
      </c>
      <c r="BFM1" t="s">
        <v>1707</v>
      </c>
      <c r="BFN1" t="s">
        <v>1708</v>
      </c>
      <c r="BFO1" t="s">
        <v>1709</v>
      </c>
      <c r="BFP1" t="s">
        <v>1710</v>
      </c>
      <c r="BFQ1" t="s">
        <v>1711</v>
      </c>
      <c r="BFR1" t="s">
        <v>1712</v>
      </c>
      <c r="BFS1" t="s">
        <v>1713</v>
      </c>
      <c r="BFT1" t="s">
        <v>1714</v>
      </c>
      <c r="BFU1" t="s">
        <v>1715</v>
      </c>
      <c r="BFV1" t="s">
        <v>1716</v>
      </c>
      <c r="BFW1" t="s">
        <v>1717</v>
      </c>
      <c r="BFX1" t="s">
        <v>1718</v>
      </c>
      <c r="BFY1" t="s">
        <v>1719</v>
      </c>
      <c r="BFZ1" t="s">
        <v>1720</v>
      </c>
      <c r="BGA1" t="s">
        <v>1721</v>
      </c>
      <c r="BGB1" t="s">
        <v>1722</v>
      </c>
      <c r="BGC1" t="s">
        <v>1723</v>
      </c>
      <c r="BGD1" t="s">
        <v>1724</v>
      </c>
      <c r="BGE1" t="s">
        <v>1725</v>
      </c>
      <c r="BGF1" t="s">
        <v>1726</v>
      </c>
      <c r="BGG1" t="s">
        <v>1727</v>
      </c>
      <c r="BGH1" t="s">
        <v>1728</v>
      </c>
      <c r="BGI1" t="s">
        <v>1729</v>
      </c>
      <c r="BGJ1" t="s">
        <v>1730</v>
      </c>
      <c r="BGK1" t="s">
        <v>1731</v>
      </c>
      <c r="BGL1" t="s">
        <v>1732</v>
      </c>
      <c r="BGM1" t="s">
        <v>1733</v>
      </c>
      <c r="BGN1" t="s">
        <v>1734</v>
      </c>
      <c r="BGO1" t="s">
        <v>1735</v>
      </c>
      <c r="BGP1" t="s">
        <v>1736</v>
      </c>
      <c r="BGQ1" t="s">
        <v>1737</v>
      </c>
      <c r="BGR1" t="s">
        <v>1738</v>
      </c>
      <c r="BGS1" t="s">
        <v>1739</v>
      </c>
      <c r="BGT1" t="s">
        <v>1740</v>
      </c>
      <c r="BGU1" t="s">
        <v>1741</v>
      </c>
      <c r="BGV1" t="s">
        <v>1742</v>
      </c>
      <c r="BGW1" t="s">
        <v>1743</v>
      </c>
      <c r="BGX1" t="s">
        <v>1744</v>
      </c>
      <c r="BGY1" t="s">
        <v>1745</v>
      </c>
      <c r="BGZ1" t="s">
        <v>1746</v>
      </c>
      <c r="BHA1" t="s">
        <v>1747</v>
      </c>
      <c r="BHB1" t="s">
        <v>1748</v>
      </c>
      <c r="BHC1" t="s">
        <v>1749</v>
      </c>
      <c r="BHD1" t="s">
        <v>1750</v>
      </c>
      <c r="BHE1" t="s">
        <v>1751</v>
      </c>
      <c r="BHF1" t="s">
        <v>1752</v>
      </c>
      <c r="BHG1" t="s">
        <v>1753</v>
      </c>
      <c r="BHH1" t="s">
        <v>1754</v>
      </c>
      <c r="BHI1" t="s">
        <v>1755</v>
      </c>
      <c r="BHJ1" t="s">
        <v>1756</v>
      </c>
      <c r="BHK1" t="s">
        <v>1757</v>
      </c>
      <c r="BHL1" t="s">
        <v>1758</v>
      </c>
      <c r="BHM1" t="s">
        <v>1759</v>
      </c>
      <c r="BHN1" t="s">
        <v>1760</v>
      </c>
      <c r="BHO1" t="s">
        <v>1761</v>
      </c>
      <c r="BHP1" t="s">
        <v>1762</v>
      </c>
      <c r="BHQ1" t="s">
        <v>1763</v>
      </c>
      <c r="BHR1" t="s">
        <v>1764</v>
      </c>
      <c r="BHS1" t="s">
        <v>1765</v>
      </c>
      <c r="BHT1" t="s">
        <v>1766</v>
      </c>
      <c r="BHU1" t="s">
        <v>1767</v>
      </c>
      <c r="BHV1" t="s">
        <v>1768</v>
      </c>
      <c r="BHW1" t="s">
        <v>1769</v>
      </c>
      <c r="BHX1" t="s">
        <v>1770</v>
      </c>
      <c r="BHY1" t="s">
        <v>1771</v>
      </c>
      <c r="BHZ1" t="s">
        <v>1772</v>
      </c>
      <c r="BIA1" t="s">
        <v>1773</v>
      </c>
      <c r="BIB1" t="s">
        <v>1774</v>
      </c>
      <c r="BIC1" t="s">
        <v>1775</v>
      </c>
      <c r="BID1" t="s">
        <v>1776</v>
      </c>
      <c r="BIE1" t="s">
        <v>1777</v>
      </c>
      <c r="BIF1" t="s">
        <v>1778</v>
      </c>
      <c r="BIG1" t="s">
        <v>1779</v>
      </c>
      <c r="BIH1" t="s">
        <v>1780</v>
      </c>
      <c r="BII1" t="s">
        <v>1781</v>
      </c>
      <c r="BIJ1" t="s">
        <v>1782</v>
      </c>
      <c r="BIK1" t="s">
        <v>1783</v>
      </c>
      <c r="BIL1" t="s">
        <v>1784</v>
      </c>
      <c r="BIM1" t="s">
        <v>1785</v>
      </c>
      <c r="BIN1" t="s">
        <v>1786</v>
      </c>
      <c r="BIO1" t="s">
        <v>1787</v>
      </c>
      <c r="BIP1" t="s">
        <v>1788</v>
      </c>
      <c r="BIQ1" t="s">
        <v>1789</v>
      </c>
      <c r="BIR1" t="s">
        <v>1790</v>
      </c>
      <c r="BIS1" t="s">
        <v>1791</v>
      </c>
      <c r="BIT1" t="s">
        <v>1792</v>
      </c>
      <c r="BIU1" t="s">
        <v>1793</v>
      </c>
      <c r="BIV1" t="s">
        <v>1794</v>
      </c>
      <c r="BIW1" t="s">
        <v>1795</v>
      </c>
      <c r="BIX1" t="s">
        <v>1796</v>
      </c>
      <c r="BIY1" t="s">
        <v>1797</v>
      </c>
      <c r="BIZ1" t="s">
        <v>1798</v>
      </c>
      <c r="BJA1" t="s">
        <v>1799</v>
      </c>
      <c r="BJB1" t="s">
        <v>1800</v>
      </c>
      <c r="BJC1" t="s">
        <v>1801</v>
      </c>
      <c r="BJD1" t="s">
        <v>1802</v>
      </c>
      <c r="BJE1" t="s">
        <v>1803</v>
      </c>
      <c r="BJF1" t="s">
        <v>1804</v>
      </c>
      <c r="BJG1" t="s">
        <v>1805</v>
      </c>
      <c r="BJH1" t="s">
        <v>1806</v>
      </c>
      <c r="BJI1" t="s">
        <v>1807</v>
      </c>
      <c r="BJJ1" t="s">
        <v>1808</v>
      </c>
      <c r="BJK1" t="s">
        <v>1809</v>
      </c>
      <c r="BJL1" t="s">
        <v>1810</v>
      </c>
      <c r="BJM1" t="s">
        <v>1811</v>
      </c>
      <c r="BJN1" t="s">
        <v>1812</v>
      </c>
      <c r="BJO1" t="s">
        <v>1813</v>
      </c>
      <c r="BJP1" t="s">
        <v>1814</v>
      </c>
      <c r="BJQ1" t="s">
        <v>1815</v>
      </c>
      <c r="BJR1" t="s">
        <v>1816</v>
      </c>
      <c r="BJS1" t="s">
        <v>1817</v>
      </c>
      <c r="BJT1" t="s">
        <v>1818</v>
      </c>
      <c r="BJU1" t="s">
        <v>1819</v>
      </c>
      <c r="BJV1" t="s">
        <v>1820</v>
      </c>
      <c r="BJW1" t="s">
        <v>1821</v>
      </c>
      <c r="BJX1" t="s">
        <v>1822</v>
      </c>
      <c r="BJY1" t="s">
        <v>1823</v>
      </c>
      <c r="BJZ1" t="s">
        <v>1824</v>
      </c>
      <c r="BKA1" t="s">
        <v>1825</v>
      </c>
      <c r="BKB1" t="s">
        <v>1826</v>
      </c>
      <c r="BKC1" t="s">
        <v>1827</v>
      </c>
      <c r="BKD1" t="s">
        <v>1828</v>
      </c>
      <c r="BKE1" t="s">
        <v>1829</v>
      </c>
      <c r="BKF1" t="s">
        <v>1830</v>
      </c>
      <c r="BKG1" t="s">
        <v>1831</v>
      </c>
      <c r="BKH1" t="s">
        <v>1832</v>
      </c>
      <c r="BKI1" t="s">
        <v>1833</v>
      </c>
      <c r="BKJ1" t="s">
        <v>1834</v>
      </c>
      <c r="BKK1" t="s">
        <v>1835</v>
      </c>
      <c r="BKL1" t="s">
        <v>1836</v>
      </c>
      <c r="BKM1" t="s">
        <v>1837</v>
      </c>
      <c r="BKN1" t="s">
        <v>1838</v>
      </c>
      <c r="BKO1" t="s">
        <v>1839</v>
      </c>
      <c r="BKP1" t="s">
        <v>1840</v>
      </c>
      <c r="BKQ1" t="s">
        <v>1841</v>
      </c>
      <c r="BKR1" t="s">
        <v>1842</v>
      </c>
      <c r="BKS1" t="s">
        <v>1843</v>
      </c>
      <c r="BKT1" t="s">
        <v>1844</v>
      </c>
      <c r="BKU1" t="s">
        <v>1845</v>
      </c>
      <c r="BKV1" t="s">
        <v>1846</v>
      </c>
      <c r="BKW1" t="s">
        <v>1847</v>
      </c>
      <c r="BKX1" t="s">
        <v>1848</v>
      </c>
      <c r="BKY1" t="s">
        <v>1849</v>
      </c>
      <c r="BKZ1" t="s">
        <v>1850</v>
      </c>
      <c r="BLA1" t="s">
        <v>1851</v>
      </c>
      <c r="BLB1" t="s">
        <v>1852</v>
      </c>
      <c r="BLC1" t="s">
        <v>1853</v>
      </c>
      <c r="BLD1" t="s">
        <v>1854</v>
      </c>
      <c r="BLE1" t="s">
        <v>1855</v>
      </c>
      <c r="BLF1" t="s">
        <v>1856</v>
      </c>
      <c r="BLG1" t="s">
        <v>1857</v>
      </c>
      <c r="BLH1" t="s">
        <v>1858</v>
      </c>
      <c r="BLI1" t="s">
        <v>1859</v>
      </c>
      <c r="BLJ1" t="s">
        <v>1860</v>
      </c>
      <c r="BLK1" t="s">
        <v>1861</v>
      </c>
      <c r="BLL1" t="s">
        <v>1862</v>
      </c>
      <c r="BLM1" t="s">
        <v>1863</v>
      </c>
      <c r="BLN1" t="s">
        <v>1864</v>
      </c>
      <c r="BLO1" t="s">
        <v>1865</v>
      </c>
      <c r="BLP1" t="s">
        <v>1866</v>
      </c>
      <c r="BLQ1" t="s">
        <v>1867</v>
      </c>
      <c r="BLR1" t="s">
        <v>1868</v>
      </c>
      <c r="BLS1" t="s">
        <v>1869</v>
      </c>
      <c r="BLT1" t="s">
        <v>1870</v>
      </c>
      <c r="BLU1" t="s">
        <v>1871</v>
      </c>
      <c r="BLV1" t="s">
        <v>1872</v>
      </c>
      <c r="BLW1" t="s">
        <v>1873</v>
      </c>
      <c r="BLX1" t="s">
        <v>1874</v>
      </c>
      <c r="BLY1" t="s">
        <v>1875</v>
      </c>
      <c r="BLZ1" t="s">
        <v>1876</v>
      </c>
      <c r="BMA1" t="s">
        <v>1877</v>
      </c>
      <c r="BMB1" t="s">
        <v>1878</v>
      </c>
      <c r="BMC1" t="s">
        <v>1879</v>
      </c>
      <c r="BMD1" t="s">
        <v>1880</v>
      </c>
      <c r="BME1" t="s">
        <v>1881</v>
      </c>
      <c r="BMF1" t="s">
        <v>1882</v>
      </c>
      <c r="BMG1" t="s">
        <v>1883</v>
      </c>
      <c r="BMH1" t="s">
        <v>1884</v>
      </c>
      <c r="BMI1" t="s">
        <v>1885</v>
      </c>
      <c r="BMJ1" t="s">
        <v>1886</v>
      </c>
      <c r="BMK1" t="s">
        <v>1887</v>
      </c>
      <c r="BML1" t="s">
        <v>1888</v>
      </c>
      <c r="BMM1" t="s">
        <v>1889</v>
      </c>
      <c r="BMN1" t="s">
        <v>1890</v>
      </c>
      <c r="BMO1" t="s">
        <v>1891</v>
      </c>
      <c r="BMP1" t="s">
        <v>1892</v>
      </c>
      <c r="BMQ1" t="s">
        <v>1893</v>
      </c>
      <c r="BMR1" t="s">
        <v>1894</v>
      </c>
      <c r="BMS1" t="s">
        <v>1895</v>
      </c>
      <c r="BMT1" t="s">
        <v>1896</v>
      </c>
      <c r="BMU1" t="s">
        <v>1897</v>
      </c>
      <c r="BMV1" t="s">
        <v>1898</v>
      </c>
      <c r="BMW1" t="s">
        <v>1899</v>
      </c>
      <c r="BMX1" t="s">
        <v>1900</v>
      </c>
      <c r="BMY1" t="s">
        <v>1901</v>
      </c>
      <c r="BMZ1" t="s">
        <v>1902</v>
      </c>
      <c r="BNA1" t="s">
        <v>1903</v>
      </c>
      <c r="BNB1" t="s">
        <v>1904</v>
      </c>
      <c r="BNC1" t="s">
        <v>1905</v>
      </c>
      <c r="BND1" t="s">
        <v>1906</v>
      </c>
      <c r="BNE1" t="s">
        <v>1907</v>
      </c>
      <c r="BNF1" t="s">
        <v>1908</v>
      </c>
      <c r="BNG1" t="s">
        <v>1909</v>
      </c>
      <c r="BNH1" t="s">
        <v>1910</v>
      </c>
      <c r="BNI1" t="s">
        <v>1911</v>
      </c>
      <c r="BNJ1" t="s">
        <v>1912</v>
      </c>
      <c r="BNK1" t="s">
        <v>1913</v>
      </c>
      <c r="BNL1" t="s">
        <v>1914</v>
      </c>
      <c r="BNM1" t="s">
        <v>1915</v>
      </c>
      <c r="BNN1" t="s">
        <v>1916</v>
      </c>
      <c r="BNO1" t="s">
        <v>1917</v>
      </c>
      <c r="BNP1" t="s">
        <v>1918</v>
      </c>
      <c r="BNQ1" t="s">
        <v>1919</v>
      </c>
      <c r="BNR1" t="s">
        <v>1920</v>
      </c>
      <c r="BNS1" t="s">
        <v>1921</v>
      </c>
      <c r="BNT1" t="s">
        <v>1922</v>
      </c>
      <c r="BNU1" t="s">
        <v>1923</v>
      </c>
      <c r="BNV1" t="s">
        <v>1924</v>
      </c>
      <c r="BNW1" t="s">
        <v>1925</v>
      </c>
      <c r="BNX1" t="s">
        <v>1926</v>
      </c>
      <c r="BNY1" t="s">
        <v>1927</v>
      </c>
      <c r="BNZ1" t="s">
        <v>1928</v>
      </c>
      <c r="BOA1" t="s">
        <v>1929</v>
      </c>
      <c r="BOB1" t="s">
        <v>1930</v>
      </c>
      <c r="BOC1" t="s">
        <v>1931</v>
      </c>
      <c r="BOD1" t="s">
        <v>1932</v>
      </c>
      <c r="BOE1" t="s">
        <v>1933</v>
      </c>
      <c r="BOF1" t="s">
        <v>1934</v>
      </c>
      <c r="BOG1" t="s">
        <v>1935</v>
      </c>
      <c r="BOH1" t="s">
        <v>1936</v>
      </c>
      <c r="BOI1" t="s">
        <v>1937</v>
      </c>
      <c r="BOJ1" t="s">
        <v>1938</v>
      </c>
      <c r="BOK1" t="s">
        <v>1939</v>
      </c>
      <c r="BOL1" t="s">
        <v>1940</v>
      </c>
      <c r="BOM1" t="s">
        <v>1941</v>
      </c>
      <c r="BON1" t="s">
        <v>1942</v>
      </c>
      <c r="BOO1" t="s">
        <v>1943</v>
      </c>
      <c r="BOP1" t="s">
        <v>1944</v>
      </c>
      <c r="BOQ1" t="s">
        <v>1945</v>
      </c>
      <c r="BOR1" t="s">
        <v>1946</v>
      </c>
      <c r="BOS1" t="s">
        <v>1947</v>
      </c>
      <c r="BOT1" t="s">
        <v>1948</v>
      </c>
      <c r="BOU1" t="s">
        <v>1949</v>
      </c>
      <c r="BOV1" t="s">
        <v>1950</v>
      </c>
      <c r="BOW1" t="s">
        <v>1951</v>
      </c>
      <c r="BOX1" t="s">
        <v>1952</v>
      </c>
      <c r="BOY1" t="s">
        <v>1953</v>
      </c>
      <c r="BOZ1" t="s">
        <v>1954</v>
      </c>
      <c r="BPA1" t="s">
        <v>1955</v>
      </c>
      <c r="BPB1" t="s">
        <v>1956</v>
      </c>
      <c r="BPC1" t="s">
        <v>1957</v>
      </c>
      <c r="BPD1" t="s">
        <v>1958</v>
      </c>
      <c r="BPE1" t="s">
        <v>1959</v>
      </c>
      <c r="BPF1" t="s">
        <v>1960</v>
      </c>
      <c r="BPG1" t="s">
        <v>1961</v>
      </c>
      <c r="BPH1" t="s">
        <v>1962</v>
      </c>
      <c r="BPI1" t="s">
        <v>1963</v>
      </c>
      <c r="BPJ1" t="s">
        <v>1964</v>
      </c>
      <c r="BPK1" t="s">
        <v>1965</v>
      </c>
      <c r="BPL1" t="s">
        <v>1966</v>
      </c>
      <c r="BPM1" t="s">
        <v>1967</v>
      </c>
      <c r="BPN1" t="s">
        <v>1968</v>
      </c>
      <c r="BPO1" t="s">
        <v>1969</v>
      </c>
      <c r="BPP1" t="s">
        <v>1970</v>
      </c>
      <c r="BPQ1" t="s">
        <v>1971</v>
      </c>
      <c r="BPR1" t="s">
        <v>1972</v>
      </c>
      <c r="BPS1" t="s">
        <v>1973</v>
      </c>
      <c r="BPT1" t="s">
        <v>1974</v>
      </c>
      <c r="BPU1" t="s">
        <v>1975</v>
      </c>
      <c r="BPV1" t="s">
        <v>1976</v>
      </c>
      <c r="BPW1" t="s">
        <v>1977</v>
      </c>
      <c r="BPX1" t="s">
        <v>1978</v>
      </c>
      <c r="BPY1" t="s">
        <v>1979</v>
      </c>
      <c r="BPZ1" t="s">
        <v>1980</v>
      </c>
      <c r="BQA1" t="s">
        <v>1981</v>
      </c>
      <c r="BQB1" t="s">
        <v>1982</v>
      </c>
      <c r="BQC1" t="s">
        <v>1983</v>
      </c>
      <c r="BQD1" t="s">
        <v>1984</v>
      </c>
      <c r="BQE1" t="s">
        <v>1985</v>
      </c>
      <c r="BQF1" t="s">
        <v>1986</v>
      </c>
      <c r="BQG1" t="s">
        <v>1987</v>
      </c>
      <c r="BQH1" t="s">
        <v>1988</v>
      </c>
      <c r="BQI1" t="s">
        <v>1989</v>
      </c>
      <c r="BQJ1" t="s">
        <v>1990</v>
      </c>
      <c r="BQK1" t="s">
        <v>1991</v>
      </c>
      <c r="BQL1" t="s">
        <v>1992</v>
      </c>
      <c r="BQM1" t="s">
        <v>1993</v>
      </c>
      <c r="BQN1" t="s">
        <v>1994</v>
      </c>
      <c r="BQO1" t="s">
        <v>1995</v>
      </c>
      <c r="BQP1" t="s">
        <v>1996</v>
      </c>
      <c r="BQQ1" t="s">
        <v>1997</v>
      </c>
      <c r="BQR1" t="s">
        <v>1998</v>
      </c>
      <c r="BQS1" t="s">
        <v>1999</v>
      </c>
      <c r="BQT1" t="s">
        <v>2000</v>
      </c>
      <c r="BQU1" t="s">
        <v>2001</v>
      </c>
      <c r="BQV1" t="s">
        <v>2002</v>
      </c>
      <c r="BQW1" t="s">
        <v>2003</v>
      </c>
      <c r="BQX1" t="s">
        <v>2004</v>
      </c>
      <c r="BQY1" t="s">
        <v>2005</v>
      </c>
      <c r="BQZ1" t="s">
        <v>2006</v>
      </c>
      <c r="BRA1" t="s">
        <v>2007</v>
      </c>
      <c r="BRB1" t="s">
        <v>2008</v>
      </c>
      <c r="BRC1" t="s">
        <v>2009</v>
      </c>
      <c r="BRD1" t="s">
        <v>2010</v>
      </c>
      <c r="BRE1" t="s">
        <v>2011</v>
      </c>
      <c r="BRF1" t="s">
        <v>2012</v>
      </c>
      <c r="BRG1" t="s">
        <v>2013</v>
      </c>
      <c r="BRH1" t="s">
        <v>2014</v>
      </c>
      <c r="BRI1" t="s">
        <v>2015</v>
      </c>
      <c r="BRJ1" t="s">
        <v>2016</v>
      </c>
      <c r="BRK1" t="s">
        <v>2017</v>
      </c>
      <c r="BRL1" t="s">
        <v>2018</v>
      </c>
      <c r="BRM1" t="s">
        <v>2019</v>
      </c>
      <c r="BRN1" t="s">
        <v>2020</v>
      </c>
      <c r="BRO1" t="s">
        <v>2021</v>
      </c>
      <c r="BRP1" t="s">
        <v>2022</v>
      </c>
      <c r="BRQ1" t="s">
        <v>2023</v>
      </c>
      <c r="BRR1" t="s">
        <v>2024</v>
      </c>
      <c r="BRS1" t="s">
        <v>2025</v>
      </c>
      <c r="BRT1" t="s">
        <v>2026</v>
      </c>
      <c r="BRU1" t="s">
        <v>2027</v>
      </c>
      <c r="BRV1" t="s">
        <v>2028</v>
      </c>
      <c r="BRW1" t="s">
        <v>2029</v>
      </c>
      <c r="BRX1" t="s">
        <v>2030</v>
      </c>
      <c r="BRY1" t="s">
        <v>2031</v>
      </c>
      <c r="BRZ1" t="s">
        <v>2032</v>
      </c>
      <c r="BSA1" t="s">
        <v>2033</v>
      </c>
      <c r="BSB1" t="s">
        <v>2034</v>
      </c>
      <c r="BSC1" t="s">
        <v>2035</v>
      </c>
      <c r="BSD1" t="s">
        <v>2036</v>
      </c>
      <c r="BSE1" t="s">
        <v>2037</v>
      </c>
      <c r="BSF1" t="s">
        <v>2038</v>
      </c>
      <c r="BSG1" t="s">
        <v>2039</v>
      </c>
      <c r="BSH1" t="s">
        <v>2040</v>
      </c>
      <c r="BSI1" t="s">
        <v>2041</v>
      </c>
      <c r="BSJ1" t="s">
        <v>2042</v>
      </c>
      <c r="BSK1" t="s">
        <v>2043</v>
      </c>
      <c r="BSL1" t="s">
        <v>2044</v>
      </c>
      <c r="BSM1" t="s">
        <v>2045</v>
      </c>
      <c r="BSN1" t="s">
        <v>2046</v>
      </c>
      <c r="BSO1" t="s">
        <v>2047</v>
      </c>
      <c r="BSP1" t="s">
        <v>2048</v>
      </c>
      <c r="BSQ1" t="s">
        <v>2049</v>
      </c>
      <c r="BSR1" t="s">
        <v>2050</v>
      </c>
      <c r="BSS1" t="s">
        <v>2051</v>
      </c>
      <c r="BST1" t="s">
        <v>2052</v>
      </c>
      <c r="BSU1" t="s">
        <v>2053</v>
      </c>
      <c r="BSV1" t="s">
        <v>2054</v>
      </c>
      <c r="BSW1" t="s">
        <v>2055</v>
      </c>
      <c r="BSX1" t="s">
        <v>2056</v>
      </c>
      <c r="BSY1" t="s">
        <v>2057</v>
      </c>
      <c r="BSZ1" t="s">
        <v>2058</v>
      </c>
      <c r="BTA1" t="s">
        <v>2059</v>
      </c>
      <c r="BTB1" t="s">
        <v>2060</v>
      </c>
      <c r="BTC1" t="s">
        <v>2061</v>
      </c>
      <c r="BTD1" t="s">
        <v>2062</v>
      </c>
      <c r="BTE1" t="s">
        <v>2063</v>
      </c>
      <c r="BTF1" t="s">
        <v>2064</v>
      </c>
      <c r="BTG1" t="s">
        <v>2065</v>
      </c>
      <c r="BTH1" t="s">
        <v>2066</v>
      </c>
      <c r="BTI1" t="s">
        <v>2067</v>
      </c>
      <c r="BTJ1" t="s">
        <v>2068</v>
      </c>
      <c r="BTK1" t="s">
        <v>2069</v>
      </c>
      <c r="BTL1" t="s">
        <v>2070</v>
      </c>
      <c r="BTM1" t="s">
        <v>2071</v>
      </c>
      <c r="BTN1" t="s">
        <v>2072</v>
      </c>
      <c r="BTO1" t="s">
        <v>2073</v>
      </c>
      <c r="BTP1" t="s">
        <v>2074</v>
      </c>
      <c r="BTQ1" t="s">
        <v>2075</v>
      </c>
      <c r="BTR1" t="s">
        <v>2076</v>
      </c>
      <c r="BTS1" t="s">
        <v>2077</v>
      </c>
      <c r="BTT1" t="s">
        <v>2078</v>
      </c>
      <c r="BTU1" t="s">
        <v>2079</v>
      </c>
      <c r="BTV1" t="s">
        <v>2080</v>
      </c>
      <c r="BTW1" t="s">
        <v>2081</v>
      </c>
      <c r="BTX1" t="s">
        <v>2082</v>
      </c>
      <c r="BTY1" t="s">
        <v>2083</v>
      </c>
      <c r="BTZ1" t="s">
        <v>2084</v>
      </c>
      <c r="BUA1" t="s">
        <v>2085</v>
      </c>
      <c r="BUB1" t="s">
        <v>2086</v>
      </c>
      <c r="BUC1" t="s">
        <v>2087</v>
      </c>
      <c r="BUD1" t="s">
        <v>2088</v>
      </c>
      <c r="BUE1" t="s">
        <v>2089</v>
      </c>
      <c r="BUF1" t="s">
        <v>2090</v>
      </c>
      <c r="BUG1" t="s">
        <v>2091</v>
      </c>
      <c r="BUH1" t="s">
        <v>2092</v>
      </c>
      <c r="BUI1" t="s">
        <v>2093</v>
      </c>
      <c r="BUJ1" t="s">
        <v>2094</v>
      </c>
      <c r="BUK1" t="s">
        <v>2095</v>
      </c>
      <c r="BUL1" t="s">
        <v>2096</v>
      </c>
      <c r="BUM1" t="s">
        <v>2097</v>
      </c>
      <c r="BUN1" t="s">
        <v>2098</v>
      </c>
      <c r="BUO1" t="s">
        <v>2099</v>
      </c>
      <c r="BUP1" t="s">
        <v>2100</v>
      </c>
      <c r="BUQ1" t="s">
        <v>2101</v>
      </c>
      <c r="BUR1" t="s">
        <v>2102</v>
      </c>
      <c r="BUS1" t="s">
        <v>2103</v>
      </c>
      <c r="BUT1" t="s">
        <v>2104</v>
      </c>
      <c r="BUU1" t="s">
        <v>2105</v>
      </c>
      <c r="BUV1" t="s">
        <v>2106</v>
      </c>
      <c r="BUW1" t="s">
        <v>2107</v>
      </c>
      <c r="BUX1" t="s">
        <v>2108</v>
      </c>
      <c r="BUY1" t="s">
        <v>2109</v>
      </c>
      <c r="BUZ1" t="s">
        <v>2110</v>
      </c>
      <c r="BVA1" t="s">
        <v>2111</v>
      </c>
      <c r="BVB1" t="s">
        <v>2112</v>
      </c>
      <c r="BVC1" t="s">
        <v>2113</v>
      </c>
      <c r="BVD1" t="s">
        <v>2114</v>
      </c>
      <c r="BVE1" t="s">
        <v>2115</v>
      </c>
      <c r="BVF1" t="s">
        <v>2116</v>
      </c>
      <c r="BVG1" t="s">
        <v>2117</v>
      </c>
      <c r="BVH1" t="s">
        <v>2118</v>
      </c>
      <c r="BVI1" t="s">
        <v>2119</v>
      </c>
      <c r="BVJ1" t="s">
        <v>2120</v>
      </c>
      <c r="BVK1" t="s">
        <v>2121</v>
      </c>
      <c r="BVL1" t="s">
        <v>2122</v>
      </c>
      <c r="BVM1" t="s">
        <v>2123</v>
      </c>
      <c r="BVN1" t="s">
        <v>2124</v>
      </c>
      <c r="BVO1" t="s">
        <v>2125</v>
      </c>
      <c r="BVP1" t="s">
        <v>2126</v>
      </c>
      <c r="BVQ1" t="s">
        <v>2127</v>
      </c>
      <c r="BVR1" t="s">
        <v>2128</v>
      </c>
      <c r="BVS1" t="s">
        <v>2129</v>
      </c>
      <c r="BVT1" t="s">
        <v>2130</v>
      </c>
      <c r="BVU1" t="s">
        <v>2131</v>
      </c>
      <c r="BVV1" t="s">
        <v>2132</v>
      </c>
      <c r="BVW1" t="s">
        <v>2133</v>
      </c>
      <c r="BVX1" t="s">
        <v>2134</v>
      </c>
      <c r="BVY1" t="s">
        <v>2135</v>
      </c>
      <c r="BVZ1" t="s">
        <v>2136</v>
      </c>
      <c r="BWA1" t="s">
        <v>2137</v>
      </c>
      <c r="BWB1" t="s">
        <v>2138</v>
      </c>
      <c r="BWC1" t="s">
        <v>2139</v>
      </c>
      <c r="BWD1" t="s">
        <v>2140</v>
      </c>
      <c r="BWE1" t="s">
        <v>2141</v>
      </c>
      <c r="BWF1" t="s">
        <v>2142</v>
      </c>
      <c r="BWG1" t="s">
        <v>2143</v>
      </c>
      <c r="BWH1" t="s">
        <v>2144</v>
      </c>
      <c r="BWI1" t="s">
        <v>2145</v>
      </c>
      <c r="BWJ1" t="s">
        <v>2146</v>
      </c>
      <c r="BWK1" t="s">
        <v>2147</v>
      </c>
      <c r="BWL1" t="s">
        <v>2148</v>
      </c>
      <c r="BWM1" t="s">
        <v>2149</v>
      </c>
      <c r="BWN1" t="s">
        <v>2150</v>
      </c>
      <c r="BWO1" t="s">
        <v>2151</v>
      </c>
      <c r="BWP1" t="s">
        <v>2152</v>
      </c>
      <c r="BWQ1" t="s">
        <v>2153</v>
      </c>
      <c r="BWR1" t="s">
        <v>2154</v>
      </c>
      <c r="BWS1" t="s">
        <v>2155</v>
      </c>
      <c r="BWT1" t="s">
        <v>2156</v>
      </c>
      <c r="BWU1" t="s">
        <v>2157</v>
      </c>
      <c r="BWV1" t="s">
        <v>2158</v>
      </c>
      <c r="BWW1" t="s">
        <v>2159</v>
      </c>
      <c r="BWX1" t="s">
        <v>2160</v>
      </c>
      <c r="BWY1" t="s">
        <v>2161</v>
      </c>
      <c r="BWZ1" t="s">
        <v>2162</v>
      </c>
      <c r="BXA1" t="s">
        <v>2163</v>
      </c>
      <c r="BXB1" t="s">
        <v>2164</v>
      </c>
      <c r="BXC1" t="s">
        <v>2165</v>
      </c>
      <c r="BXD1" t="s">
        <v>2166</v>
      </c>
      <c r="BXE1" t="s">
        <v>2167</v>
      </c>
      <c r="BXF1" t="s">
        <v>2168</v>
      </c>
      <c r="BXG1" t="s">
        <v>2169</v>
      </c>
      <c r="BXH1" t="s">
        <v>2170</v>
      </c>
      <c r="BXI1" t="s">
        <v>2171</v>
      </c>
      <c r="BXJ1" t="s">
        <v>2172</v>
      </c>
      <c r="BXK1" t="s">
        <v>2173</v>
      </c>
      <c r="BXL1" t="s">
        <v>2174</v>
      </c>
      <c r="BXM1" t="s">
        <v>2175</v>
      </c>
      <c r="BXN1" t="s">
        <v>2176</v>
      </c>
      <c r="BXO1" t="s">
        <v>2177</v>
      </c>
      <c r="BXP1" t="s">
        <v>2178</v>
      </c>
      <c r="BXQ1" t="s">
        <v>2179</v>
      </c>
      <c r="BXR1" t="s">
        <v>2180</v>
      </c>
      <c r="BXS1" t="s">
        <v>2181</v>
      </c>
      <c r="BXT1" t="s">
        <v>2182</v>
      </c>
      <c r="BXU1" t="s">
        <v>2183</v>
      </c>
      <c r="BXV1" t="s">
        <v>2184</v>
      </c>
      <c r="BXW1" t="s">
        <v>2185</v>
      </c>
      <c r="BXX1" t="s">
        <v>2186</v>
      </c>
      <c r="BXY1" t="s">
        <v>2187</v>
      </c>
      <c r="BXZ1" t="s">
        <v>2188</v>
      </c>
      <c r="BYA1" t="s">
        <v>2189</v>
      </c>
      <c r="BYB1" t="s">
        <v>2190</v>
      </c>
      <c r="BYC1" t="s">
        <v>2191</v>
      </c>
      <c r="BYD1" t="s">
        <v>2192</v>
      </c>
      <c r="BYE1" t="s">
        <v>2193</v>
      </c>
      <c r="BYF1" t="s">
        <v>2194</v>
      </c>
      <c r="BYG1" t="s">
        <v>2195</v>
      </c>
      <c r="BYH1" t="s">
        <v>2196</v>
      </c>
      <c r="BYI1" t="s">
        <v>2197</v>
      </c>
      <c r="BYJ1" t="s">
        <v>2198</v>
      </c>
      <c r="BYK1" t="s">
        <v>2199</v>
      </c>
      <c r="BYL1" t="s">
        <v>2200</v>
      </c>
      <c r="BYM1" t="s">
        <v>2201</v>
      </c>
      <c r="BYN1" t="s">
        <v>2202</v>
      </c>
      <c r="BYO1" t="s">
        <v>2203</v>
      </c>
      <c r="BYP1" t="s">
        <v>2204</v>
      </c>
      <c r="BYQ1" t="s">
        <v>2205</v>
      </c>
      <c r="BYR1" t="s">
        <v>2206</v>
      </c>
      <c r="BYS1" t="s">
        <v>2207</v>
      </c>
      <c r="BYT1" t="s">
        <v>2208</v>
      </c>
      <c r="BYU1" t="s">
        <v>2209</v>
      </c>
      <c r="BYV1" t="s">
        <v>2210</v>
      </c>
      <c r="BYW1" t="s">
        <v>2211</v>
      </c>
      <c r="BYX1" t="s">
        <v>2212</v>
      </c>
      <c r="BYY1" t="s">
        <v>2213</v>
      </c>
      <c r="BYZ1" t="s">
        <v>2214</v>
      </c>
      <c r="BZA1" t="s">
        <v>2215</v>
      </c>
      <c r="BZB1" t="s">
        <v>2216</v>
      </c>
      <c r="BZC1" t="s">
        <v>2217</v>
      </c>
      <c r="BZD1" t="s">
        <v>2218</v>
      </c>
      <c r="BZE1" t="s">
        <v>2219</v>
      </c>
      <c r="BZF1" t="s">
        <v>2220</v>
      </c>
      <c r="BZG1" t="s">
        <v>2221</v>
      </c>
      <c r="BZH1" t="s">
        <v>2222</v>
      </c>
      <c r="BZI1" t="s">
        <v>2223</v>
      </c>
      <c r="BZJ1" t="s">
        <v>2224</v>
      </c>
      <c r="BZK1" t="s">
        <v>2225</v>
      </c>
      <c r="BZL1" t="s">
        <v>2226</v>
      </c>
      <c r="BZM1" t="s">
        <v>2227</v>
      </c>
      <c r="BZN1" t="s">
        <v>2228</v>
      </c>
      <c r="BZO1" t="s">
        <v>2229</v>
      </c>
      <c r="BZP1" t="s">
        <v>2230</v>
      </c>
      <c r="BZQ1" t="s">
        <v>2231</v>
      </c>
      <c r="BZR1" t="s">
        <v>2232</v>
      </c>
      <c r="BZS1" t="s">
        <v>2233</v>
      </c>
      <c r="BZT1" t="s">
        <v>2234</v>
      </c>
      <c r="BZU1" t="s">
        <v>2235</v>
      </c>
      <c r="BZV1" t="s">
        <v>2236</v>
      </c>
      <c r="BZW1" t="s">
        <v>2237</v>
      </c>
      <c r="BZX1" t="s">
        <v>2238</v>
      </c>
      <c r="BZY1" t="s">
        <v>2239</v>
      </c>
      <c r="BZZ1" t="s">
        <v>2240</v>
      </c>
      <c r="CAA1" t="s">
        <v>2241</v>
      </c>
      <c r="CAB1" t="s">
        <v>2242</v>
      </c>
      <c r="CAC1" t="s">
        <v>2243</v>
      </c>
      <c r="CAD1" t="s">
        <v>2244</v>
      </c>
      <c r="CAE1" t="s">
        <v>2245</v>
      </c>
      <c r="CAF1" t="s">
        <v>2246</v>
      </c>
      <c r="CAG1" t="s">
        <v>2247</v>
      </c>
      <c r="CAH1" t="s">
        <v>2248</v>
      </c>
      <c r="CAI1" t="s">
        <v>2249</v>
      </c>
      <c r="CAJ1" t="s">
        <v>2250</v>
      </c>
      <c r="CAK1" t="s">
        <v>2251</v>
      </c>
      <c r="CAL1" t="s">
        <v>2252</v>
      </c>
      <c r="CAM1" t="s">
        <v>2253</v>
      </c>
      <c r="CAN1" t="s">
        <v>2254</v>
      </c>
      <c r="CAO1" t="s">
        <v>2255</v>
      </c>
      <c r="CAP1" t="s">
        <v>2256</v>
      </c>
      <c r="CAQ1" t="s">
        <v>2257</v>
      </c>
      <c r="CAR1" t="s">
        <v>2258</v>
      </c>
      <c r="CAS1" t="s">
        <v>2259</v>
      </c>
      <c r="CAT1" t="s">
        <v>2260</v>
      </c>
      <c r="CAU1" t="s">
        <v>2261</v>
      </c>
      <c r="CAV1" t="s">
        <v>2262</v>
      </c>
      <c r="CAW1" t="s">
        <v>2263</v>
      </c>
      <c r="CAX1" t="s">
        <v>2264</v>
      </c>
      <c r="CAY1" t="s">
        <v>2265</v>
      </c>
      <c r="CAZ1" t="s">
        <v>2266</v>
      </c>
      <c r="CBA1" t="s">
        <v>2267</v>
      </c>
      <c r="CBB1" t="s">
        <v>2268</v>
      </c>
      <c r="CBC1" t="s">
        <v>2269</v>
      </c>
      <c r="CBD1" t="s">
        <v>2270</v>
      </c>
      <c r="CBE1" t="s">
        <v>2271</v>
      </c>
      <c r="CBF1" t="s">
        <v>2272</v>
      </c>
      <c r="CBG1" t="s">
        <v>2273</v>
      </c>
      <c r="CBH1" t="s">
        <v>2274</v>
      </c>
      <c r="CBI1" t="s">
        <v>2275</v>
      </c>
      <c r="CBJ1" t="s">
        <v>2276</v>
      </c>
      <c r="CBK1" t="s">
        <v>2277</v>
      </c>
      <c r="CBL1" t="s">
        <v>2278</v>
      </c>
      <c r="CBM1" t="s">
        <v>2279</v>
      </c>
      <c r="CBN1" t="s">
        <v>2280</v>
      </c>
      <c r="CBO1" t="s">
        <v>2281</v>
      </c>
      <c r="CBP1" t="s">
        <v>2282</v>
      </c>
      <c r="CBQ1" t="s">
        <v>2283</v>
      </c>
      <c r="CBR1" t="s">
        <v>2284</v>
      </c>
      <c r="CBS1" t="s">
        <v>2285</v>
      </c>
      <c r="CBT1" t="s">
        <v>2286</v>
      </c>
      <c r="CBU1" t="s">
        <v>2287</v>
      </c>
      <c r="CBV1" t="s">
        <v>2288</v>
      </c>
      <c r="CBW1" t="s">
        <v>2289</v>
      </c>
      <c r="CBX1" t="s">
        <v>2290</v>
      </c>
      <c r="CBY1" t="s">
        <v>2291</v>
      </c>
      <c r="CBZ1" t="s">
        <v>2292</v>
      </c>
      <c r="CCA1" t="s">
        <v>2293</v>
      </c>
      <c r="CCB1" t="s">
        <v>2294</v>
      </c>
      <c r="CCC1" t="s">
        <v>2295</v>
      </c>
      <c r="CCD1" t="s">
        <v>2296</v>
      </c>
      <c r="CCE1" t="s">
        <v>2297</v>
      </c>
      <c r="CCF1" t="s">
        <v>2298</v>
      </c>
      <c r="CCG1" t="s">
        <v>2299</v>
      </c>
      <c r="CCH1" t="s">
        <v>2300</v>
      </c>
      <c r="CCI1" t="s">
        <v>2301</v>
      </c>
      <c r="CCJ1" t="s">
        <v>2302</v>
      </c>
      <c r="CCK1" t="s">
        <v>2303</v>
      </c>
      <c r="CCL1" t="s">
        <v>2304</v>
      </c>
      <c r="CCM1" t="s">
        <v>2305</v>
      </c>
      <c r="CCN1" t="s">
        <v>2306</v>
      </c>
      <c r="CCO1" t="s">
        <v>2307</v>
      </c>
      <c r="CCP1" t="s">
        <v>2308</v>
      </c>
      <c r="CCQ1" t="s">
        <v>2309</v>
      </c>
      <c r="CCR1" t="s">
        <v>2310</v>
      </c>
      <c r="CCS1" t="s">
        <v>2311</v>
      </c>
      <c r="CCT1" t="s">
        <v>2312</v>
      </c>
      <c r="CCU1" t="s">
        <v>2313</v>
      </c>
      <c r="CCV1" t="s">
        <v>2314</v>
      </c>
      <c r="CCW1" t="s">
        <v>2315</v>
      </c>
      <c r="CCX1" t="s">
        <v>2316</v>
      </c>
      <c r="CCY1" t="s">
        <v>2317</v>
      </c>
      <c r="CCZ1" t="s">
        <v>2318</v>
      </c>
      <c r="CDA1" t="s">
        <v>2319</v>
      </c>
      <c r="CDB1" t="s">
        <v>2320</v>
      </c>
      <c r="CDC1" t="s">
        <v>2321</v>
      </c>
      <c r="CDD1" t="s">
        <v>2322</v>
      </c>
      <c r="CDE1" t="s">
        <v>2323</v>
      </c>
      <c r="CDF1" t="s">
        <v>2324</v>
      </c>
      <c r="CDG1" t="s">
        <v>2325</v>
      </c>
      <c r="CDH1" t="s">
        <v>2326</v>
      </c>
      <c r="CDI1" t="s">
        <v>2327</v>
      </c>
      <c r="CDJ1" t="s">
        <v>2328</v>
      </c>
      <c r="CDK1" t="s">
        <v>2329</v>
      </c>
      <c r="CDL1" t="s">
        <v>2330</v>
      </c>
      <c r="CDM1" t="s">
        <v>2331</v>
      </c>
      <c r="CDN1" t="s">
        <v>2332</v>
      </c>
      <c r="CDO1" t="s">
        <v>2333</v>
      </c>
      <c r="CDP1" t="s">
        <v>2334</v>
      </c>
      <c r="CDQ1" t="s">
        <v>2335</v>
      </c>
      <c r="CDR1" t="s">
        <v>2336</v>
      </c>
      <c r="CDS1" t="s">
        <v>2337</v>
      </c>
      <c r="CDT1" t="s">
        <v>2338</v>
      </c>
      <c r="CDU1" t="s">
        <v>2339</v>
      </c>
      <c r="CDV1" t="s">
        <v>2340</v>
      </c>
      <c r="CDW1" t="s">
        <v>2341</v>
      </c>
      <c r="CDX1" t="s">
        <v>2342</v>
      </c>
      <c r="CDY1" t="s">
        <v>2343</v>
      </c>
      <c r="CDZ1" t="s">
        <v>2344</v>
      </c>
      <c r="CEA1" t="s">
        <v>2345</v>
      </c>
      <c r="CEB1" t="s">
        <v>2346</v>
      </c>
      <c r="CEC1" t="s">
        <v>2347</v>
      </c>
      <c r="CED1" t="s">
        <v>2348</v>
      </c>
      <c r="CEE1" t="s">
        <v>2349</v>
      </c>
      <c r="CEF1" t="s">
        <v>2350</v>
      </c>
      <c r="CEG1" t="s">
        <v>2351</v>
      </c>
      <c r="CEH1" t="s">
        <v>2352</v>
      </c>
      <c r="CEI1" t="s">
        <v>2353</v>
      </c>
      <c r="CEJ1" t="s">
        <v>2354</v>
      </c>
      <c r="CEK1" t="s">
        <v>2355</v>
      </c>
      <c r="CEL1" t="s">
        <v>2356</v>
      </c>
      <c r="CEM1" t="s">
        <v>2357</v>
      </c>
      <c r="CEN1" t="s">
        <v>2358</v>
      </c>
      <c r="CEO1" t="s">
        <v>2359</v>
      </c>
      <c r="CEP1" t="s">
        <v>2360</v>
      </c>
      <c r="CEQ1" t="s">
        <v>2361</v>
      </c>
      <c r="CER1" t="s">
        <v>2362</v>
      </c>
      <c r="CES1" t="s">
        <v>2363</v>
      </c>
      <c r="CET1" t="s">
        <v>2364</v>
      </c>
      <c r="CEU1" t="s">
        <v>2365</v>
      </c>
      <c r="CEV1" t="s">
        <v>2366</v>
      </c>
      <c r="CEW1" t="s">
        <v>2367</v>
      </c>
      <c r="CEX1" t="s">
        <v>2368</v>
      </c>
      <c r="CEY1" t="s">
        <v>2369</v>
      </c>
      <c r="CEZ1" t="s">
        <v>2370</v>
      </c>
      <c r="CFA1" t="s">
        <v>2371</v>
      </c>
      <c r="CFB1" t="s">
        <v>2372</v>
      </c>
      <c r="CFC1" t="s">
        <v>2373</v>
      </c>
      <c r="CFD1" t="s">
        <v>2374</v>
      </c>
      <c r="CFE1" t="s">
        <v>2375</v>
      </c>
      <c r="CFF1" t="s">
        <v>2376</v>
      </c>
      <c r="CFG1" t="s">
        <v>2377</v>
      </c>
      <c r="CFH1" t="s">
        <v>2378</v>
      </c>
      <c r="CFI1" t="s">
        <v>2379</v>
      </c>
      <c r="CFJ1" t="s">
        <v>2380</v>
      </c>
      <c r="CFK1" t="s">
        <v>2381</v>
      </c>
      <c r="CFL1" t="s">
        <v>2382</v>
      </c>
      <c r="CFM1" t="s">
        <v>2383</v>
      </c>
      <c r="CFN1" t="s">
        <v>2384</v>
      </c>
      <c r="CFO1" t="s">
        <v>2385</v>
      </c>
      <c r="CFP1" t="s">
        <v>2386</v>
      </c>
      <c r="CFQ1" t="s">
        <v>2387</v>
      </c>
      <c r="CFR1" t="s">
        <v>2388</v>
      </c>
      <c r="CFS1" t="s">
        <v>2389</v>
      </c>
      <c r="CFT1" t="s">
        <v>2390</v>
      </c>
      <c r="CFU1" t="s">
        <v>2391</v>
      </c>
      <c r="CFV1" t="s">
        <v>2392</v>
      </c>
      <c r="CFW1" t="s">
        <v>2393</v>
      </c>
      <c r="CFX1" t="s">
        <v>2394</v>
      </c>
      <c r="CFY1" t="s">
        <v>2395</v>
      </c>
      <c r="CFZ1" t="s">
        <v>2396</v>
      </c>
      <c r="CGA1" t="s">
        <v>2397</v>
      </c>
      <c r="CGB1" t="s">
        <v>2398</v>
      </c>
      <c r="CGC1" t="s">
        <v>2399</v>
      </c>
      <c r="CGD1" t="s">
        <v>2400</v>
      </c>
      <c r="CGE1" t="s">
        <v>2401</v>
      </c>
      <c r="CGF1" t="s">
        <v>2402</v>
      </c>
      <c r="CGG1" t="s">
        <v>2403</v>
      </c>
      <c r="CGH1" t="s">
        <v>2404</v>
      </c>
      <c r="CGI1" t="s">
        <v>2405</v>
      </c>
      <c r="CGJ1" t="s">
        <v>2406</v>
      </c>
      <c r="CGK1" t="s">
        <v>2407</v>
      </c>
      <c r="CGL1" t="s">
        <v>2408</v>
      </c>
      <c r="CGM1" t="s">
        <v>2409</v>
      </c>
      <c r="CGN1" t="s">
        <v>2410</v>
      </c>
      <c r="CGO1" t="s">
        <v>2411</v>
      </c>
      <c r="CGP1" t="s">
        <v>2412</v>
      </c>
      <c r="CGQ1" t="s">
        <v>2413</v>
      </c>
      <c r="CGR1" t="s">
        <v>2414</v>
      </c>
      <c r="CGS1" t="s">
        <v>2415</v>
      </c>
      <c r="CGT1" t="s">
        <v>2416</v>
      </c>
      <c r="CGU1" t="s">
        <v>2417</v>
      </c>
      <c r="CGV1" t="s">
        <v>2418</v>
      </c>
      <c r="CGW1" t="s">
        <v>2419</v>
      </c>
      <c r="CGX1" t="s">
        <v>2420</v>
      </c>
      <c r="CGY1" t="s">
        <v>2421</v>
      </c>
      <c r="CGZ1" t="s">
        <v>2422</v>
      </c>
      <c r="CHA1" t="s">
        <v>2423</v>
      </c>
      <c r="CHB1" t="s">
        <v>2424</v>
      </c>
      <c r="CHC1" t="s">
        <v>2425</v>
      </c>
      <c r="CHD1" t="s">
        <v>2426</v>
      </c>
      <c r="CHE1" t="s">
        <v>2427</v>
      </c>
      <c r="CHF1" t="s">
        <v>2428</v>
      </c>
      <c r="CHG1" t="s">
        <v>2429</v>
      </c>
      <c r="CHH1" t="s">
        <v>2430</v>
      </c>
      <c r="CHI1" t="s">
        <v>2431</v>
      </c>
      <c r="CHJ1" t="s">
        <v>2432</v>
      </c>
      <c r="CHK1" t="s">
        <v>2433</v>
      </c>
      <c r="CHL1" t="s">
        <v>2434</v>
      </c>
      <c r="CHM1" t="s">
        <v>2435</v>
      </c>
      <c r="CHN1" t="s">
        <v>2436</v>
      </c>
      <c r="CHO1" t="s">
        <v>2437</v>
      </c>
      <c r="CHP1" t="s">
        <v>2438</v>
      </c>
      <c r="CHQ1" t="s">
        <v>2439</v>
      </c>
      <c r="CHR1" t="s">
        <v>2440</v>
      </c>
      <c r="CHS1" t="s">
        <v>2441</v>
      </c>
      <c r="CHT1" t="s">
        <v>2442</v>
      </c>
      <c r="CHU1" t="s">
        <v>2443</v>
      </c>
      <c r="CHV1" t="s">
        <v>2444</v>
      </c>
      <c r="CHW1" t="s">
        <v>2445</v>
      </c>
      <c r="CHX1" t="s">
        <v>2446</v>
      </c>
      <c r="CHY1" t="s">
        <v>2447</v>
      </c>
      <c r="CHZ1" t="s">
        <v>2448</v>
      </c>
      <c r="CIA1" t="s">
        <v>2449</v>
      </c>
      <c r="CIB1" t="s">
        <v>2450</v>
      </c>
      <c r="CIC1" t="s">
        <v>2451</v>
      </c>
      <c r="CID1" t="s">
        <v>2452</v>
      </c>
      <c r="CIE1" t="s">
        <v>2453</v>
      </c>
      <c r="CIF1" t="s">
        <v>2454</v>
      </c>
      <c r="CIG1" t="s">
        <v>2455</v>
      </c>
      <c r="CIH1" t="s">
        <v>2456</v>
      </c>
      <c r="CII1" t="s">
        <v>2457</v>
      </c>
      <c r="CIJ1" t="s">
        <v>2458</v>
      </c>
      <c r="CIK1" t="s">
        <v>2459</v>
      </c>
      <c r="CIL1" t="s">
        <v>2460</v>
      </c>
      <c r="CIM1" t="s">
        <v>2461</v>
      </c>
      <c r="CIN1" t="s">
        <v>2462</v>
      </c>
      <c r="CIO1" t="s">
        <v>2463</v>
      </c>
      <c r="CIP1" t="s">
        <v>2464</v>
      </c>
      <c r="CIQ1" t="s">
        <v>2465</v>
      </c>
      <c r="CIR1" t="s">
        <v>2466</v>
      </c>
      <c r="CIS1" t="s">
        <v>2467</v>
      </c>
      <c r="CIT1" t="s">
        <v>2468</v>
      </c>
      <c r="CIU1" t="s">
        <v>2469</v>
      </c>
      <c r="CIV1" t="s">
        <v>2470</v>
      </c>
      <c r="CIW1" t="s">
        <v>2471</v>
      </c>
      <c r="CIX1" t="s">
        <v>2472</v>
      </c>
      <c r="CIY1" t="s">
        <v>2473</v>
      </c>
      <c r="CIZ1" t="s">
        <v>2474</v>
      </c>
      <c r="CJA1" t="s">
        <v>2475</v>
      </c>
      <c r="CJB1" t="s">
        <v>2476</v>
      </c>
      <c r="CJC1" t="s">
        <v>2477</v>
      </c>
      <c r="CJD1" t="s">
        <v>2478</v>
      </c>
      <c r="CJE1" t="s">
        <v>2479</v>
      </c>
      <c r="CJF1" t="s">
        <v>2480</v>
      </c>
      <c r="CJG1" t="s">
        <v>2481</v>
      </c>
      <c r="CJH1" t="s">
        <v>2482</v>
      </c>
      <c r="CJI1" t="s">
        <v>2483</v>
      </c>
      <c r="CJJ1" t="s">
        <v>2484</v>
      </c>
      <c r="CJK1" t="s">
        <v>2485</v>
      </c>
      <c r="CJL1" t="s">
        <v>2486</v>
      </c>
      <c r="CJM1" t="s">
        <v>2487</v>
      </c>
      <c r="CJN1" t="s">
        <v>2488</v>
      </c>
      <c r="CJO1" t="s">
        <v>2489</v>
      </c>
      <c r="CJP1" t="s">
        <v>2490</v>
      </c>
      <c r="CJQ1" t="s">
        <v>2491</v>
      </c>
      <c r="CJR1" t="s">
        <v>2492</v>
      </c>
      <c r="CJS1" t="s">
        <v>2493</v>
      </c>
      <c r="CJT1" t="s">
        <v>2494</v>
      </c>
      <c r="CJU1" t="s">
        <v>2495</v>
      </c>
      <c r="CJV1" t="s">
        <v>2496</v>
      </c>
      <c r="CJW1" t="s">
        <v>2497</v>
      </c>
      <c r="CJX1" t="s">
        <v>2498</v>
      </c>
      <c r="CJY1" t="s">
        <v>2499</v>
      </c>
      <c r="CJZ1" t="s">
        <v>2500</v>
      </c>
      <c r="CKA1" t="s">
        <v>2501</v>
      </c>
      <c r="CKB1" t="s">
        <v>2502</v>
      </c>
      <c r="CKC1" t="s">
        <v>2503</v>
      </c>
      <c r="CKD1" t="s">
        <v>2504</v>
      </c>
      <c r="CKE1" t="s">
        <v>2505</v>
      </c>
      <c r="CKF1" t="s">
        <v>2506</v>
      </c>
      <c r="CKG1" t="s">
        <v>2507</v>
      </c>
      <c r="CKH1" t="s">
        <v>2508</v>
      </c>
      <c r="CKI1" t="s">
        <v>2509</v>
      </c>
      <c r="CKJ1" t="s">
        <v>2510</v>
      </c>
      <c r="CKK1" t="s">
        <v>2511</v>
      </c>
      <c r="CKL1" t="s">
        <v>2512</v>
      </c>
      <c r="CKM1" t="s">
        <v>2513</v>
      </c>
      <c r="CKN1" t="s">
        <v>2514</v>
      </c>
      <c r="CKO1" t="s">
        <v>2515</v>
      </c>
      <c r="CKP1" t="s">
        <v>2516</v>
      </c>
      <c r="CKQ1" t="s">
        <v>2517</v>
      </c>
      <c r="CKR1" t="s">
        <v>2518</v>
      </c>
      <c r="CKS1" t="s">
        <v>2519</v>
      </c>
      <c r="CKT1" t="s">
        <v>2520</v>
      </c>
      <c r="CKU1" t="s">
        <v>2521</v>
      </c>
      <c r="CKV1" t="s">
        <v>2522</v>
      </c>
      <c r="CKW1" t="s">
        <v>2523</v>
      </c>
      <c r="CKX1" t="s">
        <v>2524</v>
      </c>
      <c r="CKY1" t="s">
        <v>2525</v>
      </c>
      <c r="CKZ1" t="s">
        <v>2526</v>
      </c>
      <c r="CLA1" t="s">
        <v>2527</v>
      </c>
      <c r="CLB1" t="s">
        <v>2528</v>
      </c>
      <c r="CLC1" t="s">
        <v>2529</v>
      </c>
      <c r="CLD1" t="s">
        <v>2530</v>
      </c>
      <c r="CLE1" t="s">
        <v>2531</v>
      </c>
      <c r="CLF1" t="s">
        <v>2532</v>
      </c>
      <c r="CLG1" t="s">
        <v>2533</v>
      </c>
      <c r="CLH1" t="s">
        <v>2534</v>
      </c>
      <c r="CLI1" t="s">
        <v>2535</v>
      </c>
      <c r="CLJ1" t="s">
        <v>2536</v>
      </c>
      <c r="CLK1" t="s">
        <v>2537</v>
      </c>
      <c r="CLL1" t="s">
        <v>2538</v>
      </c>
      <c r="CLM1" t="s">
        <v>2539</v>
      </c>
      <c r="CLN1" t="s">
        <v>2540</v>
      </c>
      <c r="CLO1" t="s">
        <v>2541</v>
      </c>
      <c r="CLP1" t="s">
        <v>2542</v>
      </c>
      <c r="CLQ1" t="s">
        <v>2543</v>
      </c>
      <c r="CLR1" t="s">
        <v>2544</v>
      </c>
      <c r="CLS1" t="s">
        <v>2545</v>
      </c>
      <c r="CLT1" t="s">
        <v>2546</v>
      </c>
      <c r="CLU1" t="s">
        <v>2547</v>
      </c>
      <c r="CLV1" t="s">
        <v>2548</v>
      </c>
      <c r="CLW1" t="s">
        <v>2549</v>
      </c>
      <c r="CLX1" t="s">
        <v>2550</v>
      </c>
      <c r="CLY1" t="s">
        <v>2551</v>
      </c>
      <c r="CLZ1" t="s">
        <v>2552</v>
      </c>
      <c r="CMA1" t="s">
        <v>2553</v>
      </c>
      <c r="CMB1" t="s">
        <v>2554</v>
      </c>
      <c r="CMC1" t="s">
        <v>2555</v>
      </c>
      <c r="CMD1" t="s">
        <v>2556</v>
      </c>
      <c r="CME1" t="s">
        <v>2557</v>
      </c>
      <c r="CMF1" t="s">
        <v>2558</v>
      </c>
      <c r="CMG1" t="s">
        <v>2559</v>
      </c>
      <c r="CMH1" t="s">
        <v>2560</v>
      </c>
      <c r="CMI1" t="s">
        <v>2561</v>
      </c>
      <c r="CMJ1" t="s">
        <v>2562</v>
      </c>
      <c r="CMK1" t="s">
        <v>2563</v>
      </c>
      <c r="CML1" t="s">
        <v>2564</v>
      </c>
      <c r="CMM1" t="s">
        <v>2565</v>
      </c>
      <c r="CMN1" t="s">
        <v>2566</v>
      </c>
      <c r="CMO1" t="s">
        <v>2567</v>
      </c>
      <c r="CMP1" t="s">
        <v>2568</v>
      </c>
      <c r="CMQ1" t="s">
        <v>2569</v>
      </c>
      <c r="CMR1" t="s">
        <v>2570</v>
      </c>
      <c r="CMS1" t="s">
        <v>2571</v>
      </c>
      <c r="CMT1" t="s">
        <v>2572</v>
      </c>
      <c r="CMU1" t="s">
        <v>2573</v>
      </c>
      <c r="CMV1" t="s">
        <v>2574</v>
      </c>
      <c r="CMW1" t="s">
        <v>2575</v>
      </c>
      <c r="CMX1" t="s">
        <v>2576</v>
      </c>
      <c r="CMY1" t="s">
        <v>2577</v>
      </c>
      <c r="CMZ1" t="s">
        <v>2578</v>
      </c>
      <c r="CNA1" t="s">
        <v>2579</v>
      </c>
      <c r="CNB1" t="s">
        <v>2580</v>
      </c>
      <c r="CNC1" t="s">
        <v>2581</v>
      </c>
      <c r="CND1" t="s">
        <v>2582</v>
      </c>
      <c r="CNE1" t="s">
        <v>2583</v>
      </c>
      <c r="CNF1" t="s">
        <v>2584</v>
      </c>
      <c r="CNG1" t="s">
        <v>2585</v>
      </c>
      <c r="CNH1" t="s">
        <v>2586</v>
      </c>
      <c r="CNI1" t="s">
        <v>2587</v>
      </c>
      <c r="CNJ1" t="s">
        <v>2588</v>
      </c>
      <c r="CNK1" t="s">
        <v>2589</v>
      </c>
      <c r="CNL1" t="s">
        <v>2590</v>
      </c>
      <c r="CNM1" t="s">
        <v>2591</v>
      </c>
      <c r="CNN1" t="s">
        <v>2592</v>
      </c>
      <c r="CNO1" t="s">
        <v>2593</v>
      </c>
      <c r="CNP1" t="s">
        <v>2594</v>
      </c>
      <c r="CNQ1" t="s">
        <v>2595</v>
      </c>
      <c r="CNR1" t="s">
        <v>2596</v>
      </c>
      <c r="CNS1" t="s">
        <v>2597</v>
      </c>
      <c r="CNT1" t="s">
        <v>2598</v>
      </c>
      <c r="CNU1" t="s">
        <v>2599</v>
      </c>
      <c r="CNV1" t="s">
        <v>2600</v>
      </c>
      <c r="CNW1" t="s">
        <v>2601</v>
      </c>
      <c r="CNX1" t="s">
        <v>2602</v>
      </c>
      <c r="CNY1" t="s">
        <v>2603</v>
      </c>
      <c r="CNZ1" t="s">
        <v>2604</v>
      </c>
      <c r="COA1" t="s">
        <v>2605</v>
      </c>
      <c r="COB1" t="s">
        <v>2606</v>
      </c>
      <c r="COC1" t="s">
        <v>2607</v>
      </c>
      <c r="COD1" t="s">
        <v>2608</v>
      </c>
      <c r="COE1" t="s">
        <v>2609</v>
      </c>
      <c r="COF1" t="s">
        <v>2610</v>
      </c>
      <c r="COG1" t="s">
        <v>2611</v>
      </c>
      <c r="COH1" t="s">
        <v>2612</v>
      </c>
      <c r="COI1" t="s">
        <v>2613</v>
      </c>
      <c r="COJ1" t="s">
        <v>2614</v>
      </c>
      <c r="COK1" t="s">
        <v>2615</v>
      </c>
      <c r="COL1" t="s">
        <v>2616</v>
      </c>
      <c r="COM1" t="s">
        <v>2617</v>
      </c>
      <c r="CON1" t="s">
        <v>2618</v>
      </c>
      <c r="COO1" t="s">
        <v>2619</v>
      </c>
      <c r="COP1" t="s">
        <v>2620</v>
      </c>
      <c r="COQ1" t="s">
        <v>2621</v>
      </c>
      <c r="COR1" t="s">
        <v>2622</v>
      </c>
      <c r="COS1" t="s">
        <v>2623</v>
      </c>
      <c r="COT1" t="s">
        <v>2624</v>
      </c>
      <c r="COU1" t="s">
        <v>2625</v>
      </c>
      <c r="COV1" t="s">
        <v>2626</v>
      </c>
      <c r="COW1" t="s">
        <v>2627</v>
      </c>
      <c r="COX1" t="s">
        <v>2628</v>
      </c>
      <c r="COY1" t="s">
        <v>2629</v>
      </c>
      <c r="COZ1" t="s">
        <v>2630</v>
      </c>
      <c r="CPA1" t="s">
        <v>2631</v>
      </c>
      <c r="CPB1" t="s">
        <v>2632</v>
      </c>
      <c r="CPC1" t="s">
        <v>2633</v>
      </c>
      <c r="CPD1" t="s">
        <v>2634</v>
      </c>
      <c r="CPE1" t="s">
        <v>2635</v>
      </c>
      <c r="CPF1" t="s">
        <v>2636</v>
      </c>
      <c r="CPG1" t="s">
        <v>2637</v>
      </c>
      <c r="CPH1" t="s">
        <v>2638</v>
      </c>
      <c r="CPI1" t="s">
        <v>2639</v>
      </c>
      <c r="CPJ1" t="s">
        <v>2640</v>
      </c>
      <c r="CPK1" t="s">
        <v>2641</v>
      </c>
      <c r="CPL1" t="s">
        <v>2642</v>
      </c>
      <c r="CPM1" t="s">
        <v>2643</v>
      </c>
      <c r="CPN1" t="s">
        <v>2644</v>
      </c>
      <c r="CPO1" t="s">
        <v>2645</v>
      </c>
      <c r="CPP1" t="s">
        <v>2646</v>
      </c>
      <c r="CPQ1" t="s">
        <v>2647</v>
      </c>
      <c r="CPR1" t="s">
        <v>2648</v>
      </c>
      <c r="CPS1" t="s">
        <v>2649</v>
      </c>
      <c r="CPT1" t="s">
        <v>2650</v>
      </c>
      <c r="CPU1" t="s">
        <v>2651</v>
      </c>
      <c r="CPV1" t="s">
        <v>2652</v>
      </c>
      <c r="CPW1" t="s">
        <v>2653</v>
      </c>
      <c r="CPX1" t="s">
        <v>2654</v>
      </c>
      <c r="CPY1" t="s">
        <v>2655</v>
      </c>
      <c r="CPZ1" t="s">
        <v>2656</v>
      </c>
      <c r="CQA1" t="s">
        <v>2657</v>
      </c>
      <c r="CQB1" t="s">
        <v>2658</v>
      </c>
      <c r="CQC1" t="s">
        <v>2659</v>
      </c>
      <c r="CQD1" t="s">
        <v>2660</v>
      </c>
      <c r="CQE1" t="s">
        <v>2661</v>
      </c>
      <c r="CQF1" t="s">
        <v>2662</v>
      </c>
      <c r="CQG1" t="s">
        <v>2663</v>
      </c>
      <c r="CQH1" t="s">
        <v>2664</v>
      </c>
      <c r="CQI1" t="s">
        <v>2665</v>
      </c>
      <c r="CQJ1" t="s">
        <v>2666</v>
      </c>
      <c r="CQK1" t="s">
        <v>2667</v>
      </c>
      <c r="CQL1" t="s">
        <v>2668</v>
      </c>
      <c r="CQM1" t="s">
        <v>2669</v>
      </c>
      <c r="CQN1" t="s">
        <v>2670</v>
      </c>
      <c r="CQO1" t="s">
        <v>2671</v>
      </c>
      <c r="CQP1" t="s">
        <v>2672</v>
      </c>
      <c r="CQQ1" t="s">
        <v>2673</v>
      </c>
      <c r="CQR1" t="s">
        <v>2674</v>
      </c>
      <c r="CQS1" t="s">
        <v>2675</v>
      </c>
      <c r="CQT1" t="s">
        <v>2676</v>
      </c>
      <c r="CQU1" t="s">
        <v>2677</v>
      </c>
      <c r="CQV1" t="s">
        <v>2678</v>
      </c>
      <c r="CQW1" t="s">
        <v>2679</v>
      </c>
      <c r="CQX1" t="s">
        <v>2680</v>
      </c>
      <c r="CQY1" t="s">
        <v>2681</v>
      </c>
      <c r="CQZ1" t="s">
        <v>2682</v>
      </c>
      <c r="CRA1" t="s">
        <v>2683</v>
      </c>
      <c r="CRB1" t="s">
        <v>2684</v>
      </c>
      <c r="CRC1" t="s">
        <v>2685</v>
      </c>
      <c r="CRD1" t="s">
        <v>2686</v>
      </c>
      <c r="CRE1" t="s">
        <v>2687</v>
      </c>
      <c r="CRF1" t="s">
        <v>2688</v>
      </c>
      <c r="CRG1" t="s">
        <v>2689</v>
      </c>
      <c r="CRH1" t="s">
        <v>2690</v>
      </c>
      <c r="CRI1" t="s">
        <v>2691</v>
      </c>
      <c r="CRJ1" t="s">
        <v>2692</v>
      </c>
      <c r="CRK1" t="s">
        <v>2693</v>
      </c>
      <c r="CRL1" t="s">
        <v>2694</v>
      </c>
      <c r="CRM1" t="s">
        <v>2695</v>
      </c>
      <c r="CRN1" t="s">
        <v>2696</v>
      </c>
      <c r="CRO1" t="s">
        <v>2697</v>
      </c>
      <c r="CRP1" t="s">
        <v>2698</v>
      </c>
      <c r="CRQ1" t="s">
        <v>2699</v>
      </c>
      <c r="CRR1" t="s">
        <v>2700</v>
      </c>
      <c r="CRS1" t="s">
        <v>2701</v>
      </c>
      <c r="CRT1" t="s">
        <v>2702</v>
      </c>
      <c r="CRU1" t="s">
        <v>2703</v>
      </c>
      <c r="CRV1" t="s">
        <v>2704</v>
      </c>
      <c r="CRW1" t="s">
        <v>2705</v>
      </c>
      <c r="CRX1" t="s">
        <v>2706</v>
      </c>
      <c r="CRY1" t="s">
        <v>2707</v>
      </c>
      <c r="CRZ1" t="s">
        <v>2708</v>
      </c>
      <c r="CSA1" t="s">
        <v>2709</v>
      </c>
      <c r="CSB1" t="s">
        <v>2710</v>
      </c>
      <c r="CSC1" t="s">
        <v>2711</v>
      </c>
      <c r="CSD1" t="s">
        <v>2712</v>
      </c>
      <c r="CSE1" t="s">
        <v>2713</v>
      </c>
      <c r="CSF1" t="s">
        <v>2714</v>
      </c>
      <c r="CSG1" t="s">
        <v>2715</v>
      </c>
      <c r="CSH1" t="s">
        <v>2716</v>
      </c>
      <c r="CSI1" t="s">
        <v>2717</v>
      </c>
      <c r="CSJ1" t="s">
        <v>2718</v>
      </c>
      <c r="CSK1" t="s">
        <v>2719</v>
      </c>
      <c r="CSL1" t="s">
        <v>2720</v>
      </c>
      <c r="CSM1" t="s">
        <v>2721</v>
      </c>
      <c r="CSN1" t="s">
        <v>2722</v>
      </c>
      <c r="CSO1" t="s">
        <v>2723</v>
      </c>
      <c r="CSP1" t="s">
        <v>2724</v>
      </c>
      <c r="CSQ1" t="s">
        <v>2725</v>
      </c>
      <c r="CSR1" t="s">
        <v>2726</v>
      </c>
      <c r="CSS1" t="s">
        <v>2727</v>
      </c>
      <c r="CST1" t="s">
        <v>2728</v>
      </c>
      <c r="CSU1" t="s">
        <v>2729</v>
      </c>
      <c r="CSV1" t="s">
        <v>2730</v>
      </c>
      <c r="CSW1" t="s">
        <v>2731</v>
      </c>
      <c r="CSX1" t="s">
        <v>2732</v>
      </c>
      <c r="CSY1" t="s">
        <v>2733</v>
      </c>
      <c r="CSZ1" t="s">
        <v>2734</v>
      </c>
      <c r="CTA1" t="s">
        <v>2735</v>
      </c>
      <c r="CTB1" t="s">
        <v>2736</v>
      </c>
      <c r="CTC1" t="s">
        <v>2737</v>
      </c>
      <c r="CTD1" t="s">
        <v>2738</v>
      </c>
      <c r="CTE1" t="s">
        <v>2739</v>
      </c>
      <c r="CTF1" t="s">
        <v>2740</v>
      </c>
      <c r="CTG1" t="s">
        <v>2741</v>
      </c>
      <c r="CTH1" t="s">
        <v>2742</v>
      </c>
      <c r="CTI1" t="s">
        <v>2743</v>
      </c>
      <c r="CTJ1" t="s">
        <v>2744</v>
      </c>
      <c r="CTK1" t="s">
        <v>2745</v>
      </c>
      <c r="CTL1" t="s">
        <v>2746</v>
      </c>
      <c r="CTM1" t="s">
        <v>2747</v>
      </c>
      <c r="CTN1" t="s">
        <v>2748</v>
      </c>
      <c r="CTO1" t="s">
        <v>2749</v>
      </c>
      <c r="CTP1" t="s">
        <v>2750</v>
      </c>
      <c r="CTQ1" t="s">
        <v>2751</v>
      </c>
      <c r="CTR1" t="s">
        <v>2752</v>
      </c>
      <c r="CTS1" t="s">
        <v>2753</v>
      </c>
      <c r="CTT1" t="s">
        <v>2754</v>
      </c>
      <c r="CTU1" t="s">
        <v>2755</v>
      </c>
      <c r="CTV1" t="s">
        <v>2756</v>
      </c>
      <c r="CTW1" t="s">
        <v>2757</v>
      </c>
      <c r="CTX1" t="s">
        <v>2758</v>
      </c>
      <c r="CTY1" t="s">
        <v>2759</v>
      </c>
      <c r="CTZ1" t="s">
        <v>2760</v>
      </c>
      <c r="CUA1" t="s">
        <v>2761</v>
      </c>
      <c r="CUB1" t="s">
        <v>2762</v>
      </c>
      <c r="CUC1" t="s">
        <v>2763</v>
      </c>
      <c r="CUD1" t="s">
        <v>2764</v>
      </c>
      <c r="CUE1" t="s">
        <v>2765</v>
      </c>
      <c r="CUF1" t="s">
        <v>2766</v>
      </c>
      <c r="CUG1" t="s">
        <v>2767</v>
      </c>
      <c r="CUH1" t="s">
        <v>2768</v>
      </c>
      <c r="CUI1" t="s">
        <v>2769</v>
      </c>
      <c r="CUJ1" t="s">
        <v>2770</v>
      </c>
      <c r="CUK1" t="s">
        <v>2771</v>
      </c>
      <c r="CUL1" t="s">
        <v>2772</v>
      </c>
      <c r="CUM1" t="s">
        <v>2773</v>
      </c>
      <c r="CUN1" t="s">
        <v>2774</v>
      </c>
      <c r="CUO1" t="s">
        <v>2775</v>
      </c>
      <c r="CUP1" t="s">
        <v>2776</v>
      </c>
      <c r="CUQ1" t="s">
        <v>2777</v>
      </c>
      <c r="CUR1" t="s">
        <v>2778</v>
      </c>
      <c r="CUS1" t="s">
        <v>2779</v>
      </c>
      <c r="CUT1" t="s">
        <v>2780</v>
      </c>
      <c r="CUU1" t="s">
        <v>2781</v>
      </c>
      <c r="CUV1" t="s">
        <v>2782</v>
      </c>
      <c r="CUW1" t="s">
        <v>2783</v>
      </c>
      <c r="CUX1" t="s">
        <v>2784</v>
      </c>
      <c r="CUY1" t="s">
        <v>2785</v>
      </c>
      <c r="CUZ1" t="s">
        <v>2786</v>
      </c>
      <c r="CVA1" t="s">
        <v>2787</v>
      </c>
      <c r="CVB1" t="s">
        <v>2788</v>
      </c>
      <c r="CVC1" t="s">
        <v>2789</v>
      </c>
      <c r="CVD1" t="s">
        <v>2790</v>
      </c>
      <c r="CVE1" t="s">
        <v>2791</v>
      </c>
      <c r="CVF1" t="s">
        <v>2792</v>
      </c>
      <c r="CVG1" t="s">
        <v>2793</v>
      </c>
      <c r="CVH1" t="s">
        <v>2794</v>
      </c>
      <c r="CVI1" t="s">
        <v>2795</v>
      </c>
      <c r="CVJ1" t="s">
        <v>2796</v>
      </c>
      <c r="CVK1" t="s">
        <v>2797</v>
      </c>
      <c r="CVL1" t="s">
        <v>2798</v>
      </c>
      <c r="CVM1" t="s">
        <v>2799</v>
      </c>
      <c r="CVN1" t="s">
        <v>2800</v>
      </c>
      <c r="CVO1" t="s">
        <v>2801</v>
      </c>
      <c r="CVP1" t="s">
        <v>2802</v>
      </c>
      <c r="CVQ1" t="s">
        <v>2803</v>
      </c>
      <c r="CVR1" t="s">
        <v>2804</v>
      </c>
      <c r="CVS1" t="s">
        <v>2805</v>
      </c>
      <c r="CVT1" t="s">
        <v>2806</v>
      </c>
      <c r="CVU1" t="s">
        <v>2807</v>
      </c>
      <c r="CVV1" t="s">
        <v>2808</v>
      </c>
      <c r="CVW1" t="s">
        <v>2809</v>
      </c>
      <c r="CVX1" t="s">
        <v>2810</v>
      </c>
      <c r="CVY1" t="s">
        <v>2811</v>
      </c>
      <c r="CVZ1" t="s">
        <v>2812</v>
      </c>
      <c r="CWA1" t="s">
        <v>2813</v>
      </c>
      <c r="CWB1" t="s">
        <v>2814</v>
      </c>
      <c r="CWC1" t="s">
        <v>2815</v>
      </c>
      <c r="CWD1" t="s">
        <v>2816</v>
      </c>
      <c r="CWE1" t="s">
        <v>2817</v>
      </c>
      <c r="CWF1" t="s">
        <v>2818</v>
      </c>
      <c r="CWG1" t="s">
        <v>2819</v>
      </c>
      <c r="CWH1" t="s">
        <v>2820</v>
      </c>
      <c r="CWI1" t="s">
        <v>2821</v>
      </c>
      <c r="CWJ1" t="s">
        <v>2822</v>
      </c>
      <c r="CWK1" t="s">
        <v>2823</v>
      </c>
      <c r="CWL1" t="s">
        <v>2824</v>
      </c>
      <c r="CWM1" t="s">
        <v>2825</v>
      </c>
      <c r="CWN1" t="s">
        <v>2826</v>
      </c>
      <c r="CWO1" t="s">
        <v>2827</v>
      </c>
      <c r="CWP1" t="s">
        <v>2828</v>
      </c>
      <c r="CWQ1" t="s">
        <v>2829</v>
      </c>
      <c r="CWR1" t="s">
        <v>2830</v>
      </c>
      <c r="CWS1" t="s">
        <v>2831</v>
      </c>
      <c r="CWT1" t="s">
        <v>2832</v>
      </c>
      <c r="CWU1" t="s">
        <v>2833</v>
      </c>
      <c r="CWV1" t="s">
        <v>2834</v>
      </c>
      <c r="CWW1" t="s">
        <v>2835</v>
      </c>
      <c r="CWX1" t="s">
        <v>2836</v>
      </c>
      <c r="CWY1" t="s">
        <v>2837</v>
      </c>
      <c r="CWZ1" t="s">
        <v>2838</v>
      </c>
      <c r="CXA1" t="s">
        <v>2839</v>
      </c>
      <c r="CXB1" t="s">
        <v>2840</v>
      </c>
      <c r="CXC1" t="s">
        <v>2841</v>
      </c>
      <c r="CXD1" t="s">
        <v>2842</v>
      </c>
      <c r="CXE1" t="s">
        <v>2843</v>
      </c>
      <c r="CXF1" t="s">
        <v>2844</v>
      </c>
      <c r="CXG1" t="s">
        <v>2845</v>
      </c>
      <c r="CXH1" t="s">
        <v>2846</v>
      </c>
      <c r="CXI1" t="s">
        <v>2847</v>
      </c>
      <c r="CXJ1" t="s">
        <v>2848</v>
      </c>
      <c r="CXK1" t="s">
        <v>2849</v>
      </c>
      <c r="CXL1" t="s">
        <v>2850</v>
      </c>
      <c r="CXM1" t="s">
        <v>2851</v>
      </c>
      <c r="CXN1" t="s">
        <v>2852</v>
      </c>
      <c r="CXO1" t="s">
        <v>2853</v>
      </c>
      <c r="CXP1" t="s">
        <v>2854</v>
      </c>
      <c r="CXQ1" t="s">
        <v>2855</v>
      </c>
      <c r="CXR1" t="s">
        <v>2856</v>
      </c>
      <c r="CXS1" t="s">
        <v>2857</v>
      </c>
      <c r="CXT1" t="s">
        <v>2858</v>
      </c>
      <c r="CXU1" t="s">
        <v>2859</v>
      </c>
      <c r="CXV1" t="s">
        <v>2860</v>
      </c>
      <c r="CXW1" t="s">
        <v>2861</v>
      </c>
      <c r="CXX1" t="s">
        <v>2862</v>
      </c>
      <c r="CXY1" t="s">
        <v>2863</v>
      </c>
      <c r="CXZ1" t="s">
        <v>2864</v>
      </c>
      <c r="CYA1" t="s">
        <v>2865</v>
      </c>
      <c r="CYB1" t="s">
        <v>2866</v>
      </c>
      <c r="CYC1" t="s">
        <v>2867</v>
      </c>
      <c r="CYD1" t="s">
        <v>2868</v>
      </c>
      <c r="CYE1" t="s">
        <v>2869</v>
      </c>
      <c r="CYF1" t="s">
        <v>2870</v>
      </c>
      <c r="CYG1" t="s">
        <v>2871</v>
      </c>
      <c r="CYH1" t="s">
        <v>2872</v>
      </c>
      <c r="CYI1" t="s">
        <v>2873</v>
      </c>
      <c r="CYJ1" t="s">
        <v>2874</v>
      </c>
      <c r="CYK1" t="s">
        <v>2875</v>
      </c>
      <c r="CYL1" t="s">
        <v>2876</v>
      </c>
      <c r="CYM1" t="s">
        <v>2877</v>
      </c>
      <c r="CYN1" t="s">
        <v>2878</v>
      </c>
      <c r="CYO1" t="s">
        <v>2879</v>
      </c>
      <c r="CYP1" t="s">
        <v>2880</v>
      </c>
      <c r="CYQ1" t="s">
        <v>2881</v>
      </c>
      <c r="CYR1" t="s">
        <v>2882</v>
      </c>
      <c r="CYS1" t="s">
        <v>2883</v>
      </c>
      <c r="CYT1" t="s">
        <v>2884</v>
      </c>
      <c r="CYU1" t="s">
        <v>2885</v>
      </c>
      <c r="CYV1" t="s">
        <v>2886</v>
      </c>
      <c r="CYW1" t="s">
        <v>2887</v>
      </c>
      <c r="CYX1" t="s">
        <v>2888</v>
      </c>
      <c r="CYY1" t="s">
        <v>2889</v>
      </c>
      <c r="CYZ1" t="s">
        <v>2890</v>
      </c>
      <c r="CZA1" t="s">
        <v>2891</v>
      </c>
      <c r="CZB1" t="s">
        <v>2892</v>
      </c>
      <c r="CZC1" t="s">
        <v>2893</v>
      </c>
      <c r="CZD1" t="s">
        <v>2894</v>
      </c>
      <c r="CZE1" t="s">
        <v>2895</v>
      </c>
      <c r="CZF1" t="s">
        <v>2896</v>
      </c>
      <c r="CZG1" t="s">
        <v>2897</v>
      </c>
      <c r="CZH1" t="s">
        <v>2898</v>
      </c>
      <c r="CZI1" t="s">
        <v>2899</v>
      </c>
      <c r="CZJ1" t="s">
        <v>2900</v>
      </c>
      <c r="CZK1" t="s">
        <v>2901</v>
      </c>
      <c r="CZL1" t="s">
        <v>2902</v>
      </c>
      <c r="CZM1" t="s">
        <v>2903</v>
      </c>
      <c r="CZN1" t="s">
        <v>2904</v>
      </c>
      <c r="CZO1" t="s">
        <v>2905</v>
      </c>
      <c r="CZP1" t="s">
        <v>2906</v>
      </c>
      <c r="CZQ1" t="s">
        <v>2907</v>
      </c>
      <c r="CZR1" t="s">
        <v>2908</v>
      </c>
      <c r="CZS1" t="s">
        <v>2909</v>
      </c>
      <c r="CZT1" t="s">
        <v>2910</v>
      </c>
      <c r="CZU1" t="s">
        <v>2911</v>
      </c>
      <c r="CZV1" t="s">
        <v>2912</v>
      </c>
      <c r="CZW1" t="s">
        <v>2913</v>
      </c>
      <c r="CZX1" t="s">
        <v>2914</v>
      </c>
      <c r="CZY1" t="s">
        <v>2915</v>
      </c>
      <c r="CZZ1" t="s">
        <v>2916</v>
      </c>
      <c r="DAA1" t="s">
        <v>2917</v>
      </c>
      <c r="DAB1" t="s">
        <v>2918</v>
      </c>
      <c r="DAC1" t="s">
        <v>2919</v>
      </c>
      <c r="DAD1" t="s">
        <v>2920</v>
      </c>
      <c r="DAE1" t="s">
        <v>2921</v>
      </c>
      <c r="DAF1" t="s">
        <v>2922</v>
      </c>
      <c r="DAG1" t="s">
        <v>2923</v>
      </c>
      <c r="DAH1" t="s">
        <v>2924</v>
      </c>
      <c r="DAI1" t="s">
        <v>2925</v>
      </c>
      <c r="DAJ1" t="s">
        <v>2926</v>
      </c>
      <c r="DAK1" t="s">
        <v>2927</v>
      </c>
      <c r="DAL1" t="s">
        <v>2928</v>
      </c>
      <c r="DAM1" t="s">
        <v>2929</v>
      </c>
      <c r="DAN1" t="s">
        <v>2930</v>
      </c>
      <c r="DAO1" t="s">
        <v>2931</v>
      </c>
      <c r="DAP1" t="s">
        <v>2932</v>
      </c>
      <c r="DAQ1" t="s">
        <v>2933</v>
      </c>
      <c r="DAR1" t="s">
        <v>2934</v>
      </c>
      <c r="DAS1" t="s">
        <v>2935</v>
      </c>
      <c r="DAT1" t="s">
        <v>2936</v>
      </c>
      <c r="DAU1" t="s">
        <v>2937</v>
      </c>
      <c r="DAV1" t="s">
        <v>2938</v>
      </c>
      <c r="DAW1" t="s">
        <v>2939</v>
      </c>
      <c r="DAX1" t="s">
        <v>2940</v>
      </c>
      <c r="DAY1" t="s">
        <v>2941</v>
      </c>
      <c r="DAZ1" t="s">
        <v>2942</v>
      </c>
      <c r="DBA1" t="s">
        <v>2943</v>
      </c>
      <c r="DBB1" t="s">
        <v>2944</v>
      </c>
      <c r="DBC1" t="s">
        <v>2945</v>
      </c>
      <c r="DBD1" t="s">
        <v>2946</v>
      </c>
      <c r="DBE1" t="s">
        <v>2947</v>
      </c>
      <c r="DBF1" t="s">
        <v>2948</v>
      </c>
      <c r="DBG1" t="s">
        <v>2949</v>
      </c>
      <c r="DBH1" t="s">
        <v>2950</v>
      </c>
      <c r="DBI1" t="s">
        <v>2951</v>
      </c>
      <c r="DBJ1" t="s">
        <v>2952</v>
      </c>
      <c r="DBK1" t="s">
        <v>2953</v>
      </c>
      <c r="DBL1" t="s">
        <v>2954</v>
      </c>
      <c r="DBM1" t="s">
        <v>2955</v>
      </c>
      <c r="DBN1" t="s">
        <v>2956</v>
      </c>
      <c r="DBO1" t="s">
        <v>2957</v>
      </c>
      <c r="DBP1" t="s">
        <v>2958</v>
      </c>
      <c r="DBQ1" t="s">
        <v>2959</v>
      </c>
      <c r="DBR1" t="s">
        <v>2960</v>
      </c>
      <c r="DBS1" t="s">
        <v>2961</v>
      </c>
      <c r="DBT1" t="s">
        <v>2962</v>
      </c>
      <c r="DBU1" t="s">
        <v>2963</v>
      </c>
      <c r="DBV1" t="s">
        <v>2964</v>
      </c>
      <c r="DBW1" t="s">
        <v>2965</v>
      </c>
      <c r="DBX1" t="s">
        <v>2966</v>
      </c>
      <c r="DBY1" t="s">
        <v>2967</v>
      </c>
      <c r="DBZ1" t="s">
        <v>2968</v>
      </c>
      <c r="DCA1" t="s">
        <v>2969</v>
      </c>
      <c r="DCB1" t="s">
        <v>2970</v>
      </c>
      <c r="DCC1" t="s">
        <v>2971</v>
      </c>
      <c r="DCD1" t="s">
        <v>2972</v>
      </c>
      <c r="DCE1" t="s">
        <v>2973</v>
      </c>
      <c r="DCF1" t="s">
        <v>2974</v>
      </c>
      <c r="DCG1" t="s">
        <v>2975</v>
      </c>
      <c r="DCH1" t="s">
        <v>2976</v>
      </c>
      <c r="DCI1" t="s">
        <v>2977</v>
      </c>
      <c r="DCJ1" t="s">
        <v>2978</v>
      </c>
      <c r="DCK1" t="s">
        <v>2979</v>
      </c>
      <c r="DCL1" t="s">
        <v>2980</v>
      </c>
      <c r="DCM1" t="s">
        <v>2981</v>
      </c>
      <c r="DCN1" t="s">
        <v>2982</v>
      </c>
      <c r="DCO1" t="s">
        <v>2983</v>
      </c>
      <c r="DCP1" t="s">
        <v>2984</v>
      </c>
      <c r="DCQ1" t="s">
        <v>2985</v>
      </c>
      <c r="DCR1" t="s">
        <v>2986</v>
      </c>
      <c r="DCS1" t="s">
        <v>2987</v>
      </c>
      <c r="DCT1" t="s">
        <v>2988</v>
      </c>
      <c r="DCU1" t="s">
        <v>2989</v>
      </c>
      <c r="DCV1" t="s">
        <v>2990</v>
      </c>
      <c r="DCW1" t="s">
        <v>2991</v>
      </c>
      <c r="DCX1" t="s">
        <v>2992</v>
      </c>
      <c r="DCY1" t="s">
        <v>2993</v>
      </c>
      <c r="DCZ1" t="s">
        <v>2994</v>
      </c>
      <c r="DDA1" t="s">
        <v>2995</v>
      </c>
      <c r="DDB1" t="s">
        <v>2996</v>
      </c>
      <c r="DDC1" t="s">
        <v>2997</v>
      </c>
      <c r="DDD1" t="s">
        <v>2998</v>
      </c>
      <c r="DDE1" t="s">
        <v>2999</v>
      </c>
      <c r="DDF1" t="s">
        <v>3000</v>
      </c>
      <c r="DDG1" t="s">
        <v>3001</v>
      </c>
      <c r="DDH1" t="s">
        <v>3002</v>
      </c>
      <c r="DDI1" t="s">
        <v>3003</v>
      </c>
      <c r="DDJ1" t="s">
        <v>3004</v>
      </c>
      <c r="DDK1" t="s">
        <v>3005</v>
      </c>
      <c r="DDL1" t="s">
        <v>3006</v>
      </c>
      <c r="DDM1" t="s">
        <v>3007</v>
      </c>
      <c r="DDN1" t="s">
        <v>3008</v>
      </c>
      <c r="DDO1" t="s">
        <v>3009</v>
      </c>
      <c r="DDP1" t="s">
        <v>3010</v>
      </c>
      <c r="DDQ1" t="s">
        <v>3011</v>
      </c>
      <c r="DDR1" t="s">
        <v>3012</v>
      </c>
      <c r="DDS1" t="s">
        <v>3013</v>
      </c>
      <c r="DDT1" t="s">
        <v>3014</v>
      </c>
      <c r="DDU1" t="s">
        <v>3015</v>
      </c>
      <c r="DDV1" t="s">
        <v>3016</v>
      </c>
      <c r="DDW1" t="s">
        <v>3017</v>
      </c>
      <c r="DDX1" t="s">
        <v>3018</v>
      </c>
      <c r="DDY1" t="s">
        <v>3019</v>
      </c>
      <c r="DDZ1" t="s">
        <v>3020</v>
      </c>
      <c r="DEA1" t="s">
        <v>3021</v>
      </c>
      <c r="DEB1" t="s">
        <v>3022</v>
      </c>
      <c r="DEC1" t="s">
        <v>3023</v>
      </c>
      <c r="DED1" t="s">
        <v>3024</v>
      </c>
      <c r="DEE1" t="s">
        <v>3025</v>
      </c>
      <c r="DEF1" t="s">
        <v>3026</v>
      </c>
      <c r="DEG1" t="s">
        <v>3027</v>
      </c>
      <c r="DEH1" t="s">
        <v>3028</v>
      </c>
      <c r="DEI1" t="s">
        <v>3029</v>
      </c>
      <c r="DEJ1" t="s">
        <v>3030</v>
      </c>
      <c r="DEK1" t="s">
        <v>3031</v>
      </c>
      <c r="DEL1" t="s">
        <v>3032</v>
      </c>
      <c r="DEM1" t="s">
        <v>3033</v>
      </c>
      <c r="DEN1" t="s">
        <v>3034</v>
      </c>
      <c r="DEO1" t="s">
        <v>3035</v>
      </c>
      <c r="DEP1" t="s">
        <v>3036</v>
      </c>
      <c r="DEQ1" t="s">
        <v>3037</v>
      </c>
      <c r="DER1" t="s">
        <v>3038</v>
      </c>
      <c r="DES1" t="s">
        <v>3039</v>
      </c>
      <c r="DET1" t="s">
        <v>3040</v>
      </c>
      <c r="DEU1" t="s">
        <v>3041</v>
      </c>
      <c r="DEV1" t="s">
        <v>3042</v>
      </c>
      <c r="DEW1" t="s">
        <v>3043</v>
      </c>
      <c r="DEX1" t="s">
        <v>3044</v>
      </c>
      <c r="DEY1" t="s">
        <v>3045</v>
      </c>
      <c r="DEZ1" t="s">
        <v>3046</v>
      </c>
      <c r="DFA1" t="s">
        <v>3047</v>
      </c>
      <c r="DFB1" t="s">
        <v>3048</v>
      </c>
      <c r="DFC1" t="s">
        <v>3049</v>
      </c>
      <c r="DFD1" t="s">
        <v>3050</v>
      </c>
      <c r="DFE1" t="s">
        <v>3051</v>
      </c>
      <c r="DFF1" t="s">
        <v>3052</v>
      </c>
      <c r="DFG1" t="s">
        <v>3053</v>
      </c>
      <c r="DFH1" t="s">
        <v>3054</v>
      </c>
      <c r="DFI1" t="s">
        <v>3055</v>
      </c>
      <c r="DFJ1" t="s">
        <v>3056</v>
      </c>
      <c r="DFK1" t="s">
        <v>3057</v>
      </c>
      <c r="DFL1" t="s">
        <v>3058</v>
      </c>
      <c r="DFM1" t="s">
        <v>3059</v>
      </c>
      <c r="DFN1" t="s">
        <v>3060</v>
      </c>
      <c r="DFO1" t="s">
        <v>3061</v>
      </c>
      <c r="DFP1" t="s">
        <v>3062</v>
      </c>
      <c r="DFQ1" t="s">
        <v>3063</v>
      </c>
      <c r="DFR1" t="s">
        <v>3064</v>
      </c>
      <c r="DFS1" t="s">
        <v>3065</v>
      </c>
      <c r="DFT1" t="s">
        <v>3066</v>
      </c>
      <c r="DFU1" t="s">
        <v>3067</v>
      </c>
      <c r="DFV1" t="s">
        <v>3068</v>
      </c>
      <c r="DFW1" t="s">
        <v>3069</v>
      </c>
      <c r="DFX1" t="s">
        <v>3070</v>
      </c>
      <c r="DFY1" t="s">
        <v>3071</v>
      </c>
      <c r="DFZ1" t="s">
        <v>3072</v>
      </c>
      <c r="DGA1" t="s">
        <v>3073</v>
      </c>
      <c r="DGB1" t="s">
        <v>3074</v>
      </c>
      <c r="DGC1" t="s">
        <v>3075</v>
      </c>
      <c r="DGD1" t="s">
        <v>3076</v>
      </c>
      <c r="DGE1" t="s">
        <v>3077</v>
      </c>
      <c r="DGF1" t="s">
        <v>3078</v>
      </c>
      <c r="DGG1" t="s">
        <v>3079</v>
      </c>
      <c r="DGH1" t="s">
        <v>3080</v>
      </c>
      <c r="DGI1" t="s">
        <v>3081</v>
      </c>
      <c r="DGJ1" t="s">
        <v>3082</v>
      </c>
      <c r="DGK1" t="s">
        <v>3083</v>
      </c>
      <c r="DGL1" t="s">
        <v>3084</v>
      </c>
      <c r="DGM1" t="s">
        <v>3085</v>
      </c>
      <c r="DGN1" t="s">
        <v>3086</v>
      </c>
      <c r="DGO1" t="s">
        <v>3087</v>
      </c>
      <c r="DGP1" t="s">
        <v>3088</v>
      </c>
      <c r="DGQ1" t="s">
        <v>3089</v>
      </c>
      <c r="DGR1" t="s">
        <v>3090</v>
      </c>
      <c r="DGS1" t="s">
        <v>3091</v>
      </c>
      <c r="DGT1" t="s">
        <v>3092</v>
      </c>
      <c r="DGU1" t="s">
        <v>3093</v>
      </c>
      <c r="DGV1" t="s">
        <v>3094</v>
      </c>
      <c r="DGW1" t="s">
        <v>3095</v>
      </c>
      <c r="DGX1" t="s">
        <v>3096</v>
      </c>
      <c r="DGY1" t="s">
        <v>3097</v>
      </c>
      <c r="DGZ1" t="s">
        <v>3098</v>
      </c>
      <c r="DHA1" t="s">
        <v>3099</v>
      </c>
      <c r="DHB1" t="s">
        <v>3100</v>
      </c>
      <c r="DHC1" t="s">
        <v>3101</v>
      </c>
      <c r="DHD1" t="s">
        <v>3102</v>
      </c>
      <c r="DHE1" t="s">
        <v>3103</v>
      </c>
      <c r="DHF1" t="s">
        <v>3104</v>
      </c>
      <c r="DHG1" t="s">
        <v>3105</v>
      </c>
      <c r="DHH1" t="s">
        <v>3106</v>
      </c>
      <c r="DHI1" t="s">
        <v>3107</v>
      </c>
      <c r="DHJ1" t="s">
        <v>3108</v>
      </c>
      <c r="DHK1" t="s">
        <v>3109</v>
      </c>
      <c r="DHL1" t="s">
        <v>3110</v>
      </c>
      <c r="DHM1" t="s">
        <v>3111</v>
      </c>
      <c r="DHN1" t="s">
        <v>3112</v>
      </c>
      <c r="DHO1" t="s">
        <v>3113</v>
      </c>
      <c r="DHP1" t="s">
        <v>3114</v>
      </c>
      <c r="DHQ1" t="s">
        <v>3115</v>
      </c>
      <c r="DHR1" t="s">
        <v>3116</v>
      </c>
      <c r="DHS1" t="s">
        <v>3117</v>
      </c>
      <c r="DHT1" t="s">
        <v>3118</v>
      </c>
      <c r="DHU1" t="s">
        <v>3119</v>
      </c>
      <c r="DHV1" t="s">
        <v>3120</v>
      </c>
      <c r="DHW1" t="s">
        <v>3121</v>
      </c>
      <c r="DHX1" t="s">
        <v>3122</v>
      </c>
      <c r="DHY1" t="s">
        <v>3123</v>
      </c>
      <c r="DHZ1" t="s">
        <v>3124</v>
      </c>
      <c r="DIA1" t="s">
        <v>3125</v>
      </c>
      <c r="DIB1" t="s">
        <v>3126</v>
      </c>
      <c r="DIC1" t="s">
        <v>3127</v>
      </c>
      <c r="DID1" t="s">
        <v>3128</v>
      </c>
      <c r="DIE1" t="s">
        <v>3129</v>
      </c>
      <c r="DIF1" t="s">
        <v>3130</v>
      </c>
      <c r="DIG1" t="s">
        <v>3131</v>
      </c>
      <c r="DIH1" t="s">
        <v>3132</v>
      </c>
      <c r="DII1" t="s">
        <v>3133</v>
      </c>
      <c r="DIJ1" t="s">
        <v>3134</v>
      </c>
      <c r="DIK1" t="s">
        <v>3135</v>
      </c>
      <c r="DIL1" t="s">
        <v>3136</v>
      </c>
      <c r="DIM1" t="s">
        <v>3137</v>
      </c>
      <c r="DIN1" t="s">
        <v>3138</v>
      </c>
      <c r="DIO1" t="s">
        <v>3139</v>
      </c>
      <c r="DIP1" t="s">
        <v>3140</v>
      </c>
      <c r="DIQ1" t="s">
        <v>3141</v>
      </c>
      <c r="DIR1" t="s">
        <v>3142</v>
      </c>
      <c r="DIS1" t="s">
        <v>3143</v>
      </c>
      <c r="DIT1" t="s">
        <v>3144</v>
      </c>
      <c r="DIU1" t="s">
        <v>3145</v>
      </c>
      <c r="DIV1" t="s">
        <v>3146</v>
      </c>
      <c r="DIW1" t="s">
        <v>3147</v>
      </c>
      <c r="DIX1" t="s">
        <v>3148</v>
      </c>
      <c r="DIY1" t="s">
        <v>3149</v>
      </c>
      <c r="DIZ1" t="s">
        <v>3150</v>
      </c>
      <c r="DJA1" t="s">
        <v>3151</v>
      </c>
      <c r="DJB1" t="s">
        <v>3152</v>
      </c>
      <c r="DJC1" t="s">
        <v>3153</v>
      </c>
      <c r="DJD1" t="s">
        <v>3154</v>
      </c>
      <c r="DJE1" t="s">
        <v>3155</v>
      </c>
      <c r="DJF1" t="s">
        <v>3156</v>
      </c>
      <c r="DJG1" t="s">
        <v>3157</v>
      </c>
      <c r="DJH1" t="s">
        <v>3158</v>
      </c>
      <c r="DJI1" t="s">
        <v>3159</v>
      </c>
      <c r="DJJ1" t="s">
        <v>3160</v>
      </c>
      <c r="DJK1" t="s">
        <v>3161</v>
      </c>
      <c r="DJL1" t="s">
        <v>3162</v>
      </c>
      <c r="DJM1" t="s">
        <v>3163</v>
      </c>
      <c r="DJN1" t="s">
        <v>3164</v>
      </c>
      <c r="DJO1" t="s">
        <v>3165</v>
      </c>
      <c r="DJP1" t="s">
        <v>3166</v>
      </c>
      <c r="DJQ1" t="s">
        <v>3167</v>
      </c>
      <c r="DJR1" t="s">
        <v>3168</v>
      </c>
      <c r="DJS1" t="s">
        <v>3169</v>
      </c>
      <c r="DJT1" t="s">
        <v>3170</v>
      </c>
      <c r="DJU1" t="s">
        <v>3171</v>
      </c>
      <c r="DJV1" t="s">
        <v>3172</v>
      </c>
      <c r="DJW1" t="s">
        <v>3173</v>
      </c>
      <c r="DJX1" t="s">
        <v>3174</v>
      </c>
      <c r="DJY1" t="s">
        <v>3175</v>
      </c>
      <c r="DJZ1" t="s">
        <v>3176</v>
      </c>
      <c r="DKA1" t="s">
        <v>3177</v>
      </c>
      <c r="DKB1" t="s">
        <v>3178</v>
      </c>
      <c r="DKC1" t="s">
        <v>3179</v>
      </c>
      <c r="DKD1" t="s">
        <v>3180</v>
      </c>
      <c r="DKE1" t="s">
        <v>3181</v>
      </c>
      <c r="DKF1" t="s">
        <v>3182</v>
      </c>
      <c r="DKG1" t="s">
        <v>3183</v>
      </c>
      <c r="DKH1" t="s">
        <v>3184</v>
      </c>
      <c r="DKI1" t="s">
        <v>3185</v>
      </c>
      <c r="DKJ1" t="s">
        <v>3186</v>
      </c>
      <c r="DKK1" t="s">
        <v>3187</v>
      </c>
      <c r="DKL1" t="s">
        <v>3188</v>
      </c>
      <c r="DKM1" t="s">
        <v>3189</v>
      </c>
      <c r="DKN1" t="s">
        <v>3190</v>
      </c>
      <c r="DKO1" t="s">
        <v>3191</v>
      </c>
      <c r="DKP1" t="s">
        <v>3192</v>
      </c>
      <c r="DKQ1" t="s">
        <v>3193</v>
      </c>
      <c r="DKR1" t="s">
        <v>3194</v>
      </c>
      <c r="DKS1" t="s">
        <v>3195</v>
      </c>
      <c r="DKT1" t="s">
        <v>3196</v>
      </c>
      <c r="DKU1" t="s">
        <v>3197</v>
      </c>
      <c r="DKV1" t="s">
        <v>3198</v>
      </c>
      <c r="DKW1" t="s">
        <v>3199</v>
      </c>
      <c r="DKX1" t="s">
        <v>3200</v>
      </c>
      <c r="DKY1" t="s">
        <v>3201</v>
      </c>
      <c r="DKZ1" t="s">
        <v>3202</v>
      </c>
      <c r="DLA1" t="s">
        <v>3203</v>
      </c>
      <c r="DLB1" t="s">
        <v>3204</v>
      </c>
      <c r="DLC1" t="s">
        <v>3205</v>
      </c>
      <c r="DLD1" t="s">
        <v>3206</v>
      </c>
      <c r="DLE1" t="s">
        <v>3207</v>
      </c>
      <c r="DLF1" t="s">
        <v>3208</v>
      </c>
      <c r="DLG1" t="s">
        <v>3209</v>
      </c>
      <c r="DLH1" t="s">
        <v>3210</v>
      </c>
      <c r="DLI1" t="s">
        <v>3211</v>
      </c>
      <c r="DLJ1" t="s">
        <v>3212</v>
      </c>
      <c r="DLK1" t="s">
        <v>3213</v>
      </c>
      <c r="DLL1" t="s">
        <v>3214</v>
      </c>
      <c r="DLM1" t="s">
        <v>3215</v>
      </c>
      <c r="DLN1" t="s">
        <v>3216</v>
      </c>
      <c r="DLO1" t="s">
        <v>3217</v>
      </c>
      <c r="DLP1" t="s">
        <v>3218</v>
      </c>
      <c r="DLQ1" t="s">
        <v>3219</v>
      </c>
      <c r="DLR1" t="s">
        <v>3220</v>
      </c>
      <c r="DLS1" t="s">
        <v>3221</v>
      </c>
      <c r="DLT1" t="s">
        <v>3222</v>
      </c>
      <c r="DLU1" t="s">
        <v>3223</v>
      </c>
      <c r="DLV1" t="s">
        <v>3224</v>
      </c>
      <c r="DLW1" t="s">
        <v>3225</v>
      </c>
      <c r="DLX1" t="s">
        <v>3226</v>
      </c>
      <c r="DLY1" t="s">
        <v>3227</v>
      </c>
      <c r="DLZ1" t="s">
        <v>3228</v>
      </c>
      <c r="DMA1" t="s">
        <v>3229</v>
      </c>
      <c r="DMB1" t="s">
        <v>3230</v>
      </c>
      <c r="DMC1" t="s">
        <v>3231</v>
      </c>
      <c r="DMD1" t="s">
        <v>3232</v>
      </c>
      <c r="DME1" t="s">
        <v>3233</v>
      </c>
      <c r="DMF1" t="s">
        <v>3234</v>
      </c>
      <c r="DMG1" t="s">
        <v>3235</v>
      </c>
      <c r="DMH1" t="s">
        <v>3236</v>
      </c>
      <c r="DMI1" t="s">
        <v>3237</v>
      </c>
      <c r="DMJ1" t="s">
        <v>3238</v>
      </c>
      <c r="DMK1" t="s">
        <v>3239</v>
      </c>
      <c r="DML1" t="s">
        <v>3240</v>
      </c>
      <c r="DMM1" t="s">
        <v>3241</v>
      </c>
      <c r="DMN1" t="s">
        <v>3242</v>
      </c>
      <c r="DMO1" t="s">
        <v>3243</v>
      </c>
      <c r="DMP1" t="s">
        <v>3244</v>
      </c>
      <c r="DMQ1" t="s">
        <v>3245</v>
      </c>
      <c r="DMR1" t="s">
        <v>3246</v>
      </c>
      <c r="DMS1" t="s">
        <v>3247</v>
      </c>
      <c r="DMT1" t="s">
        <v>3248</v>
      </c>
      <c r="DMU1" t="s">
        <v>3249</v>
      </c>
      <c r="DMV1" t="s">
        <v>3250</v>
      </c>
      <c r="DMW1" t="s">
        <v>3251</v>
      </c>
      <c r="DMX1" t="s">
        <v>3252</v>
      </c>
      <c r="DMY1" t="s">
        <v>3253</v>
      </c>
      <c r="DMZ1" t="s">
        <v>3254</v>
      </c>
      <c r="DNA1" t="s">
        <v>3255</v>
      </c>
      <c r="DNB1" t="s">
        <v>3256</v>
      </c>
      <c r="DNC1" t="s">
        <v>3257</v>
      </c>
      <c r="DND1" t="s">
        <v>3258</v>
      </c>
      <c r="DNE1" t="s">
        <v>3259</v>
      </c>
      <c r="DNF1" t="s">
        <v>3260</v>
      </c>
      <c r="DNG1" t="s">
        <v>3261</v>
      </c>
      <c r="DNH1" t="s">
        <v>3262</v>
      </c>
      <c r="DNI1" t="s">
        <v>3263</v>
      </c>
      <c r="DNJ1" t="s">
        <v>3264</v>
      </c>
      <c r="DNK1" t="s">
        <v>3265</v>
      </c>
      <c r="DNL1" t="s">
        <v>3266</v>
      </c>
      <c r="DNM1" t="s">
        <v>3267</v>
      </c>
      <c r="DNN1" t="s">
        <v>3268</v>
      </c>
      <c r="DNO1" t="s">
        <v>3269</v>
      </c>
      <c r="DNP1" t="s">
        <v>3270</v>
      </c>
      <c r="DNQ1" t="s">
        <v>3271</v>
      </c>
      <c r="DNR1" t="s">
        <v>3272</v>
      </c>
      <c r="DNS1" t="s">
        <v>3273</v>
      </c>
      <c r="DNT1" t="s">
        <v>3274</v>
      </c>
      <c r="DNU1" t="s">
        <v>3275</v>
      </c>
      <c r="DNV1" t="s">
        <v>3276</v>
      </c>
      <c r="DNW1" t="s">
        <v>3277</v>
      </c>
      <c r="DNX1" t="s">
        <v>3278</v>
      </c>
      <c r="DNY1" t="s">
        <v>3279</v>
      </c>
      <c r="DNZ1" t="s">
        <v>3280</v>
      </c>
      <c r="DOA1" t="s">
        <v>3281</v>
      </c>
      <c r="DOB1" t="s">
        <v>3282</v>
      </c>
      <c r="DOC1" t="s">
        <v>3283</v>
      </c>
      <c r="DOD1" t="s">
        <v>3284</v>
      </c>
      <c r="DOE1" t="s">
        <v>3285</v>
      </c>
      <c r="DOF1" t="s">
        <v>3286</v>
      </c>
      <c r="DOG1" t="s">
        <v>3287</v>
      </c>
      <c r="DOH1" t="s">
        <v>3288</v>
      </c>
      <c r="DOI1" t="s">
        <v>3289</v>
      </c>
      <c r="DOJ1" t="s">
        <v>3290</v>
      </c>
      <c r="DOK1" t="s">
        <v>3291</v>
      </c>
      <c r="DOL1" t="s">
        <v>3292</v>
      </c>
      <c r="DOM1" t="s">
        <v>3293</v>
      </c>
      <c r="DON1" t="s">
        <v>3294</v>
      </c>
      <c r="DOO1" t="s">
        <v>3295</v>
      </c>
      <c r="DOP1" t="s">
        <v>3296</v>
      </c>
      <c r="DOQ1" t="s">
        <v>3297</v>
      </c>
      <c r="DOR1" t="s">
        <v>3298</v>
      </c>
      <c r="DOS1" t="s">
        <v>3299</v>
      </c>
      <c r="DOT1" t="s">
        <v>3300</v>
      </c>
      <c r="DOU1" t="s">
        <v>3301</v>
      </c>
      <c r="DOV1" t="s">
        <v>3302</v>
      </c>
      <c r="DOW1" t="s">
        <v>3303</v>
      </c>
      <c r="DOX1" t="s">
        <v>3304</v>
      </c>
      <c r="DOY1" t="s">
        <v>3305</v>
      </c>
      <c r="DOZ1" t="s">
        <v>3306</v>
      </c>
      <c r="DPA1" t="s">
        <v>3307</v>
      </c>
      <c r="DPB1" t="s">
        <v>3308</v>
      </c>
      <c r="DPC1" t="s">
        <v>3309</v>
      </c>
      <c r="DPD1" t="s">
        <v>3310</v>
      </c>
      <c r="DPE1" t="s">
        <v>3311</v>
      </c>
      <c r="DPF1" t="s">
        <v>3312</v>
      </c>
      <c r="DPG1" t="s">
        <v>3313</v>
      </c>
      <c r="DPH1" t="s">
        <v>3314</v>
      </c>
      <c r="DPI1" t="s">
        <v>3315</v>
      </c>
      <c r="DPJ1" t="s">
        <v>3316</v>
      </c>
      <c r="DPK1" t="s">
        <v>3317</v>
      </c>
      <c r="DPL1" t="s">
        <v>3318</v>
      </c>
      <c r="DPM1" t="s">
        <v>3319</v>
      </c>
      <c r="DPN1" t="s">
        <v>3320</v>
      </c>
      <c r="DPO1" t="s">
        <v>3321</v>
      </c>
      <c r="DPP1" t="s">
        <v>3322</v>
      </c>
      <c r="DPQ1" t="s">
        <v>3323</v>
      </c>
      <c r="DPR1" t="s">
        <v>3324</v>
      </c>
      <c r="DPS1" t="s">
        <v>3325</v>
      </c>
      <c r="DPT1" t="s">
        <v>3326</v>
      </c>
      <c r="DPU1" t="s">
        <v>3327</v>
      </c>
      <c r="DPV1" t="s">
        <v>3328</v>
      </c>
      <c r="DPW1" t="s">
        <v>3329</v>
      </c>
      <c r="DPX1" t="s">
        <v>3330</v>
      </c>
      <c r="DPY1" t="s">
        <v>3331</v>
      </c>
      <c r="DPZ1" t="s">
        <v>3332</v>
      </c>
      <c r="DQA1" t="s">
        <v>3333</v>
      </c>
      <c r="DQB1" t="s">
        <v>3334</v>
      </c>
      <c r="DQC1" t="s">
        <v>3335</v>
      </c>
      <c r="DQD1" t="s">
        <v>3336</v>
      </c>
      <c r="DQE1" t="s">
        <v>3337</v>
      </c>
      <c r="DQF1" t="s">
        <v>3338</v>
      </c>
      <c r="DQG1" t="s">
        <v>3339</v>
      </c>
      <c r="DQH1" t="s">
        <v>3340</v>
      </c>
      <c r="DQI1" t="s">
        <v>3341</v>
      </c>
      <c r="DQJ1" t="s">
        <v>3342</v>
      </c>
      <c r="DQK1" t="s">
        <v>3343</v>
      </c>
      <c r="DQL1" t="s">
        <v>3344</v>
      </c>
      <c r="DQM1" t="s">
        <v>3345</v>
      </c>
      <c r="DQN1" t="s">
        <v>3346</v>
      </c>
      <c r="DQO1" t="s">
        <v>3347</v>
      </c>
      <c r="DQP1" t="s">
        <v>3348</v>
      </c>
      <c r="DQQ1" t="s">
        <v>3349</v>
      </c>
      <c r="DQR1" t="s">
        <v>3350</v>
      </c>
      <c r="DQS1" t="s">
        <v>3351</v>
      </c>
      <c r="DQT1" t="s">
        <v>3352</v>
      </c>
      <c r="DQU1" t="s">
        <v>3353</v>
      </c>
      <c r="DQV1" t="s">
        <v>3354</v>
      </c>
      <c r="DQW1" t="s">
        <v>3355</v>
      </c>
      <c r="DQX1" t="s">
        <v>3356</v>
      </c>
      <c r="DQY1" t="s">
        <v>3357</v>
      </c>
      <c r="DQZ1" t="s">
        <v>3358</v>
      </c>
      <c r="DRA1" t="s">
        <v>3359</v>
      </c>
      <c r="DRB1" t="s">
        <v>3360</v>
      </c>
      <c r="DRC1" t="s">
        <v>3361</v>
      </c>
      <c r="DRD1" t="s">
        <v>3362</v>
      </c>
      <c r="DRE1" t="s">
        <v>3363</v>
      </c>
      <c r="DRF1" t="s">
        <v>3364</v>
      </c>
      <c r="DRG1" t="s">
        <v>3365</v>
      </c>
      <c r="DRH1" t="s">
        <v>3366</v>
      </c>
      <c r="DRI1" t="s">
        <v>3367</v>
      </c>
      <c r="DRJ1" t="s">
        <v>3368</v>
      </c>
      <c r="DRK1" t="s">
        <v>3369</v>
      </c>
      <c r="DRL1" t="s">
        <v>3370</v>
      </c>
      <c r="DRM1" t="s">
        <v>3371</v>
      </c>
      <c r="DRN1" t="s">
        <v>3372</v>
      </c>
      <c r="DRO1" t="s">
        <v>3373</v>
      </c>
      <c r="DRP1" t="s">
        <v>3374</v>
      </c>
      <c r="DRQ1" t="s">
        <v>3375</v>
      </c>
      <c r="DRR1" t="s">
        <v>3376</v>
      </c>
      <c r="DRS1" t="s">
        <v>3377</v>
      </c>
      <c r="DRT1" t="s">
        <v>3378</v>
      </c>
      <c r="DRU1" t="s">
        <v>3379</v>
      </c>
      <c r="DRV1" t="s">
        <v>3380</v>
      </c>
      <c r="DRW1" t="s">
        <v>3381</v>
      </c>
      <c r="DRX1" t="s">
        <v>3382</v>
      </c>
      <c r="DRY1" t="s">
        <v>3383</v>
      </c>
      <c r="DRZ1" t="s">
        <v>3384</v>
      </c>
      <c r="DSA1" t="s">
        <v>3385</v>
      </c>
      <c r="DSB1" t="s">
        <v>3386</v>
      </c>
      <c r="DSC1" t="s">
        <v>3387</v>
      </c>
      <c r="DSD1" t="s">
        <v>3388</v>
      </c>
      <c r="DSE1" t="s">
        <v>3389</v>
      </c>
      <c r="DSF1" t="s">
        <v>3390</v>
      </c>
      <c r="DSG1" t="s">
        <v>3391</v>
      </c>
      <c r="DSH1" t="s">
        <v>3392</v>
      </c>
      <c r="DSI1" t="s">
        <v>3393</v>
      </c>
      <c r="DSJ1" t="s">
        <v>3394</v>
      </c>
      <c r="DSK1" t="s">
        <v>3395</v>
      </c>
      <c r="DSL1" t="s">
        <v>3396</v>
      </c>
      <c r="DSM1" t="s">
        <v>3397</v>
      </c>
      <c r="DSN1" t="s">
        <v>3398</v>
      </c>
      <c r="DSO1" t="s">
        <v>3399</v>
      </c>
      <c r="DSP1" t="s">
        <v>3400</v>
      </c>
      <c r="DSQ1" t="s">
        <v>3401</v>
      </c>
      <c r="DSR1" t="s">
        <v>3402</v>
      </c>
      <c r="DSS1" t="s">
        <v>3403</v>
      </c>
      <c r="DST1" t="s">
        <v>3404</v>
      </c>
      <c r="DSU1" t="s">
        <v>3405</v>
      </c>
      <c r="DSV1" t="s">
        <v>3406</v>
      </c>
      <c r="DSW1" t="s">
        <v>3407</v>
      </c>
      <c r="DSX1" t="s">
        <v>3408</v>
      </c>
      <c r="DSY1" t="s">
        <v>3409</v>
      </c>
      <c r="DSZ1" t="s">
        <v>3410</v>
      </c>
      <c r="DTA1" t="s">
        <v>3411</v>
      </c>
      <c r="DTB1" t="s">
        <v>3412</v>
      </c>
      <c r="DTC1" t="s">
        <v>3413</v>
      </c>
      <c r="DTD1" t="s">
        <v>3414</v>
      </c>
      <c r="DTE1" t="s">
        <v>3415</v>
      </c>
      <c r="DTF1" t="s">
        <v>3416</v>
      </c>
      <c r="DTG1" t="s">
        <v>3417</v>
      </c>
      <c r="DTH1" t="s">
        <v>3418</v>
      </c>
      <c r="DTI1" t="s">
        <v>3419</v>
      </c>
      <c r="DTJ1" t="s">
        <v>3420</v>
      </c>
      <c r="DTK1" t="s">
        <v>3421</v>
      </c>
      <c r="DTL1" t="s">
        <v>3422</v>
      </c>
      <c r="DTM1" t="s">
        <v>3423</v>
      </c>
      <c r="DTN1" t="s">
        <v>3424</v>
      </c>
      <c r="DTO1" t="s">
        <v>3425</v>
      </c>
      <c r="DTP1" t="s">
        <v>3426</v>
      </c>
      <c r="DTQ1" t="s">
        <v>3427</v>
      </c>
      <c r="DTR1" t="s">
        <v>3428</v>
      </c>
      <c r="DTS1" t="s">
        <v>3429</v>
      </c>
      <c r="DTT1" t="s">
        <v>3430</v>
      </c>
      <c r="DTU1" t="s">
        <v>3431</v>
      </c>
      <c r="DTV1" t="s">
        <v>3432</v>
      </c>
      <c r="DTW1" t="s">
        <v>3433</v>
      </c>
      <c r="DTX1" t="s">
        <v>3434</v>
      </c>
      <c r="DTY1" t="s">
        <v>3435</v>
      </c>
      <c r="DTZ1" t="s">
        <v>3436</v>
      </c>
      <c r="DUA1" t="s">
        <v>3437</v>
      </c>
      <c r="DUB1" t="s">
        <v>3438</v>
      </c>
      <c r="DUC1" t="s">
        <v>3439</v>
      </c>
      <c r="DUD1" t="s">
        <v>3440</v>
      </c>
      <c r="DUE1" t="s">
        <v>3441</v>
      </c>
      <c r="DUF1" t="s">
        <v>3442</v>
      </c>
      <c r="DUG1" t="s">
        <v>3443</v>
      </c>
      <c r="DUH1" t="s">
        <v>3444</v>
      </c>
      <c r="DUI1" t="s">
        <v>3445</v>
      </c>
      <c r="DUJ1" t="s">
        <v>3446</v>
      </c>
      <c r="DUK1" t="s">
        <v>3447</v>
      </c>
      <c r="DUL1" t="s">
        <v>3448</v>
      </c>
      <c r="DUM1" t="s">
        <v>3449</v>
      </c>
      <c r="DUN1" t="s">
        <v>3450</v>
      </c>
      <c r="DUO1" t="s">
        <v>3451</v>
      </c>
      <c r="DUP1" t="s">
        <v>3452</v>
      </c>
      <c r="DUQ1" t="s">
        <v>3453</v>
      </c>
      <c r="DUR1" t="s">
        <v>3454</v>
      </c>
      <c r="DUS1" t="s">
        <v>3455</v>
      </c>
      <c r="DUT1" t="s">
        <v>3456</v>
      </c>
      <c r="DUU1" t="s">
        <v>3457</v>
      </c>
      <c r="DUV1" t="s">
        <v>3458</v>
      </c>
      <c r="DUW1" t="s">
        <v>3459</v>
      </c>
      <c r="DUX1" t="s">
        <v>3460</v>
      </c>
      <c r="DUY1" t="s">
        <v>3461</v>
      </c>
      <c r="DUZ1" t="s">
        <v>3462</v>
      </c>
      <c r="DVA1" t="s">
        <v>3463</v>
      </c>
      <c r="DVB1" t="s">
        <v>3464</v>
      </c>
      <c r="DVC1" t="s">
        <v>3465</v>
      </c>
      <c r="DVD1" t="s">
        <v>3466</v>
      </c>
      <c r="DVE1" t="s">
        <v>3467</v>
      </c>
      <c r="DVF1" t="s">
        <v>3468</v>
      </c>
      <c r="DVG1" t="s">
        <v>3469</v>
      </c>
      <c r="DVH1" t="s">
        <v>3470</v>
      </c>
      <c r="DVI1" t="s">
        <v>3471</v>
      </c>
      <c r="DVJ1" t="s">
        <v>3472</v>
      </c>
      <c r="DVK1" t="s">
        <v>3473</v>
      </c>
      <c r="DVL1" t="s">
        <v>3474</v>
      </c>
      <c r="DVM1" t="s">
        <v>3475</v>
      </c>
      <c r="DVN1" t="s">
        <v>3476</v>
      </c>
      <c r="DVO1" t="s">
        <v>3477</v>
      </c>
      <c r="DVP1" t="s">
        <v>3478</v>
      </c>
      <c r="DVQ1" t="s">
        <v>3479</v>
      </c>
      <c r="DVR1" t="s">
        <v>3480</v>
      </c>
      <c r="DVS1" t="s">
        <v>3481</v>
      </c>
      <c r="DVT1" t="s">
        <v>3482</v>
      </c>
      <c r="DVU1" t="s">
        <v>3483</v>
      </c>
      <c r="DVV1" t="s">
        <v>3484</v>
      </c>
      <c r="DVW1" t="s">
        <v>3485</v>
      </c>
      <c r="DVX1" t="s">
        <v>3486</v>
      </c>
      <c r="DVY1" t="s">
        <v>3487</v>
      </c>
      <c r="DVZ1" t="s">
        <v>3488</v>
      </c>
      <c r="DWA1" t="s">
        <v>3489</v>
      </c>
      <c r="DWB1" t="s">
        <v>3490</v>
      </c>
      <c r="DWC1" t="s">
        <v>3491</v>
      </c>
      <c r="DWD1" t="s">
        <v>3492</v>
      </c>
      <c r="DWE1" t="s">
        <v>3493</v>
      </c>
      <c r="DWF1" t="s">
        <v>3494</v>
      </c>
      <c r="DWG1" t="s">
        <v>3495</v>
      </c>
      <c r="DWH1" t="s">
        <v>3496</v>
      </c>
      <c r="DWI1" t="s">
        <v>3497</v>
      </c>
      <c r="DWJ1" t="s">
        <v>3498</v>
      </c>
      <c r="DWK1" t="s">
        <v>3499</v>
      </c>
      <c r="DWL1" t="s">
        <v>3500</v>
      </c>
      <c r="DWM1" t="s">
        <v>3501</v>
      </c>
      <c r="DWN1" t="s">
        <v>3502</v>
      </c>
      <c r="DWO1" t="s">
        <v>3503</v>
      </c>
      <c r="DWP1" t="s">
        <v>3504</v>
      </c>
      <c r="DWQ1" t="s">
        <v>3505</v>
      </c>
      <c r="DWR1" t="s">
        <v>3506</v>
      </c>
      <c r="DWS1" t="s">
        <v>3507</v>
      </c>
      <c r="DWT1" t="s">
        <v>3508</v>
      </c>
      <c r="DWU1" t="s">
        <v>3509</v>
      </c>
      <c r="DWV1" t="s">
        <v>3510</v>
      </c>
      <c r="DWW1" t="s">
        <v>3511</v>
      </c>
      <c r="DWX1" t="s">
        <v>3512</v>
      </c>
      <c r="DWY1" t="s">
        <v>3513</v>
      </c>
      <c r="DWZ1" t="s">
        <v>3514</v>
      </c>
      <c r="DXA1" t="s">
        <v>3515</v>
      </c>
      <c r="DXB1" t="s">
        <v>3516</v>
      </c>
      <c r="DXC1" t="s">
        <v>3517</v>
      </c>
      <c r="DXD1" t="s">
        <v>3518</v>
      </c>
      <c r="DXE1" t="s">
        <v>3519</v>
      </c>
      <c r="DXF1" t="s">
        <v>3520</v>
      </c>
      <c r="DXG1" t="s">
        <v>3521</v>
      </c>
      <c r="DXH1" t="s">
        <v>3522</v>
      </c>
      <c r="DXI1" t="s">
        <v>3523</v>
      </c>
      <c r="DXJ1" t="s">
        <v>3524</v>
      </c>
      <c r="DXK1" t="s">
        <v>3525</v>
      </c>
      <c r="DXL1" t="s">
        <v>3526</v>
      </c>
      <c r="DXM1" t="s">
        <v>3527</v>
      </c>
      <c r="DXN1" t="s">
        <v>3528</v>
      </c>
      <c r="DXO1" t="s">
        <v>3529</v>
      </c>
      <c r="DXP1" t="s">
        <v>3530</v>
      </c>
      <c r="DXQ1" t="s">
        <v>3531</v>
      </c>
      <c r="DXR1" t="s">
        <v>3532</v>
      </c>
      <c r="DXS1" t="s">
        <v>3533</v>
      </c>
      <c r="DXT1" t="s">
        <v>3534</v>
      </c>
      <c r="DXU1" t="s">
        <v>3535</v>
      </c>
      <c r="DXV1" t="s">
        <v>3536</v>
      </c>
      <c r="DXW1" t="s">
        <v>3537</v>
      </c>
      <c r="DXX1" t="s">
        <v>3538</v>
      </c>
      <c r="DXY1" t="s">
        <v>3539</v>
      </c>
      <c r="DXZ1" t="s">
        <v>3540</v>
      </c>
      <c r="DYA1" t="s">
        <v>3541</v>
      </c>
      <c r="DYB1" t="s">
        <v>3542</v>
      </c>
      <c r="DYC1" t="s">
        <v>3543</v>
      </c>
      <c r="DYD1" t="s">
        <v>3544</v>
      </c>
      <c r="DYE1" t="s">
        <v>3545</v>
      </c>
      <c r="DYF1" t="s">
        <v>3546</v>
      </c>
      <c r="DYG1" t="s">
        <v>3547</v>
      </c>
      <c r="DYH1" t="s">
        <v>3548</v>
      </c>
      <c r="DYI1" t="s">
        <v>3549</v>
      </c>
      <c r="DYJ1" t="s">
        <v>3550</v>
      </c>
      <c r="DYK1" t="s">
        <v>3551</v>
      </c>
      <c r="DYL1" t="s">
        <v>3552</v>
      </c>
      <c r="DYM1" t="s">
        <v>3553</v>
      </c>
      <c r="DYN1" t="s">
        <v>3554</v>
      </c>
      <c r="DYO1" t="s">
        <v>3555</v>
      </c>
      <c r="DYP1" t="s">
        <v>3556</v>
      </c>
      <c r="DYQ1" t="s">
        <v>3557</v>
      </c>
      <c r="DYR1" t="s">
        <v>3558</v>
      </c>
      <c r="DYS1" t="s">
        <v>3559</v>
      </c>
      <c r="DYT1" t="s">
        <v>3560</v>
      </c>
      <c r="DYU1" t="s">
        <v>3561</v>
      </c>
      <c r="DYV1" t="s">
        <v>3562</v>
      </c>
      <c r="DYW1" t="s">
        <v>3563</v>
      </c>
      <c r="DYX1" t="s">
        <v>3564</v>
      </c>
      <c r="DYY1" t="s">
        <v>3565</v>
      </c>
      <c r="DYZ1" t="s">
        <v>3566</v>
      </c>
      <c r="DZA1" t="s">
        <v>3567</v>
      </c>
      <c r="DZB1" t="s">
        <v>3568</v>
      </c>
      <c r="DZC1" t="s">
        <v>3569</v>
      </c>
      <c r="DZD1" t="s">
        <v>3570</v>
      </c>
      <c r="DZE1" t="s">
        <v>3571</v>
      </c>
      <c r="DZF1" t="s">
        <v>3572</v>
      </c>
      <c r="DZG1" t="s">
        <v>3573</v>
      </c>
      <c r="DZH1" t="s">
        <v>3574</v>
      </c>
      <c r="DZI1" t="s">
        <v>3575</v>
      </c>
      <c r="DZJ1" t="s">
        <v>3576</v>
      </c>
      <c r="DZK1" t="s">
        <v>3577</v>
      </c>
      <c r="DZL1" t="s">
        <v>3578</v>
      </c>
      <c r="DZM1" t="s">
        <v>3579</v>
      </c>
      <c r="DZN1" t="s">
        <v>3580</v>
      </c>
      <c r="DZO1" t="s">
        <v>3581</v>
      </c>
      <c r="DZP1" t="s">
        <v>3582</v>
      </c>
      <c r="DZQ1" t="s">
        <v>3583</v>
      </c>
      <c r="DZR1" t="s">
        <v>3584</v>
      </c>
      <c r="DZS1" t="s">
        <v>3585</v>
      </c>
      <c r="DZT1" t="s">
        <v>3586</v>
      </c>
      <c r="DZU1" t="s">
        <v>3587</v>
      </c>
      <c r="DZV1" t="s">
        <v>3588</v>
      </c>
      <c r="DZW1" t="s">
        <v>3589</v>
      </c>
      <c r="DZX1" t="s">
        <v>3590</v>
      </c>
      <c r="DZY1" t="s">
        <v>3591</v>
      </c>
      <c r="DZZ1" t="s">
        <v>3592</v>
      </c>
      <c r="EAA1" t="s">
        <v>3593</v>
      </c>
      <c r="EAB1" t="s">
        <v>3594</v>
      </c>
      <c r="EAC1" t="s">
        <v>3595</v>
      </c>
      <c r="EAD1" t="s">
        <v>3596</v>
      </c>
      <c r="EAE1" t="s">
        <v>3597</v>
      </c>
      <c r="EAF1" t="s">
        <v>3598</v>
      </c>
      <c r="EAG1" t="s">
        <v>3599</v>
      </c>
      <c r="EAH1" t="s">
        <v>3600</v>
      </c>
      <c r="EAI1" t="s">
        <v>3601</v>
      </c>
      <c r="EAJ1" t="s">
        <v>3602</v>
      </c>
      <c r="EAK1" t="s">
        <v>3603</v>
      </c>
      <c r="EAL1" t="s">
        <v>3604</v>
      </c>
      <c r="EAM1" t="s">
        <v>3605</v>
      </c>
      <c r="EAN1" t="s">
        <v>3606</v>
      </c>
      <c r="EAO1" t="s">
        <v>3607</v>
      </c>
      <c r="EAP1" t="s">
        <v>3608</v>
      </c>
      <c r="EAQ1" t="s">
        <v>3609</v>
      </c>
      <c r="EAR1" t="s">
        <v>3610</v>
      </c>
      <c r="EAS1" t="s">
        <v>3611</v>
      </c>
      <c r="EAT1" t="s">
        <v>3612</v>
      </c>
      <c r="EAU1" t="s">
        <v>3613</v>
      </c>
      <c r="EAV1" t="s">
        <v>3614</v>
      </c>
      <c r="EAW1" t="s">
        <v>3615</v>
      </c>
      <c r="EAX1" t="s">
        <v>3616</v>
      </c>
      <c r="EAY1" t="s">
        <v>3617</v>
      </c>
      <c r="EAZ1" t="s">
        <v>3618</v>
      </c>
      <c r="EBA1" t="s">
        <v>3619</v>
      </c>
      <c r="EBB1" t="s">
        <v>3620</v>
      </c>
      <c r="EBC1" t="s">
        <v>3621</v>
      </c>
      <c r="EBD1" t="s">
        <v>3622</v>
      </c>
      <c r="EBE1" t="s">
        <v>3623</v>
      </c>
      <c r="EBF1" t="s">
        <v>3624</v>
      </c>
      <c r="EBG1" t="s">
        <v>3625</v>
      </c>
      <c r="EBH1" t="s">
        <v>3626</v>
      </c>
      <c r="EBI1" t="s">
        <v>3627</v>
      </c>
      <c r="EBJ1" t="s">
        <v>3628</v>
      </c>
      <c r="EBK1" t="s">
        <v>3629</v>
      </c>
      <c r="EBL1" t="s">
        <v>3630</v>
      </c>
      <c r="EBM1" t="s">
        <v>3631</v>
      </c>
      <c r="EBN1" t="s">
        <v>3632</v>
      </c>
      <c r="EBO1" t="s">
        <v>3633</v>
      </c>
      <c r="EBP1" t="s">
        <v>3634</v>
      </c>
      <c r="EBQ1" t="s">
        <v>3635</v>
      </c>
      <c r="EBR1" t="s">
        <v>3636</v>
      </c>
      <c r="EBS1" t="s">
        <v>3637</v>
      </c>
      <c r="EBT1" t="s">
        <v>3638</v>
      </c>
      <c r="EBU1" t="s">
        <v>3639</v>
      </c>
      <c r="EBV1" t="s">
        <v>3640</v>
      </c>
      <c r="EBW1" t="s">
        <v>3641</v>
      </c>
      <c r="EBX1" t="s">
        <v>3642</v>
      </c>
      <c r="EBY1" t="s">
        <v>3643</v>
      </c>
      <c r="EBZ1" t="s">
        <v>3644</v>
      </c>
      <c r="ECA1" t="s">
        <v>3645</v>
      </c>
      <c r="ECB1" t="s">
        <v>3646</v>
      </c>
      <c r="ECC1" t="s">
        <v>3647</v>
      </c>
      <c r="ECD1" t="s">
        <v>3648</v>
      </c>
      <c r="ECE1" t="s">
        <v>3649</v>
      </c>
      <c r="ECF1" t="s">
        <v>3650</v>
      </c>
      <c r="ECG1" t="s">
        <v>3651</v>
      </c>
      <c r="ECH1" t="s">
        <v>3652</v>
      </c>
      <c r="ECI1" t="s">
        <v>3653</v>
      </c>
      <c r="ECJ1" t="s">
        <v>3654</v>
      </c>
      <c r="ECK1" t="s">
        <v>3655</v>
      </c>
      <c r="ECL1" t="s">
        <v>3656</v>
      </c>
      <c r="ECM1" t="s">
        <v>3657</v>
      </c>
      <c r="ECN1" t="s">
        <v>3658</v>
      </c>
      <c r="ECO1" t="s">
        <v>3659</v>
      </c>
      <c r="ECP1" t="s">
        <v>3660</v>
      </c>
      <c r="ECQ1" t="s">
        <v>3661</v>
      </c>
      <c r="ECR1" t="s">
        <v>3662</v>
      </c>
      <c r="ECS1" t="s">
        <v>3663</v>
      </c>
      <c r="ECT1" t="s">
        <v>3664</v>
      </c>
      <c r="ECU1" t="s">
        <v>3665</v>
      </c>
      <c r="ECV1" t="s">
        <v>3666</v>
      </c>
      <c r="ECW1" t="s">
        <v>3667</v>
      </c>
      <c r="ECX1" t="s">
        <v>3668</v>
      </c>
      <c r="ECY1" t="s">
        <v>3669</v>
      </c>
      <c r="ECZ1" t="s">
        <v>3670</v>
      </c>
      <c r="EDA1" t="s">
        <v>3671</v>
      </c>
      <c r="EDB1" t="s">
        <v>3672</v>
      </c>
      <c r="EDC1" t="s">
        <v>3673</v>
      </c>
      <c r="EDD1" t="s">
        <v>3674</v>
      </c>
      <c r="EDE1" t="s">
        <v>3675</v>
      </c>
      <c r="EDF1" t="s">
        <v>3676</v>
      </c>
      <c r="EDG1" t="s">
        <v>3677</v>
      </c>
      <c r="EDH1" t="s">
        <v>3678</v>
      </c>
      <c r="EDI1" t="s">
        <v>3679</v>
      </c>
      <c r="EDJ1" t="s">
        <v>3680</v>
      </c>
      <c r="EDK1" t="s">
        <v>3681</v>
      </c>
      <c r="EDL1" t="s">
        <v>3682</v>
      </c>
      <c r="EDM1" t="s">
        <v>3683</v>
      </c>
      <c r="EDN1" t="s">
        <v>3684</v>
      </c>
      <c r="EDO1" t="s">
        <v>3685</v>
      </c>
      <c r="EDP1" t="s">
        <v>3686</v>
      </c>
      <c r="EDQ1" t="s">
        <v>3687</v>
      </c>
      <c r="EDR1" t="s">
        <v>3688</v>
      </c>
      <c r="EDS1" t="s">
        <v>3689</v>
      </c>
      <c r="EDT1" t="s">
        <v>3690</v>
      </c>
      <c r="EDU1" t="s">
        <v>3691</v>
      </c>
      <c r="EDV1" t="s">
        <v>3692</v>
      </c>
      <c r="EDW1" t="s">
        <v>3693</v>
      </c>
      <c r="EDX1" t="s">
        <v>3694</v>
      </c>
      <c r="EDY1" t="s">
        <v>3695</v>
      </c>
      <c r="EDZ1" t="s">
        <v>3696</v>
      </c>
      <c r="EEA1" t="s">
        <v>3697</v>
      </c>
      <c r="EEB1" t="s">
        <v>3698</v>
      </c>
      <c r="EEC1" t="s">
        <v>3699</v>
      </c>
      <c r="EED1" t="s">
        <v>3700</v>
      </c>
      <c r="EEE1" t="s">
        <v>3701</v>
      </c>
      <c r="EEF1" t="s">
        <v>3702</v>
      </c>
      <c r="EEG1" t="s">
        <v>3703</v>
      </c>
      <c r="EEH1" t="s">
        <v>3704</v>
      </c>
      <c r="EEI1" t="s">
        <v>3705</v>
      </c>
      <c r="EEJ1" t="s">
        <v>3706</v>
      </c>
      <c r="EEK1" t="s">
        <v>3707</v>
      </c>
      <c r="EEL1" t="s">
        <v>3708</v>
      </c>
      <c r="EEM1" t="s">
        <v>3709</v>
      </c>
      <c r="EEN1" t="s">
        <v>3710</v>
      </c>
      <c r="EEO1" t="s">
        <v>3711</v>
      </c>
      <c r="EEP1" t="s">
        <v>3712</v>
      </c>
      <c r="EEQ1" t="s">
        <v>3713</v>
      </c>
      <c r="EER1" t="s">
        <v>3714</v>
      </c>
      <c r="EES1" t="s">
        <v>3715</v>
      </c>
      <c r="EET1" t="s">
        <v>3716</v>
      </c>
      <c r="EEU1" t="s">
        <v>3717</v>
      </c>
      <c r="EEV1" t="s">
        <v>3718</v>
      </c>
      <c r="EEW1" t="s">
        <v>3719</v>
      </c>
      <c r="EEX1" t="s">
        <v>3720</v>
      </c>
      <c r="EEY1" t="s">
        <v>3721</v>
      </c>
      <c r="EEZ1" t="s">
        <v>3722</v>
      </c>
      <c r="EFA1" t="s">
        <v>3723</v>
      </c>
      <c r="EFB1" t="s">
        <v>3724</v>
      </c>
      <c r="EFC1" t="s">
        <v>3725</v>
      </c>
      <c r="EFD1" t="s">
        <v>3726</v>
      </c>
      <c r="EFE1" t="s">
        <v>3727</v>
      </c>
      <c r="EFF1" t="s">
        <v>3728</v>
      </c>
      <c r="EFG1" t="s">
        <v>3729</v>
      </c>
      <c r="EFH1" t="s">
        <v>3730</v>
      </c>
      <c r="EFI1" t="s">
        <v>3731</v>
      </c>
      <c r="EFJ1" t="s">
        <v>3732</v>
      </c>
      <c r="EFK1" t="s">
        <v>3733</v>
      </c>
      <c r="EFL1" t="s">
        <v>3734</v>
      </c>
      <c r="EFM1" t="s">
        <v>3735</v>
      </c>
      <c r="EFN1" t="s">
        <v>3736</v>
      </c>
      <c r="EFO1" t="s">
        <v>3737</v>
      </c>
      <c r="EFP1" t="s">
        <v>3738</v>
      </c>
      <c r="EFQ1" t="s">
        <v>3739</v>
      </c>
      <c r="EFR1" t="s">
        <v>3740</v>
      </c>
      <c r="EFS1" t="s">
        <v>3741</v>
      </c>
      <c r="EFT1" t="s">
        <v>3742</v>
      </c>
      <c r="EFU1" t="s">
        <v>3743</v>
      </c>
      <c r="EFV1" t="s">
        <v>3744</v>
      </c>
      <c r="EFW1" t="s">
        <v>3745</v>
      </c>
      <c r="EFX1" t="s">
        <v>3746</v>
      </c>
      <c r="EFY1" t="s">
        <v>3747</v>
      </c>
      <c r="EFZ1" t="s">
        <v>3748</v>
      </c>
      <c r="EGA1" t="s">
        <v>3749</v>
      </c>
      <c r="EGB1" t="s">
        <v>3750</v>
      </c>
      <c r="EGC1" t="s">
        <v>3751</v>
      </c>
      <c r="EGD1" t="s">
        <v>3752</v>
      </c>
      <c r="EGE1" t="s">
        <v>3753</v>
      </c>
      <c r="EGF1" t="s">
        <v>3754</v>
      </c>
      <c r="EGG1" t="s">
        <v>3755</v>
      </c>
      <c r="EGH1" t="s">
        <v>3756</v>
      </c>
      <c r="EGI1" t="s">
        <v>3757</v>
      </c>
      <c r="EGJ1" t="s">
        <v>3758</v>
      </c>
      <c r="EGK1" t="s">
        <v>3759</v>
      </c>
      <c r="EGL1" t="s">
        <v>3760</v>
      </c>
      <c r="EGM1" t="s">
        <v>3761</v>
      </c>
      <c r="EGN1" t="s">
        <v>3762</v>
      </c>
      <c r="EGO1" t="s">
        <v>3763</v>
      </c>
      <c r="EGP1" t="s">
        <v>3764</v>
      </c>
      <c r="EGQ1" t="s">
        <v>3765</v>
      </c>
      <c r="EGR1" t="s">
        <v>3766</v>
      </c>
      <c r="EGS1" t="s">
        <v>3767</v>
      </c>
      <c r="EGT1" t="s">
        <v>3768</v>
      </c>
      <c r="EGU1" t="s">
        <v>3769</v>
      </c>
      <c r="EGV1" t="s">
        <v>3770</v>
      </c>
      <c r="EGW1" t="s">
        <v>3771</v>
      </c>
      <c r="EGX1" t="s">
        <v>3772</v>
      </c>
      <c r="EGY1" t="s">
        <v>3773</v>
      </c>
      <c r="EGZ1" t="s">
        <v>3774</v>
      </c>
      <c r="EHA1" t="s">
        <v>3775</v>
      </c>
      <c r="EHB1" t="s">
        <v>3776</v>
      </c>
      <c r="EHC1" t="s">
        <v>3777</v>
      </c>
      <c r="EHD1" t="s">
        <v>3778</v>
      </c>
      <c r="EHE1" t="s">
        <v>3779</v>
      </c>
      <c r="EHF1" t="s">
        <v>3780</v>
      </c>
      <c r="EHG1" t="s">
        <v>3781</v>
      </c>
      <c r="EHH1" t="s">
        <v>3782</v>
      </c>
      <c r="EHI1" t="s">
        <v>3783</v>
      </c>
      <c r="EHJ1" t="s">
        <v>3784</v>
      </c>
      <c r="EHK1" t="s">
        <v>3785</v>
      </c>
      <c r="EHL1" t="s">
        <v>3786</v>
      </c>
      <c r="EHM1" t="s">
        <v>3787</v>
      </c>
      <c r="EHN1" t="s">
        <v>3788</v>
      </c>
      <c r="EHO1" t="s">
        <v>3789</v>
      </c>
      <c r="EHP1" t="s">
        <v>3790</v>
      </c>
      <c r="EHQ1" t="s">
        <v>3791</v>
      </c>
      <c r="EHR1" t="s">
        <v>3792</v>
      </c>
      <c r="EHS1" t="s">
        <v>3793</v>
      </c>
      <c r="EHT1" t="s">
        <v>3794</v>
      </c>
      <c r="EHU1" t="s">
        <v>3795</v>
      </c>
      <c r="EHV1" t="s">
        <v>3796</v>
      </c>
      <c r="EHW1" t="s">
        <v>3797</v>
      </c>
      <c r="EHX1" t="s">
        <v>3798</v>
      </c>
      <c r="EHY1" t="s">
        <v>3799</v>
      </c>
      <c r="EHZ1" t="s">
        <v>3800</v>
      </c>
      <c r="EIA1" t="s">
        <v>3801</v>
      </c>
      <c r="EIB1" t="s">
        <v>3802</v>
      </c>
      <c r="EIC1" t="s">
        <v>3803</v>
      </c>
      <c r="EID1" t="s">
        <v>3804</v>
      </c>
      <c r="EIE1" t="s">
        <v>3805</v>
      </c>
      <c r="EIF1" t="s">
        <v>3806</v>
      </c>
      <c r="EIG1" t="s">
        <v>3807</v>
      </c>
      <c r="EIH1" t="s">
        <v>3808</v>
      </c>
      <c r="EII1" t="s">
        <v>3809</v>
      </c>
      <c r="EIJ1" t="s">
        <v>3810</v>
      </c>
      <c r="EIK1" t="s">
        <v>3811</v>
      </c>
      <c r="EIL1" t="s">
        <v>3812</v>
      </c>
      <c r="EIM1" t="s">
        <v>3813</v>
      </c>
      <c r="EIN1" t="s">
        <v>3814</v>
      </c>
      <c r="EIO1" t="s">
        <v>3815</v>
      </c>
      <c r="EIP1" t="s">
        <v>3816</v>
      </c>
      <c r="EIQ1" t="s">
        <v>3817</v>
      </c>
      <c r="EIR1" t="s">
        <v>3818</v>
      </c>
      <c r="EIS1" t="s">
        <v>3819</v>
      </c>
      <c r="EIT1" t="s">
        <v>3820</v>
      </c>
      <c r="EIU1" t="s">
        <v>3821</v>
      </c>
      <c r="EIV1" t="s">
        <v>3822</v>
      </c>
      <c r="EIW1" t="s">
        <v>3823</v>
      </c>
      <c r="EIX1" t="s">
        <v>3824</v>
      </c>
      <c r="EIY1" t="s">
        <v>3825</v>
      </c>
      <c r="EIZ1" t="s">
        <v>3826</v>
      </c>
      <c r="EJA1" t="s">
        <v>3827</v>
      </c>
      <c r="EJB1" t="s">
        <v>3828</v>
      </c>
      <c r="EJC1" t="s">
        <v>3829</v>
      </c>
      <c r="EJD1" t="s">
        <v>3830</v>
      </c>
      <c r="EJE1" t="s">
        <v>3831</v>
      </c>
      <c r="EJF1" t="s">
        <v>3832</v>
      </c>
      <c r="EJG1" t="s">
        <v>3833</v>
      </c>
      <c r="EJH1" t="s">
        <v>3834</v>
      </c>
      <c r="EJI1" t="s">
        <v>3835</v>
      </c>
      <c r="EJJ1" t="s">
        <v>3836</v>
      </c>
      <c r="EJK1" t="s">
        <v>3837</v>
      </c>
      <c r="EJL1" t="s">
        <v>3838</v>
      </c>
      <c r="EJM1" t="s">
        <v>3839</v>
      </c>
      <c r="EJN1" t="s">
        <v>3840</v>
      </c>
      <c r="EJO1" t="s">
        <v>3841</v>
      </c>
      <c r="EJP1" t="s">
        <v>3842</v>
      </c>
      <c r="EJQ1" t="s">
        <v>3843</v>
      </c>
      <c r="EJR1" t="s">
        <v>3844</v>
      </c>
      <c r="EJS1" t="s">
        <v>3845</v>
      </c>
      <c r="EJT1" t="s">
        <v>3846</v>
      </c>
      <c r="EJU1" t="s">
        <v>3847</v>
      </c>
      <c r="EJV1" t="s">
        <v>3848</v>
      </c>
      <c r="EJW1" t="s">
        <v>3849</v>
      </c>
      <c r="EJX1" t="s">
        <v>3850</v>
      </c>
      <c r="EJY1" t="s">
        <v>3851</v>
      </c>
      <c r="EJZ1" t="s">
        <v>3852</v>
      </c>
      <c r="EKA1" t="s">
        <v>3853</v>
      </c>
      <c r="EKB1" t="s">
        <v>3854</v>
      </c>
      <c r="EKC1" t="s">
        <v>3855</v>
      </c>
      <c r="EKD1" t="s">
        <v>3856</v>
      </c>
      <c r="EKE1" t="s">
        <v>3857</v>
      </c>
      <c r="EKF1" t="s">
        <v>3858</v>
      </c>
      <c r="EKG1" t="s">
        <v>3859</v>
      </c>
      <c r="EKH1" t="s">
        <v>3860</v>
      </c>
      <c r="EKI1" t="s">
        <v>3861</v>
      </c>
      <c r="EKJ1" t="s">
        <v>3862</v>
      </c>
      <c r="EKK1" t="s">
        <v>3863</v>
      </c>
      <c r="EKL1" t="s">
        <v>3864</v>
      </c>
      <c r="EKM1" t="s">
        <v>3865</v>
      </c>
      <c r="EKN1" t="s">
        <v>3866</v>
      </c>
      <c r="EKO1" t="s">
        <v>3867</v>
      </c>
      <c r="EKP1" t="s">
        <v>3868</v>
      </c>
      <c r="EKQ1" t="s">
        <v>3869</v>
      </c>
      <c r="EKR1" t="s">
        <v>3870</v>
      </c>
      <c r="EKS1" t="s">
        <v>3871</v>
      </c>
      <c r="EKT1" t="s">
        <v>3872</v>
      </c>
      <c r="EKU1" t="s">
        <v>3873</v>
      </c>
      <c r="EKV1" t="s">
        <v>3874</v>
      </c>
      <c r="EKW1" t="s">
        <v>3875</v>
      </c>
      <c r="EKX1" t="s">
        <v>3876</v>
      </c>
      <c r="EKY1" t="s">
        <v>3877</v>
      </c>
      <c r="EKZ1" t="s">
        <v>3878</v>
      </c>
      <c r="ELA1" t="s">
        <v>3879</v>
      </c>
      <c r="ELB1" t="s">
        <v>3880</v>
      </c>
      <c r="ELC1" t="s">
        <v>3881</v>
      </c>
      <c r="ELD1" t="s">
        <v>3882</v>
      </c>
      <c r="ELE1" t="s">
        <v>3883</v>
      </c>
      <c r="ELF1" t="s">
        <v>3884</v>
      </c>
      <c r="ELG1" t="s">
        <v>3885</v>
      </c>
      <c r="ELH1" t="s">
        <v>3886</v>
      </c>
      <c r="ELI1" t="s">
        <v>3887</v>
      </c>
      <c r="ELJ1" t="s">
        <v>3888</v>
      </c>
      <c r="ELK1" t="s">
        <v>3889</v>
      </c>
      <c r="ELL1" t="s">
        <v>3890</v>
      </c>
      <c r="ELM1" t="s">
        <v>3891</v>
      </c>
      <c r="ELN1" t="s">
        <v>3892</v>
      </c>
      <c r="ELO1" t="s">
        <v>3893</v>
      </c>
      <c r="ELP1" t="s">
        <v>3894</v>
      </c>
      <c r="ELQ1" t="s">
        <v>3895</v>
      </c>
      <c r="ELR1" t="s">
        <v>3896</v>
      </c>
      <c r="ELS1" t="s">
        <v>3897</v>
      </c>
      <c r="ELT1" t="s">
        <v>3898</v>
      </c>
      <c r="ELU1" t="s">
        <v>3899</v>
      </c>
      <c r="ELV1" t="s">
        <v>3900</v>
      </c>
      <c r="ELW1" t="s">
        <v>3901</v>
      </c>
      <c r="ELX1" t="s">
        <v>3902</v>
      </c>
      <c r="ELY1" t="s">
        <v>3903</v>
      </c>
      <c r="ELZ1" t="s">
        <v>3904</v>
      </c>
      <c r="EMA1" t="s">
        <v>3905</v>
      </c>
      <c r="EMB1" t="s">
        <v>3906</v>
      </c>
      <c r="EMC1" t="s">
        <v>3907</v>
      </c>
      <c r="EMD1" t="s">
        <v>3908</v>
      </c>
      <c r="EME1" t="s">
        <v>3909</v>
      </c>
      <c r="EMF1" t="s">
        <v>3910</v>
      </c>
      <c r="EMG1" t="s">
        <v>3911</v>
      </c>
      <c r="EMH1" t="s">
        <v>3912</v>
      </c>
      <c r="EMI1" t="s">
        <v>3913</v>
      </c>
      <c r="EMJ1" t="s">
        <v>3914</v>
      </c>
      <c r="EMK1" t="s">
        <v>3915</v>
      </c>
      <c r="EML1" t="s">
        <v>3916</v>
      </c>
      <c r="EMM1" t="s">
        <v>3917</v>
      </c>
      <c r="EMN1" t="s">
        <v>3918</v>
      </c>
      <c r="EMO1" t="s">
        <v>3919</v>
      </c>
      <c r="EMP1" t="s">
        <v>3920</v>
      </c>
      <c r="EMQ1" t="s">
        <v>3921</v>
      </c>
      <c r="EMR1" t="s">
        <v>3922</v>
      </c>
      <c r="EMS1" t="s">
        <v>3923</v>
      </c>
      <c r="EMT1" t="s">
        <v>3924</v>
      </c>
      <c r="EMU1" t="s">
        <v>3925</v>
      </c>
      <c r="EMV1" t="s">
        <v>3926</v>
      </c>
      <c r="EMW1" t="s">
        <v>3927</v>
      </c>
      <c r="EMX1" t="s">
        <v>3928</v>
      </c>
      <c r="EMY1" t="s">
        <v>3929</v>
      </c>
      <c r="EMZ1" t="s">
        <v>3930</v>
      </c>
      <c r="ENA1" t="s">
        <v>3931</v>
      </c>
      <c r="ENB1" t="s">
        <v>3932</v>
      </c>
      <c r="ENC1" t="s">
        <v>3933</v>
      </c>
      <c r="END1" t="s">
        <v>3934</v>
      </c>
      <c r="ENE1" t="s">
        <v>3935</v>
      </c>
      <c r="ENF1" t="s">
        <v>3936</v>
      </c>
      <c r="ENG1" t="s">
        <v>3937</v>
      </c>
      <c r="ENH1" t="s">
        <v>3938</v>
      </c>
      <c r="ENI1" t="s">
        <v>3939</v>
      </c>
      <c r="ENJ1" t="s">
        <v>3940</v>
      </c>
      <c r="ENK1" t="s">
        <v>3941</v>
      </c>
      <c r="ENL1" t="s">
        <v>3942</v>
      </c>
      <c r="ENM1" t="s">
        <v>3943</v>
      </c>
      <c r="ENN1" t="s">
        <v>3944</v>
      </c>
      <c r="ENO1" t="s">
        <v>3945</v>
      </c>
      <c r="ENP1" t="s">
        <v>3946</v>
      </c>
      <c r="ENQ1" t="s">
        <v>3947</v>
      </c>
      <c r="ENR1" t="s">
        <v>3948</v>
      </c>
      <c r="ENS1" t="s">
        <v>3949</v>
      </c>
      <c r="ENT1" t="s">
        <v>3950</v>
      </c>
      <c r="ENU1" t="s">
        <v>3951</v>
      </c>
      <c r="ENV1" t="s">
        <v>3952</v>
      </c>
      <c r="ENW1" t="s">
        <v>3953</v>
      </c>
      <c r="ENX1" t="s">
        <v>3954</v>
      </c>
      <c r="ENY1" t="s">
        <v>3955</v>
      </c>
      <c r="ENZ1" t="s">
        <v>3956</v>
      </c>
      <c r="EOA1" t="s">
        <v>3957</v>
      </c>
      <c r="EOB1" t="s">
        <v>3958</v>
      </c>
      <c r="EOC1" t="s">
        <v>3959</v>
      </c>
      <c r="EOD1" t="s">
        <v>3960</v>
      </c>
      <c r="EOE1" t="s">
        <v>3961</v>
      </c>
      <c r="EOF1" t="s">
        <v>3962</v>
      </c>
      <c r="EOG1" t="s">
        <v>3963</v>
      </c>
      <c r="EOH1" t="s">
        <v>3964</v>
      </c>
      <c r="EOI1" t="s">
        <v>3965</v>
      </c>
      <c r="EOJ1" t="s">
        <v>3966</v>
      </c>
      <c r="EOK1" t="s">
        <v>3967</v>
      </c>
      <c r="EOL1" t="s">
        <v>3968</v>
      </c>
      <c r="EOM1" t="s">
        <v>3969</v>
      </c>
      <c r="EON1" t="s">
        <v>3970</v>
      </c>
      <c r="EOO1" t="s">
        <v>3971</v>
      </c>
      <c r="EOP1" t="s">
        <v>3972</v>
      </c>
      <c r="EOQ1" t="s">
        <v>3973</v>
      </c>
      <c r="EOR1" t="s">
        <v>3974</v>
      </c>
      <c r="EOS1" t="s">
        <v>3975</v>
      </c>
      <c r="EOT1" t="s">
        <v>3976</v>
      </c>
      <c r="EOU1" t="s">
        <v>3977</v>
      </c>
      <c r="EOV1" t="s">
        <v>3978</v>
      </c>
      <c r="EOW1" t="s">
        <v>3979</v>
      </c>
      <c r="EOX1" t="s">
        <v>3980</v>
      </c>
      <c r="EOY1" t="s">
        <v>3981</v>
      </c>
      <c r="EOZ1" t="s">
        <v>3982</v>
      </c>
      <c r="EPA1" t="s">
        <v>3983</v>
      </c>
      <c r="EPB1" t="s">
        <v>3984</v>
      </c>
      <c r="EPC1" t="s">
        <v>3985</v>
      </c>
      <c r="EPD1" t="s">
        <v>3986</v>
      </c>
      <c r="EPE1" t="s">
        <v>3987</v>
      </c>
      <c r="EPF1" t="s">
        <v>3988</v>
      </c>
      <c r="EPG1" t="s">
        <v>3989</v>
      </c>
      <c r="EPH1" t="s">
        <v>3990</v>
      </c>
      <c r="EPI1" t="s">
        <v>3991</v>
      </c>
      <c r="EPJ1" t="s">
        <v>3992</v>
      </c>
      <c r="EPK1" t="s">
        <v>3993</v>
      </c>
      <c r="EPL1" t="s">
        <v>3994</v>
      </c>
      <c r="EPM1" t="s">
        <v>3995</v>
      </c>
      <c r="EPN1" t="s">
        <v>3996</v>
      </c>
      <c r="EPO1" t="s">
        <v>3997</v>
      </c>
      <c r="EPP1" t="s">
        <v>3998</v>
      </c>
      <c r="EPQ1" t="s">
        <v>3999</v>
      </c>
      <c r="EPR1" t="s">
        <v>4000</v>
      </c>
      <c r="EPS1" t="s">
        <v>4001</v>
      </c>
      <c r="EPT1" t="s">
        <v>4002</v>
      </c>
      <c r="EPU1" t="s">
        <v>4003</v>
      </c>
      <c r="EPV1" t="s">
        <v>4004</v>
      </c>
      <c r="EPW1" t="s">
        <v>4005</v>
      </c>
      <c r="EPX1" t="s">
        <v>4006</v>
      </c>
      <c r="EPY1" t="s">
        <v>4007</v>
      </c>
      <c r="EPZ1" t="s">
        <v>4008</v>
      </c>
      <c r="EQA1" t="s">
        <v>4009</v>
      </c>
      <c r="EQB1" t="s">
        <v>4010</v>
      </c>
      <c r="EQC1" t="s">
        <v>4011</v>
      </c>
      <c r="EQD1" t="s">
        <v>4012</v>
      </c>
      <c r="EQE1" t="s">
        <v>4013</v>
      </c>
      <c r="EQF1" t="s">
        <v>4014</v>
      </c>
      <c r="EQG1" t="s">
        <v>4015</v>
      </c>
      <c r="EQH1" t="s">
        <v>4016</v>
      </c>
      <c r="EQI1" t="s">
        <v>4017</v>
      </c>
      <c r="EQJ1" t="s">
        <v>4018</v>
      </c>
      <c r="EQK1" t="s">
        <v>4019</v>
      </c>
      <c r="EQL1" t="s">
        <v>4020</v>
      </c>
      <c r="EQM1" t="s">
        <v>4021</v>
      </c>
      <c r="EQN1" t="s">
        <v>4022</v>
      </c>
      <c r="EQO1" t="s">
        <v>4023</v>
      </c>
      <c r="EQP1" t="s">
        <v>4024</v>
      </c>
      <c r="EQQ1" t="s">
        <v>4025</v>
      </c>
      <c r="EQR1" t="s">
        <v>4026</v>
      </c>
      <c r="EQS1" t="s">
        <v>4027</v>
      </c>
      <c r="EQT1" t="s">
        <v>4028</v>
      </c>
      <c r="EQU1" t="s">
        <v>4029</v>
      </c>
      <c r="EQV1" t="s">
        <v>4030</v>
      </c>
      <c r="EQW1" t="s">
        <v>4031</v>
      </c>
      <c r="EQX1" t="s">
        <v>4032</v>
      </c>
      <c r="EQY1" t="s">
        <v>4033</v>
      </c>
      <c r="EQZ1" t="s">
        <v>4034</v>
      </c>
      <c r="ERA1" t="s">
        <v>4035</v>
      </c>
      <c r="ERB1" t="s">
        <v>4036</v>
      </c>
      <c r="ERC1" t="s">
        <v>4037</v>
      </c>
      <c r="ERD1" t="s">
        <v>4038</v>
      </c>
      <c r="ERE1" t="s">
        <v>4039</v>
      </c>
      <c r="ERF1" t="s">
        <v>4040</v>
      </c>
      <c r="ERG1" t="s">
        <v>4041</v>
      </c>
      <c r="ERH1" t="s">
        <v>4042</v>
      </c>
      <c r="ERI1" t="s">
        <v>4043</v>
      </c>
      <c r="ERJ1" t="s">
        <v>4044</v>
      </c>
      <c r="ERK1" t="s">
        <v>4045</v>
      </c>
      <c r="ERL1" t="s">
        <v>4046</v>
      </c>
      <c r="ERM1" t="s">
        <v>4047</v>
      </c>
      <c r="ERN1" t="s">
        <v>4048</v>
      </c>
      <c r="ERO1" t="s">
        <v>4049</v>
      </c>
      <c r="ERP1" t="s">
        <v>4050</v>
      </c>
      <c r="ERQ1" t="s">
        <v>4051</v>
      </c>
      <c r="ERR1" t="s">
        <v>4052</v>
      </c>
      <c r="ERS1" t="s">
        <v>4053</v>
      </c>
      <c r="ERT1" t="s">
        <v>4054</v>
      </c>
      <c r="ERU1" t="s">
        <v>4055</v>
      </c>
      <c r="ERV1" t="s">
        <v>4056</v>
      </c>
      <c r="ERW1" t="s">
        <v>4057</v>
      </c>
      <c r="ERX1" t="s">
        <v>4058</v>
      </c>
      <c r="ERY1" t="s">
        <v>4059</v>
      </c>
      <c r="ERZ1" t="s">
        <v>4060</v>
      </c>
      <c r="ESA1" t="s">
        <v>4061</v>
      </c>
      <c r="ESB1" t="s">
        <v>4062</v>
      </c>
      <c r="ESC1" t="s">
        <v>4063</v>
      </c>
      <c r="ESD1" t="s">
        <v>4064</v>
      </c>
      <c r="ESE1" t="s">
        <v>4065</v>
      </c>
      <c r="ESF1" t="s">
        <v>4066</v>
      </c>
      <c r="ESG1" t="s">
        <v>4067</v>
      </c>
      <c r="ESH1" t="s">
        <v>4068</v>
      </c>
      <c r="ESI1" t="s">
        <v>4069</v>
      </c>
      <c r="ESJ1" t="s">
        <v>4070</v>
      </c>
      <c r="ESK1" t="s">
        <v>4071</v>
      </c>
      <c r="ESL1" t="s">
        <v>4072</v>
      </c>
      <c r="ESM1" t="s">
        <v>4073</v>
      </c>
      <c r="ESN1" t="s">
        <v>4074</v>
      </c>
      <c r="ESO1" t="s">
        <v>4075</v>
      </c>
      <c r="ESP1" t="s">
        <v>4076</v>
      </c>
      <c r="ESQ1" t="s">
        <v>4077</v>
      </c>
      <c r="ESR1" t="s">
        <v>4078</v>
      </c>
      <c r="ESS1" t="s">
        <v>4079</v>
      </c>
      <c r="EST1" t="s">
        <v>4080</v>
      </c>
      <c r="ESU1" t="s">
        <v>4081</v>
      </c>
      <c r="ESV1" t="s">
        <v>4082</v>
      </c>
      <c r="ESW1" t="s">
        <v>4083</v>
      </c>
      <c r="ESX1" t="s">
        <v>4084</v>
      </c>
      <c r="ESY1" t="s">
        <v>4085</v>
      </c>
      <c r="ESZ1" t="s">
        <v>4086</v>
      </c>
      <c r="ETA1" t="s">
        <v>4087</v>
      </c>
      <c r="ETB1" t="s">
        <v>4088</v>
      </c>
      <c r="ETC1" t="s">
        <v>4089</v>
      </c>
      <c r="ETD1" t="s">
        <v>4090</v>
      </c>
      <c r="ETE1" t="s">
        <v>4091</v>
      </c>
      <c r="ETF1" t="s">
        <v>4092</v>
      </c>
      <c r="ETG1" t="s">
        <v>4093</v>
      </c>
      <c r="ETH1" t="s">
        <v>4094</v>
      </c>
      <c r="ETI1" t="s">
        <v>4095</v>
      </c>
      <c r="ETJ1" t="s">
        <v>4096</v>
      </c>
      <c r="ETK1" t="s">
        <v>4097</v>
      </c>
      <c r="ETL1" t="s">
        <v>4098</v>
      </c>
      <c r="ETM1" t="s">
        <v>4099</v>
      </c>
      <c r="ETN1" t="s">
        <v>4100</v>
      </c>
      <c r="ETO1" t="s">
        <v>4101</v>
      </c>
      <c r="ETP1" t="s">
        <v>4102</v>
      </c>
      <c r="ETQ1" t="s">
        <v>4103</v>
      </c>
      <c r="ETR1" t="s">
        <v>4104</v>
      </c>
      <c r="ETS1" t="s">
        <v>4105</v>
      </c>
      <c r="ETT1" t="s">
        <v>4106</v>
      </c>
      <c r="ETU1" t="s">
        <v>4107</v>
      </c>
      <c r="ETV1" t="s">
        <v>4108</v>
      </c>
      <c r="ETW1" t="s">
        <v>4109</v>
      </c>
      <c r="ETX1" t="s">
        <v>4110</v>
      </c>
      <c r="ETY1" t="s">
        <v>4111</v>
      </c>
      <c r="ETZ1" t="s">
        <v>4112</v>
      </c>
      <c r="EUA1" t="s">
        <v>4113</v>
      </c>
      <c r="EUB1" t="s">
        <v>4114</v>
      </c>
      <c r="EUC1" t="s">
        <v>4115</v>
      </c>
      <c r="EUD1" t="s">
        <v>4116</v>
      </c>
      <c r="EUE1" t="s">
        <v>4117</v>
      </c>
      <c r="EUF1" t="s">
        <v>4118</v>
      </c>
      <c r="EUG1" t="s">
        <v>4119</v>
      </c>
      <c r="EUH1" t="s">
        <v>4120</v>
      </c>
      <c r="EUI1" t="s">
        <v>4121</v>
      </c>
      <c r="EUJ1" t="s">
        <v>4122</v>
      </c>
      <c r="EUK1" t="s">
        <v>4123</v>
      </c>
      <c r="EUL1" t="s">
        <v>4124</v>
      </c>
      <c r="EUM1" t="s">
        <v>4125</v>
      </c>
      <c r="EUN1" t="s">
        <v>4126</v>
      </c>
      <c r="EUO1" t="s">
        <v>4127</v>
      </c>
      <c r="EUP1" t="s">
        <v>4128</v>
      </c>
      <c r="EUQ1" t="s">
        <v>4129</v>
      </c>
      <c r="EUR1" t="s">
        <v>4130</v>
      </c>
      <c r="EUS1" t="s">
        <v>4131</v>
      </c>
      <c r="EUT1" t="s">
        <v>4132</v>
      </c>
      <c r="EUU1" t="s">
        <v>4133</v>
      </c>
      <c r="EUV1" t="s">
        <v>4134</v>
      </c>
      <c r="EUW1" t="s">
        <v>4135</v>
      </c>
      <c r="EUX1" t="s">
        <v>4136</v>
      </c>
      <c r="EUY1" t="s">
        <v>4137</v>
      </c>
      <c r="EUZ1" t="s">
        <v>4138</v>
      </c>
      <c r="EVA1" t="s">
        <v>4139</v>
      </c>
      <c r="EVB1" t="s">
        <v>4140</v>
      </c>
      <c r="EVC1" t="s">
        <v>4141</v>
      </c>
      <c r="EVD1" t="s">
        <v>4142</v>
      </c>
      <c r="EVE1" t="s">
        <v>4143</v>
      </c>
      <c r="EVF1" t="s">
        <v>4144</v>
      </c>
      <c r="EVG1" t="s">
        <v>4145</v>
      </c>
      <c r="EVH1" t="s">
        <v>4146</v>
      </c>
      <c r="EVI1" t="s">
        <v>4147</v>
      </c>
      <c r="EVJ1" t="s">
        <v>4148</v>
      </c>
      <c r="EVK1" t="s">
        <v>4149</v>
      </c>
      <c r="EVL1" t="s">
        <v>4150</v>
      </c>
      <c r="EVM1" t="s">
        <v>4151</v>
      </c>
      <c r="EVN1" t="s">
        <v>4152</v>
      </c>
      <c r="EVO1" t="s">
        <v>4153</v>
      </c>
      <c r="EVP1" t="s">
        <v>4154</v>
      </c>
      <c r="EVQ1" t="s">
        <v>4155</v>
      </c>
      <c r="EVR1" t="s">
        <v>4156</v>
      </c>
      <c r="EVS1" t="s">
        <v>4157</v>
      </c>
      <c r="EVT1" t="s">
        <v>4158</v>
      </c>
      <c r="EVU1" t="s">
        <v>4159</v>
      </c>
      <c r="EVV1" t="s">
        <v>4160</v>
      </c>
      <c r="EVW1" t="s">
        <v>4161</v>
      </c>
      <c r="EVX1" t="s">
        <v>4162</v>
      </c>
      <c r="EVY1" t="s">
        <v>4163</v>
      </c>
      <c r="EVZ1" t="s">
        <v>4164</v>
      </c>
      <c r="EWA1" t="s">
        <v>4165</v>
      </c>
      <c r="EWB1" t="s">
        <v>4166</v>
      </c>
      <c r="EWC1" t="s">
        <v>4167</v>
      </c>
      <c r="EWD1" t="s">
        <v>4168</v>
      </c>
      <c r="EWE1" t="s">
        <v>4169</v>
      </c>
      <c r="EWF1" t="s">
        <v>4170</v>
      </c>
      <c r="EWG1" t="s">
        <v>4171</v>
      </c>
      <c r="EWH1" t="s">
        <v>4172</v>
      </c>
      <c r="EWI1" t="s">
        <v>4173</v>
      </c>
      <c r="EWJ1" t="s">
        <v>4174</v>
      </c>
      <c r="EWK1" t="s">
        <v>4175</v>
      </c>
      <c r="EWL1" t="s">
        <v>4176</v>
      </c>
      <c r="EWM1" t="s">
        <v>4177</v>
      </c>
      <c r="EWN1" t="s">
        <v>4178</v>
      </c>
      <c r="EWO1" t="s">
        <v>4179</v>
      </c>
      <c r="EWP1" t="s">
        <v>4180</v>
      </c>
      <c r="EWQ1" t="s">
        <v>4181</v>
      </c>
      <c r="EWR1" t="s">
        <v>4182</v>
      </c>
      <c r="EWS1" t="s">
        <v>4183</v>
      </c>
      <c r="EWT1" t="s">
        <v>4184</v>
      </c>
      <c r="EWU1" t="s">
        <v>4185</v>
      </c>
      <c r="EWV1" t="s">
        <v>4186</v>
      </c>
      <c r="EWW1" t="s">
        <v>4187</v>
      </c>
      <c r="EWX1" t="s">
        <v>4188</v>
      </c>
      <c r="EWY1" t="s">
        <v>4189</v>
      </c>
      <c r="EWZ1" t="s">
        <v>4190</v>
      </c>
      <c r="EXA1" t="s">
        <v>4191</v>
      </c>
      <c r="EXB1" t="s">
        <v>4192</v>
      </c>
      <c r="EXC1" t="s">
        <v>4193</v>
      </c>
      <c r="EXD1" t="s">
        <v>4194</v>
      </c>
      <c r="EXE1" t="s">
        <v>4195</v>
      </c>
      <c r="EXF1" t="s">
        <v>4196</v>
      </c>
      <c r="EXG1" t="s">
        <v>4197</v>
      </c>
      <c r="EXH1" t="s">
        <v>4198</v>
      </c>
      <c r="EXI1" t="s">
        <v>4199</v>
      </c>
      <c r="EXJ1" t="s">
        <v>4200</v>
      </c>
      <c r="EXK1" t="s">
        <v>4201</v>
      </c>
      <c r="EXL1" t="s">
        <v>4202</v>
      </c>
      <c r="EXM1" t="s">
        <v>4203</v>
      </c>
      <c r="EXN1" t="s">
        <v>4204</v>
      </c>
      <c r="EXO1" t="s">
        <v>4205</v>
      </c>
      <c r="EXP1" t="s">
        <v>4206</v>
      </c>
      <c r="EXQ1" t="s">
        <v>4207</v>
      </c>
      <c r="EXR1" t="s">
        <v>4208</v>
      </c>
      <c r="EXS1" t="s">
        <v>4209</v>
      </c>
      <c r="EXT1" t="s">
        <v>4210</v>
      </c>
      <c r="EXU1" t="s">
        <v>4211</v>
      </c>
      <c r="EXV1" t="s">
        <v>4212</v>
      </c>
      <c r="EXW1" t="s">
        <v>4213</v>
      </c>
      <c r="EXX1" t="s">
        <v>4214</v>
      </c>
      <c r="EXY1" t="s">
        <v>4215</v>
      </c>
      <c r="EXZ1" t="s">
        <v>4216</v>
      </c>
      <c r="EYA1" t="s">
        <v>4217</v>
      </c>
      <c r="EYB1" t="s">
        <v>4218</v>
      </c>
      <c r="EYC1" t="s">
        <v>4219</v>
      </c>
      <c r="EYD1" t="s">
        <v>4220</v>
      </c>
      <c r="EYE1" t="s">
        <v>4221</v>
      </c>
      <c r="EYF1" t="s">
        <v>4222</v>
      </c>
      <c r="EYG1" t="s">
        <v>4223</v>
      </c>
      <c r="EYH1" t="s">
        <v>4224</v>
      </c>
      <c r="EYI1" t="s">
        <v>4225</v>
      </c>
      <c r="EYJ1" t="s">
        <v>4226</v>
      </c>
      <c r="EYK1" t="s">
        <v>4227</v>
      </c>
      <c r="EYL1" t="s">
        <v>4228</v>
      </c>
      <c r="EYM1" t="s">
        <v>4229</v>
      </c>
      <c r="EYN1" t="s">
        <v>4230</v>
      </c>
      <c r="EYO1" t="s">
        <v>4231</v>
      </c>
      <c r="EYP1" t="s">
        <v>4232</v>
      </c>
      <c r="EYQ1" t="s">
        <v>4233</v>
      </c>
      <c r="EYR1" t="s">
        <v>4234</v>
      </c>
      <c r="EYS1" t="s">
        <v>4235</v>
      </c>
      <c r="EYT1" t="s">
        <v>4236</v>
      </c>
      <c r="EYU1" t="s">
        <v>4237</v>
      </c>
      <c r="EYV1" t="s">
        <v>4238</v>
      </c>
      <c r="EYW1" t="s">
        <v>4239</v>
      </c>
      <c r="EYX1" t="s">
        <v>4240</v>
      </c>
      <c r="EYY1" t="s">
        <v>4241</v>
      </c>
      <c r="EYZ1" t="s">
        <v>4242</v>
      </c>
      <c r="EZA1" t="s">
        <v>4243</v>
      </c>
      <c r="EZB1" t="s">
        <v>4244</v>
      </c>
      <c r="EZC1" t="s">
        <v>4245</v>
      </c>
      <c r="EZD1" t="s">
        <v>4246</v>
      </c>
      <c r="EZE1" t="s">
        <v>4247</v>
      </c>
      <c r="EZF1" t="s">
        <v>4248</v>
      </c>
      <c r="EZG1" t="s">
        <v>4249</v>
      </c>
      <c r="EZH1" t="s">
        <v>4250</v>
      </c>
      <c r="EZI1" t="s">
        <v>4251</v>
      </c>
      <c r="EZJ1" t="s">
        <v>4252</v>
      </c>
      <c r="EZK1" t="s">
        <v>4253</v>
      </c>
      <c r="EZL1" t="s">
        <v>4254</v>
      </c>
      <c r="EZM1" t="s">
        <v>4255</v>
      </c>
      <c r="EZN1" t="s">
        <v>4256</v>
      </c>
      <c r="EZO1" t="s">
        <v>4257</v>
      </c>
      <c r="EZP1" t="s">
        <v>4258</v>
      </c>
      <c r="EZQ1" t="s">
        <v>4259</v>
      </c>
      <c r="EZR1" t="s">
        <v>4260</v>
      </c>
      <c r="EZS1" t="s">
        <v>4261</v>
      </c>
      <c r="EZT1" t="s">
        <v>4262</v>
      </c>
      <c r="EZU1" t="s">
        <v>4263</v>
      </c>
      <c r="EZV1" t="s">
        <v>4264</v>
      </c>
      <c r="EZW1" t="s">
        <v>4265</v>
      </c>
      <c r="EZX1" t="s">
        <v>4266</v>
      </c>
      <c r="EZY1" t="s">
        <v>4267</v>
      </c>
      <c r="EZZ1" t="s">
        <v>4268</v>
      </c>
      <c r="FAA1" t="s">
        <v>4269</v>
      </c>
      <c r="FAB1" t="s">
        <v>4270</v>
      </c>
      <c r="FAC1" t="s">
        <v>4271</v>
      </c>
      <c r="FAD1" t="s">
        <v>4272</v>
      </c>
      <c r="FAE1" t="s">
        <v>4273</v>
      </c>
      <c r="FAF1" t="s">
        <v>4274</v>
      </c>
      <c r="FAG1" t="s">
        <v>4275</v>
      </c>
      <c r="FAH1" t="s">
        <v>4276</v>
      </c>
      <c r="FAI1" t="s">
        <v>4277</v>
      </c>
      <c r="FAJ1" t="s">
        <v>4278</v>
      </c>
      <c r="FAK1" t="s">
        <v>4279</v>
      </c>
      <c r="FAL1" t="s">
        <v>4280</v>
      </c>
      <c r="FAM1" t="s">
        <v>4281</v>
      </c>
      <c r="FAN1" t="s">
        <v>4282</v>
      </c>
      <c r="FAO1" t="s">
        <v>4283</v>
      </c>
      <c r="FAP1" t="s">
        <v>4284</v>
      </c>
      <c r="FAQ1" t="s">
        <v>4285</v>
      </c>
      <c r="FAR1" t="s">
        <v>4286</v>
      </c>
      <c r="FAS1" t="s">
        <v>4287</v>
      </c>
      <c r="FAT1" t="s">
        <v>4288</v>
      </c>
      <c r="FAU1" t="s">
        <v>4289</v>
      </c>
      <c r="FAV1" t="s">
        <v>4290</v>
      </c>
      <c r="FAW1" t="s">
        <v>4291</v>
      </c>
      <c r="FAX1" t="s">
        <v>4292</v>
      </c>
      <c r="FAY1" t="s">
        <v>4293</v>
      </c>
      <c r="FAZ1" t="s">
        <v>4294</v>
      </c>
      <c r="FBA1" t="s">
        <v>4295</v>
      </c>
      <c r="FBB1" t="s">
        <v>4296</v>
      </c>
      <c r="FBC1" t="s">
        <v>4297</v>
      </c>
      <c r="FBD1" t="s">
        <v>4298</v>
      </c>
      <c r="FBE1" t="s">
        <v>4299</v>
      </c>
      <c r="FBF1" t="s">
        <v>4300</v>
      </c>
      <c r="FBG1" t="s">
        <v>4301</v>
      </c>
      <c r="FBH1" t="s">
        <v>4302</v>
      </c>
      <c r="FBI1" t="s">
        <v>4303</v>
      </c>
      <c r="FBJ1" t="s">
        <v>4304</v>
      </c>
      <c r="FBK1" t="s">
        <v>4305</v>
      </c>
      <c r="FBL1" t="s">
        <v>4306</v>
      </c>
      <c r="FBM1" t="s">
        <v>4307</v>
      </c>
      <c r="FBN1" t="s">
        <v>4308</v>
      </c>
      <c r="FBO1" t="s">
        <v>4309</v>
      </c>
      <c r="FBP1" t="s">
        <v>4310</v>
      </c>
      <c r="FBQ1" t="s">
        <v>4311</v>
      </c>
      <c r="FBR1" t="s">
        <v>4312</v>
      </c>
      <c r="FBS1" t="s">
        <v>4313</v>
      </c>
      <c r="FBT1" t="s">
        <v>4314</v>
      </c>
      <c r="FBU1" t="s">
        <v>4315</v>
      </c>
      <c r="FBV1" t="s">
        <v>4316</v>
      </c>
      <c r="FBW1" t="s">
        <v>4317</v>
      </c>
      <c r="FBX1" t="s">
        <v>4318</v>
      </c>
      <c r="FBY1" t="s">
        <v>4319</v>
      </c>
      <c r="FBZ1" t="s">
        <v>4320</v>
      </c>
      <c r="FCA1" t="s">
        <v>4321</v>
      </c>
      <c r="FCB1" t="s">
        <v>4322</v>
      </c>
      <c r="FCC1" t="s">
        <v>4323</v>
      </c>
      <c r="FCD1" t="s">
        <v>4324</v>
      </c>
      <c r="FCE1" t="s">
        <v>4325</v>
      </c>
      <c r="FCF1" t="s">
        <v>4326</v>
      </c>
      <c r="FCG1" t="s">
        <v>4327</v>
      </c>
      <c r="FCH1" t="s">
        <v>4328</v>
      </c>
      <c r="FCI1" t="s">
        <v>4329</v>
      </c>
      <c r="FCJ1" t="s">
        <v>4330</v>
      </c>
      <c r="FCK1" t="s">
        <v>4331</v>
      </c>
      <c r="FCL1" t="s">
        <v>4332</v>
      </c>
      <c r="FCM1" t="s">
        <v>4333</v>
      </c>
      <c r="FCN1" t="s">
        <v>4334</v>
      </c>
      <c r="FCO1" t="s">
        <v>4335</v>
      </c>
      <c r="FCP1" t="s">
        <v>4336</v>
      </c>
      <c r="FCQ1" t="s">
        <v>4337</v>
      </c>
      <c r="FCR1" t="s">
        <v>4338</v>
      </c>
      <c r="FCS1" t="s">
        <v>4339</v>
      </c>
      <c r="FCT1" t="s">
        <v>4340</v>
      </c>
      <c r="FCU1" t="s">
        <v>4341</v>
      </c>
      <c r="FCV1" t="s">
        <v>4342</v>
      </c>
      <c r="FCW1" t="s">
        <v>4343</v>
      </c>
      <c r="FCX1" t="s">
        <v>4344</v>
      </c>
      <c r="FCY1" t="s">
        <v>4345</v>
      </c>
      <c r="FCZ1" t="s">
        <v>4346</v>
      </c>
      <c r="FDA1" t="s">
        <v>4347</v>
      </c>
      <c r="FDB1" t="s">
        <v>4348</v>
      </c>
      <c r="FDC1" t="s">
        <v>4349</v>
      </c>
      <c r="FDD1" t="s">
        <v>4350</v>
      </c>
      <c r="FDE1" t="s">
        <v>4351</v>
      </c>
      <c r="FDF1" t="s">
        <v>4352</v>
      </c>
      <c r="FDG1" t="s">
        <v>4353</v>
      </c>
      <c r="FDH1" t="s">
        <v>4354</v>
      </c>
      <c r="FDI1" t="s">
        <v>4355</v>
      </c>
      <c r="FDJ1" t="s">
        <v>4356</v>
      </c>
      <c r="FDK1" t="s">
        <v>4357</v>
      </c>
      <c r="FDL1" t="s">
        <v>4358</v>
      </c>
      <c r="FDM1" t="s">
        <v>4359</v>
      </c>
      <c r="FDN1" t="s">
        <v>4360</v>
      </c>
      <c r="FDO1" t="s">
        <v>4361</v>
      </c>
      <c r="FDP1" t="s">
        <v>4362</v>
      </c>
      <c r="FDQ1" t="s">
        <v>4363</v>
      </c>
      <c r="FDR1" t="s">
        <v>4364</v>
      </c>
      <c r="FDS1" t="s">
        <v>4365</v>
      </c>
      <c r="FDT1" t="s">
        <v>4366</v>
      </c>
      <c r="FDU1" t="s">
        <v>4367</v>
      </c>
      <c r="FDV1" t="s">
        <v>4368</v>
      </c>
      <c r="FDW1" t="s">
        <v>4369</v>
      </c>
      <c r="FDX1" t="s">
        <v>4370</v>
      </c>
      <c r="FDY1" t="s">
        <v>4371</v>
      </c>
      <c r="FDZ1" t="s">
        <v>4372</v>
      </c>
      <c r="FEA1" t="s">
        <v>4373</v>
      </c>
      <c r="FEB1" t="s">
        <v>4374</v>
      </c>
      <c r="FEC1" t="s">
        <v>4375</v>
      </c>
      <c r="FED1" t="s">
        <v>4376</v>
      </c>
      <c r="FEE1" t="s">
        <v>4377</v>
      </c>
      <c r="FEF1" t="s">
        <v>4378</v>
      </c>
      <c r="FEG1" t="s">
        <v>4379</v>
      </c>
      <c r="FEH1" t="s">
        <v>4380</v>
      </c>
      <c r="FEI1" t="s">
        <v>4381</v>
      </c>
      <c r="FEJ1" t="s">
        <v>4382</v>
      </c>
      <c r="FEK1" t="s">
        <v>4383</v>
      </c>
      <c r="FEL1" t="s">
        <v>4384</v>
      </c>
      <c r="FEM1" t="s">
        <v>4385</v>
      </c>
      <c r="FEN1" t="s">
        <v>4386</v>
      </c>
      <c r="FEO1" t="s">
        <v>4387</v>
      </c>
      <c r="FEP1" t="s">
        <v>4388</v>
      </c>
      <c r="FEQ1" t="s">
        <v>4389</v>
      </c>
      <c r="FER1" t="s">
        <v>4390</v>
      </c>
      <c r="FES1" t="s">
        <v>4391</v>
      </c>
      <c r="FET1" t="s">
        <v>4392</v>
      </c>
      <c r="FEU1" t="s">
        <v>4393</v>
      </c>
      <c r="FEV1" t="s">
        <v>4394</v>
      </c>
      <c r="FEW1" t="s">
        <v>4395</v>
      </c>
      <c r="FEX1" t="s">
        <v>4396</v>
      </c>
      <c r="FEY1" t="s">
        <v>4397</v>
      </c>
      <c r="FEZ1" t="s">
        <v>4398</v>
      </c>
      <c r="FFA1" t="s">
        <v>4399</v>
      </c>
      <c r="FFB1" t="s">
        <v>4400</v>
      </c>
      <c r="FFC1" t="s">
        <v>4401</v>
      </c>
      <c r="FFD1" t="s">
        <v>4402</v>
      </c>
      <c r="FFE1" t="s">
        <v>4403</v>
      </c>
      <c r="FFF1" t="s">
        <v>4404</v>
      </c>
      <c r="FFG1" t="s">
        <v>4405</v>
      </c>
      <c r="FFH1" t="s">
        <v>4406</v>
      </c>
      <c r="FFI1" t="s">
        <v>4407</v>
      </c>
      <c r="FFJ1" t="s">
        <v>4408</v>
      </c>
      <c r="FFK1" t="s">
        <v>4409</v>
      </c>
      <c r="FFL1" t="s">
        <v>4410</v>
      </c>
      <c r="FFM1" t="s">
        <v>4411</v>
      </c>
      <c r="FFN1" t="s">
        <v>4412</v>
      </c>
      <c r="FFO1" t="s">
        <v>4413</v>
      </c>
      <c r="FFP1" t="s">
        <v>4414</v>
      </c>
      <c r="FFQ1" t="s">
        <v>4415</v>
      </c>
      <c r="FFR1" t="s">
        <v>4416</v>
      </c>
      <c r="FFS1" t="s">
        <v>4417</v>
      </c>
      <c r="FFT1" t="s">
        <v>4418</v>
      </c>
      <c r="FFU1" t="s">
        <v>4419</v>
      </c>
      <c r="FFV1" t="s">
        <v>4420</v>
      </c>
      <c r="FFW1" t="s">
        <v>4421</v>
      </c>
      <c r="FFX1" t="s">
        <v>4422</v>
      </c>
      <c r="FFY1" t="s">
        <v>4423</v>
      </c>
      <c r="FFZ1" t="s">
        <v>4424</v>
      </c>
      <c r="FGA1" t="s">
        <v>4425</v>
      </c>
      <c r="FGB1" t="s">
        <v>4426</v>
      </c>
      <c r="FGC1" t="s">
        <v>4427</v>
      </c>
      <c r="FGD1" t="s">
        <v>4428</v>
      </c>
      <c r="FGE1" t="s">
        <v>4429</v>
      </c>
      <c r="FGF1" t="s">
        <v>4430</v>
      </c>
      <c r="FGG1" t="s">
        <v>4431</v>
      </c>
      <c r="FGH1" t="s">
        <v>4432</v>
      </c>
      <c r="FGI1" t="s">
        <v>4433</v>
      </c>
      <c r="FGJ1" t="s">
        <v>4434</v>
      </c>
      <c r="FGK1" t="s">
        <v>4435</v>
      </c>
      <c r="FGL1" t="s">
        <v>4436</v>
      </c>
      <c r="FGM1" t="s">
        <v>4437</v>
      </c>
      <c r="FGN1" t="s">
        <v>4438</v>
      </c>
      <c r="FGO1" t="s">
        <v>4439</v>
      </c>
      <c r="FGP1" t="s">
        <v>4440</v>
      </c>
      <c r="FGQ1" t="s">
        <v>4441</v>
      </c>
      <c r="FGR1" t="s">
        <v>4442</v>
      </c>
      <c r="FGS1" t="s">
        <v>4443</v>
      </c>
      <c r="FGT1" t="s">
        <v>4444</v>
      </c>
      <c r="FGU1" t="s">
        <v>4445</v>
      </c>
      <c r="FGV1" t="s">
        <v>4446</v>
      </c>
      <c r="FGW1" t="s">
        <v>4447</v>
      </c>
      <c r="FGX1" t="s">
        <v>4448</v>
      </c>
      <c r="FGY1" t="s">
        <v>4449</v>
      </c>
      <c r="FGZ1" t="s">
        <v>4450</v>
      </c>
      <c r="FHA1" t="s">
        <v>4451</v>
      </c>
      <c r="FHB1" t="s">
        <v>4452</v>
      </c>
      <c r="FHC1" t="s">
        <v>4453</v>
      </c>
      <c r="FHD1" t="s">
        <v>4454</v>
      </c>
      <c r="FHE1" t="s">
        <v>4455</v>
      </c>
      <c r="FHF1" t="s">
        <v>4456</v>
      </c>
      <c r="FHG1" t="s">
        <v>4457</v>
      </c>
      <c r="FHH1" t="s">
        <v>4458</v>
      </c>
      <c r="FHI1" t="s">
        <v>4459</v>
      </c>
      <c r="FHJ1" t="s">
        <v>4460</v>
      </c>
      <c r="FHK1" t="s">
        <v>4461</v>
      </c>
      <c r="FHL1" t="s">
        <v>4462</v>
      </c>
      <c r="FHM1" t="s">
        <v>4463</v>
      </c>
      <c r="FHN1" t="s">
        <v>4464</v>
      </c>
      <c r="FHO1" t="s">
        <v>4465</v>
      </c>
      <c r="FHP1" t="s">
        <v>4466</v>
      </c>
      <c r="FHQ1" t="s">
        <v>4467</v>
      </c>
      <c r="FHR1" t="s">
        <v>4468</v>
      </c>
      <c r="FHS1" t="s">
        <v>4469</v>
      </c>
      <c r="FHT1" t="s">
        <v>4470</v>
      </c>
      <c r="FHU1" t="s">
        <v>4471</v>
      </c>
      <c r="FHV1" t="s">
        <v>4472</v>
      </c>
      <c r="FHW1" t="s">
        <v>4473</v>
      </c>
      <c r="FHX1" t="s">
        <v>4474</v>
      </c>
      <c r="FHY1" t="s">
        <v>4475</v>
      </c>
      <c r="FHZ1" t="s">
        <v>4476</v>
      </c>
      <c r="FIA1" t="s">
        <v>4477</v>
      </c>
      <c r="FIB1" t="s">
        <v>4478</v>
      </c>
      <c r="FIC1" t="s">
        <v>4479</v>
      </c>
      <c r="FID1" t="s">
        <v>4480</v>
      </c>
      <c r="FIE1" t="s">
        <v>4481</v>
      </c>
      <c r="FIF1" t="s">
        <v>4482</v>
      </c>
      <c r="FIG1" t="s">
        <v>4483</v>
      </c>
      <c r="FIH1" t="s">
        <v>4484</v>
      </c>
      <c r="FII1" t="s">
        <v>4485</v>
      </c>
      <c r="FIJ1" t="s">
        <v>4486</v>
      </c>
      <c r="FIK1" t="s">
        <v>4487</v>
      </c>
      <c r="FIL1" t="s">
        <v>4488</v>
      </c>
      <c r="FIM1" t="s">
        <v>4489</v>
      </c>
      <c r="FIN1" t="s">
        <v>4490</v>
      </c>
      <c r="FIO1" t="s">
        <v>4491</v>
      </c>
      <c r="FIP1" t="s">
        <v>4492</v>
      </c>
      <c r="FIQ1" t="s">
        <v>4493</v>
      </c>
      <c r="FIR1" t="s">
        <v>4494</v>
      </c>
      <c r="FIS1" t="s">
        <v>4495</v>
      </c>
      <c r="FIT1" t="s">
        <v>4496</v>
      </c>
      <c r="FIU1" t="s">
        <v>4497</v>
      </c>
      <c r="FIV1" t="s">
        <v>4498</v>
      </c>
      <c r="FIW1" t="s">
        <v>4499</v>
      </c>
      <c r="FIX1" t="s">
        <v>4500</v>
      </c>
      <c r="FIY1" t="s">
        <v>4501</v>
      </c>
      <c r="FIZ1" t="s">
        <v>4502</v>
      </c>
      <c r="FJA1" t="s">
        <v>4503</v>
      </c>
      <c r="FJB1" t="s">
        <v>4504</v>
      </c>
      <c r="FJC1" t="s">
        <v>4505</v>
      </c>
      <c r="FJD1" t="s">
        <v>4506</v>
      </c>
      <c r="FJE1" t="s">
        <v>4507</v>
      </c>
      <c r="FJF1" t="s">
        <v>4508</v>
      </c>
      <c r="FJG1" t="s">
        <v>4509</v>
      </c>
      <c r="FJH1" t="s">
        <v>4510</v>
      </c>
      <c r="FJI1" t="s">
        <v>4511</v>
      </c>
      <c r="FJJ1" t="s">
        <v>4512</v>
      </c>
      <c r="FJK1" t="s">
        <v>4513</v>
      </c>
      <c r="FJL1" t="s">
        <v>4514</v>
      </c>
      <c r="FJM1" t="s">
        <v>4515</v>
      </c>
      <c r="FJN1" t="s">
        <v>4516</v>
      </c>
      <c r="FJO1" t="s">
        <v>4517</v>
      </c>
      <c r="FJP1" t="s">
        <v>4518</v>
      </c>
      <c r="FJQ1" t="s">
        <v>4519</v>
      </c>
      <c r="FJR1" t="s">
        <v>4520</v>
      </c>
      <c r="FJS1" t="s">
        <v>4521</v>
      </c>
      <c r="FJT1" t="s">
        <v>4522</v>
      </c>
      <c r="FJU1" t="s">
        <v>4523</v>
      </c>
      <c r="FJV1" t="s">
        <v>4524</v>
      </c>
      <c r="FJW1" t="s">
        <v>4525</v>
      </c>
      <c r="FJX1" t="s">
        <v>4526</v>
      </c>
      <c r="FJY1" t="s">
        <v>4527</v>
      </c>
      <c r="FJZ1" t="s">
        <v>4528</v>
      </c>
      <c r="FKA1" t="s">
        <v>4529</v>
      </c>
      <c r="FKB1" t="s">
        <v>4530</v>
      </c>
      <c r="FKC1" t="s">
        <v>4531</v>
      </c>
      <c r="FKD1" t="s">
        <v>4532</v>
      </c>
      <c r="FKE1" t="s">
        <v>4533</v>
      </c>
      <c r="FKF1" t="s">
        <v>4534</v>
      </c>
      <c r="FKG1" t="s">
        <v>4535</v>
      </c>
      <c r="FKH1" t="s">
        <v>4536</v>
      </c>
      <c r="FKI1" t="s">
        <v>4537</v>
      </c>
      <c r="FKJ1" t="s">
        <v>4538</v>
      </c>
      <c r="FKK1" t="s">
        <v>4539</v>
      </c>
      <c r="FKL1" t="s">
        <v>4540</v>
      </c>
      <c r="FKM1" t="s">
        <v>4541</v>
      </c>
      <c r="FKN1" t="s">
        <v>4542</v>
      </c>
      <c r="FKO1" t="s">
        <v>4543</v>
      </c>
      <c r="FKP1" t="s">
        <v>4544</v>
      </c>
      <c r="FKQ1" t="s">
        <v>4545</v>
      </c>
      <c r="FKR1" t="s">
        <v>4546</v>
      </c>
      <c r="FKS1" t="s">
        <v>4547</v>
      </c>
      <c r="FKT1" t="s">
        <v>4548</v>
      </c>
      <c r="FKU1" t="s">
        <v>4549</v>
      </c>
      <c r="FKV1" t="s">
        <v>4550</v>
      </c>
      <c r="FKW1" t="s">
        <v>4551</v>
      </c>
      <c r="FKX1" t="s">
        <v>4552</v>
      </c>
      <c r="FKY1" t="s">
        <v>4553</v>
      </c>
      <c r="FKZ1" t="s">
        <v>4554</v>
      </c>
      <c r="FLA1" t="s">
        <v>4555</v>
      </c>
      <c r="FLB1" t="s">
        <v>4556</v>
      </c>
      <c r="FLC1" t="s">
        <v>4557</v>
      </c>
      <c r="FLD1" t="s">
        <v>4558</v>
      </c>
      <c r="FLE1" t="s">
        <v>4559</v>
      </c>
      <c r="FLF1" t="s">
        <v>4560</v>
      </c>
      <c r="FLG1" t="s">
        <v>4561</v>
      </c>
      <c r="FLH1" t="s">
        <v>4562</v>
      </c>
      <c r="FLI1" t="s">
        <v>4563</v>
      </c>
      <c r="FLJ1" t="s">
        <v>4564</v>
      </c>
      <c r="FLK1" t="s">
        <v>4565</v>
      </c>
      <c r="FLL1" t="s">
        <v>4566</v>
      </c>
      <c r="FLM1" t="s">
        <v>4567</v>
      </c>
      <c r="FLN1" t="s">
        <v>4568</v>
      </c>
      <c r="FLO1" t="s">
        <v>4569</v>
      </c>
      <c r="FLP1" t="s">
        <v>4570</v>
      </c>
      <c r="FLQ1" t="s">
        <v>4571</v>
      </c>
      <c r="FLR1" t="s">
        <v>4572</v>
      </c>
      <c r="FLS1" t="s">
        <v>4573</v>
      </c>
      <c r="FLT1" t="s">
        <v>4574</v>
      </c>
      <c r="FLU1" t="s">
        <v>4575</v>
      </c>
      <c r="FLV1" t="s">
        <v>4576</v>
      </c>
      <c r="FLW1" t="s">
        <v>4577</v>
      </c>
      <c r="FLX1" t="s">
        <v>4578</v>
      </c>
      <c r="FLY1" t="s">
        <v>4579</v>
      </c>
      <c r="FLZ1" t="s">
        <v>4580</v>
      </c>
      <c r="FMA1" t="s">
        <v>4581</v>
      </c>
      <c r="FMB1" t="s">
        <v>4582</v>
      </c>
      <c r="FMC1" t="s">
        <v>4583</v>
      </c>
      <c r="FMD1" t="s">
        <v>4584</v>
      </c>
      <c r="FME1" t="s">
        <v>4585</v>
      </c>
      <c r="FMF1" t="s">
        <v>4586</v>
      </c>
      <c r="FMG1" t="s">
        <v>4587</v>
      </c>
      <c r="FMH1" t="s">
        <v>4588</v>
      </c>
      <c r="FMI1" t="s">
        <v>4589</v>
      </c>
      <c r="FMJ1" t="s">
        <v>4590</v>
      </c>
      <c r="FMK1" t="s">
        <v>4591</v>
      </c>
      <c r="FML1" t="s">
        <v>4592</v>
      </c>
      <c r="FMM1" t="s">
        <v>4593</v>
      </c>
      <c r="FMN1" t="s">
        <v>4594</v>
      </c>
      <c r="FMO1" t="s">
        <v>4595</v>
      </c>
      <c r="FMP1" t="s">
        <v>4596</v>
      </c>
      <c r="FMQ1" t="s">
        <v>4597</v>
      </c>
      <c r="FMR1" t="s">
        <v>4598</v>
      </c>
      <c r="FMS1" t="s">
        <v>4599</v>
      </c>
      <c r="FMT1" t="s">
        <v>4600</v>
      </c>
      <c r="FMU1" t="s">
        <v>4601</v>
      </c>
      <c r="FMV1" t="s">
        <v>4602</v>
      </c>
      <c r="FMW1" t="s">
        <v>4603</v>
      </c>
      <c r="FMX1" t="s">
        <v>4604</v>
      </c>
      <c r="FMY1" t="s">
        <v>4605</v>
      </c>
      <c r="FMZ1" t="s">
        <v>4606</v>
      </c>
      <c r="FNA1" t="s">
        <v>4607</v>
      </c>
      <c r="FNB1" t="s">
        <v>4608</v>
      </c>
      <c r="FNC1" t="s">
        <v>4609</v>
      </c>
      <c r="FND1" t="s">
        <v>4610</v>
      </c>
      <c r="FNE1" t="s">
        <v>4611</v>
      </c>
      <c r="FNF1" t="s">
        <v>4612</v>
      </c>
      <c r="FNG1" t="s">
        <v>4613</v>
      </c>
      <c r="FNH1" t="s">
        <v>4614</v>
      </c>
      <c r="FNI1" t="s">
        <v>4615</v>
      </c>
      <c r="FNJ1" t="s">
        <v>4616</v>
      </c>
      <c r="FNK1" t="s">
        <v>4617</v>
      </c>
      <c r="FNL1" t="s">
        <v>4618</v>
      </c>
      <c r="FNM1" t="s">
        <v>4619</v>
      </c>
      <c r="FNN1" t="s">
        <v>4620</v>
      </c>
      <c r="FNO1" t="s">
        <v>4621</v>
      </c>
      <c r="FNP1" t="s">
        <v>4622</v>
      </c>
      <c r="FNQ1" t="s">
        <v>4623</v>
      </c>
      <c r="FNR1" t="s">
        <v>4624</v>
      </c>
      <c r="FNS1" t="s">
        <v>4625</v>
      </c>
      <c r="FNT1" t="s">
        <v>4626</v>
      </c>
      <c r="FNU1" t="s">
        <v>4627</v>
      </c>
      <c r="FNV1" t="s">
        <v>4628</v>
      </c>
      <c r="FNW1" t="s">
        <v>4629</v>
      </c>
      <c r="FNX1" t="s">
        <v>4630</v>
      </c>
      <c r="FNY1" t="s">
        <v>4631</v>
      </c>
      <c r="FNZ1" t="s">
        <v>4632</v>
      </c>
      <c r="FOA1" t="s">
        <v>4633</v>
      </c>
      <c r="FOB1" t="s">
        <v>4634</v>
      </c>
      <c r="FOC1" t="s">
        <v>4635</v>
      </c>
      <c r="FOD1" t="s">
        <v>4636</v>
      </c>
      <c r="FOE1" t="s">
        <v>4637</v>
      </c>
      <c r="FOF1" t="s">
        <v>4638</v>
      </c>
      <c r="FOG1" t="s">
        <v>4639</v>
      </c>
      <c r="FOH1" t="s">
        <v>4640</v>
      </c>
      <c r="FOI1" t="s">
        <v>4641</v>
      </c>
      <c r="FOJ1" t="s">
        <v>4642</v>
      </c>
      <c r="FOK1" t="s">
        <v>4643</v>
      </c>
      <c r="FOL1" t="s">
        <v>4644</v>
      </c>
      <c r="FOM1" t="s">
        <v>4645</v>
      </c>
      <c r="FON1" t="s">
        <v>4646</v>
      </c>
      <c r="FOO1" t="s">
        <v>4647</v>
      </c>
      <c r="FOP1" t="s">
        <v>4648</v>
      </c>
      <c r="FOQ1" t="s">
        <v>4649</v>
      </c>
      <c r="FOR1" t="s">
        <v>4650</v>
      </c>
      <c r="FOS1" t="s">
        <v>4651</v>
      </c>
      <c r="FOT1" t="s">
        <v>4652</v>
      </c>
      <c r="FOU1" t="s">
        <v>4653</v>
      </c>
      <c r="FOV1" t="s">
        <v>4654</v>
      </c>
      <c r="FOW1" t="s">
        <v>4655</v>
      </c>
      <c r="FOX1" t="s">
        <v>4656</v>
      </c>
      <c r="FOY1" t="s">
        <v>4657</v>
      </c>
      <c r="FOZ1" t="s">
        <v>4658</v>
      </c>
      <c r="FPA1" t="s">
        <v>4659</v>
      </c>
      <c r="FPB1" t="s">
        <v>4660</v>
      </c>
      <c r="FPC1" t="s">
        <v>4661</v>
      </c>
      <c r="FPD1" t="s">
        <v>4662</v>
      </c>
      <c r="FPE1" t="s">
        <v>4663</v>
      </c>
      <c r="FPF1" t="s">
        <v>4664</v>
      </c>
      <c r="FPG1" t="s">
        <v>4665</v>
      </c>
      <c r="FPH1" t="s">
        <v>4666</v>
      </c>
      <c r="FPI1" t="s">
        <v>4667</v>
      </c>
      <c r="FPJ1" t="s">
        <v>4668</v>
      </c>
      <c r="FPK1" t="s">
        <v>4669</v>
      </c>
      <c r="FPL1" t="s">
        <v>4670</v>
      </c>
      <c r="FPM1" t="s">
        <v>4671</v>
      </c>
      <c r="FPN1" t="s">
        <v>4672</v>
      </c>
      <c r="FPO1" t="s">
        <v>4673</v>
      </c>
      <c r="FPP1" t="s">
        <v>4674</v>
      </c>
      <c r="FPQ1" t="s">
        <v>4675</v>
      </c>
      <c r="FPR1" t="s">
        <v>4676</v>
      </c>
      <c r="FPS1" t="s">
        <v>4677</v>
      </c>
      <c r="FPT1" t="s">
        <v>4678</v>
      </c>
      <c r="FPU1" t="s">
        <v>4679</v>
      </c>
      <c r="FPV1" t="s">
        <v>4680</v>
      </c>
      <c r="FPW1" t="s">
        <v>4681</v>
      </c>
      <c r="FPX1" t="s">
        <v>4682</v>
      </c>
      <c r="FPY1" t="s">
        <v>4683</v>
      </c>
      <c r="FPZ1" t="s">
        <v>4684</v>
      </c>
      <c r="FQA1" t="s">
        <v>4685</v>
      </c>
      <c r="FQB1" t="s">
        <v>4686</v>
      </c>
      <c r="FQC1" t="s">
        <v>4687</v>
      </c>
      <c r="FQD1" t="s">
        <v>4688</v>
      </c>
      <c r="FQE1" t="s">
        <v>4689</v>
      </c>
      <c r="FQF1" t="s">
        <v>4690</v>
      </c>
      <c r="FQG1" t="s">
        <v>4691</v>
      </c>
      <c r="FQH1" t="s">
        <v>4692</v>
      </c>
      <c r="FQI1" t="s">
        <v>4693</v>
      </c>
      <c r="FQJ1" t="s">
        <v>4694</v>
      </c>
      <c r="FQK1" t="s">
        <v>4695</v>
      </c>
      <c r="FQL1" t="s">
        <v>4696</v>
      </c>
      <c r="FQM1" t="s">
        <v>4697</v>
      </c>
      <c r="FQN1" t="s">
        <v>4698</v>
      </c>
      <c r="FQO1" t="s">
        <v>4699</v>
      </c>
      <c r="FQP1" t="s">
        <v>4700</v>
      </c>
      <c r="FQQ1" t="s">
        <v>4701</v>
      </c>
      <c r="FQR1" t="s">
        <v>4702</v>
      </c>
      <c r="FQS1" t="s">
        <v>4703</v>
      </c>
      <c r="FQT1" t="s">
        <v>4704</v>
      </c>
      <c r="FQU1" t="s">
        <v>4705</v>
      </c>
      <c r="FQV1" t="s">
        <v>4706</v>
      </c>
      <c r="FQW1" t="s">
        <v>4707</v>
      </c>
      <c r="FQX1" t="s">
        <v>4708</v>
      </c>
      <c r="FQY1" t="s">
        <v>4709</v>
      </c>
      <c r="FQZ1" t="s">
        <v>4710</v>
      </c>
      <c r="FRA1" t="s">
        <v>4711</v>
      </c>
      <c r="FRB1" t="s">
        <v>4712</v>
      </c>
      <c r="FRC1" t="s">
        <v>4713</v>
      </c>
      <c r="FRD1" t="s">
        <v>4714</v>
      </c>
      <c r="FRE1" t="s">
        <v>4715</v>
      </c>
      <c r="FRF1" t="s">
        <v>4716</v>
      </c>
      <c r="FRG1" t="s">
        <v>4717</v>
      </c>
      <c r="FRH1" t="s">
        <v>4718</v>
      </c>
      <c r="FRI1" t="s">
        <v>4719</v>
      </c>
      <c r="FRJ1" t="s">
        <v>4720</v>
      </c>
      <c r="FRK1" t="s">
        <v>4721</v>
      </c>
      <c r="FRL1" t="s">
        <v>4722</v>
      </c>
      <c r="FRM1" t="s">
        <v>4723</v>
      </c>
      <c r="FRN1" t="s">
        <v>4724</v>
      </c>
      <c r="FRO1" t="s">
        <v>4725</v>
      </c>
      <c r="FRP1" t="s">
        <v>4726</v>
      </c>
      <c r="FRQ1" t="s">
        <v>4727</v>
      </c>
      <c r="FRR1" t="s">
        <v>4728</v>
      </c>
      <c r="FRS1" t="s">
        <v>4729</v>
      </c>
      <c r="FRT1" t="s">
        <v>4730</v>
      </c>
      <c r="FRU1" t="s">
        <v>4731</v>
      </c>
      <c r="FRV1" t="s">
        <v>4732</v>
      </c>
      <c r="FRW1" t="s">
        <v>4733</v>
      </c>
      <c r="FRX1" t="s">
        <v>4734</v>
      </c>
      <c r="FRY1" t="s">
        <v>4735</v>
      </c>
      <c r="FRZ1" t="s">
        <v>4736</v>
      </c>
      <c r="FSA1" t="s">
        <v>4737</v>
      </c>
      <c r="FSB1" t="s">
        <v>4738</v>
      </c>
      <c r="FSC1" t="s">
        <v>4739</v>
      </c>
      <c r="FSD1" t="s">
        <v>4740</v>
      </c>
      <c r="FSE1" t="s">
        <v>4741</v>
      </c>
      <c r="FSF1" t="s">
        <v>4742</v>
      </c>
      <c r="FSG1" t="s">
        <v>4743</v>
      </c>
      <c r="FSH1" t="s">
        <v>4744</v>
      </c>
      <c r="FSI1" t="s">
        <v>4745</v>
      </c>
      <c r="FSJ1" t="s">
        <v>4746</v>
      </c>
      <c r="FSK1" t="s">
        <v>4747</v>
      </c>
      <c r="FSL1" t="s">
        <v>4748</v>
      </c>
      <c r="FSM1" t="s">
        <v>4749</v>
      </c>
      <c r="FSN1" t="s">
        <v>4750</v>
      </c>
      <c r="FSO1" t="s">
        <v>4751</v>
      </c>
      <c r="FSP1" t="s">
        <v>4752</v>
      </c>
      <c r="FSQ1" t="s">
        <v>4753</v>
      </c>
      <c r="FSR1" t="s">
        <v>4754</v>
      </c>
      <c r="FSS1" t="s">
        <v>4755</v>
      </c>
      <c r="FST1" t="s">
        <v>4756</v>
      </c>
      <c r="FSU1" t="s">
        <v>4757</v>
      </c>
      <c r="FSV1" t="s">
        <v>4758</v>
      </c>
      <c r="FSW1" t="s">
        <v>4759</v>
      </c>
      <c r="FSX1" t="s">
        <v>4760</v>
      </c>
      <c r="FSY1" t="s">
        <v>4761</v>
      </c>
      <c r="FSZ1" t="s">
        <v>4762</v>
      </c>
      <c r="FTA1" t="s">
        <v>4763</v>
      </c>
      <c r="FTB1" t="s">
        <v>4764</v>
      </c>
      <c r="FTC1" t="s">
        <v>4765</v>
      </c>
      <c r="FTD1" t="s">
        <v>4766</v>
      </c>
      <c r="FTE1" t="s">
        <v>4767</v>
      </c>
      <c r="FTF1" t="s">
        <v>4768</v>
      </c>
      <c r="FTG1" t="s">
        <v>4769</v>
      </c>
      <c r="FTH1" t="s">
        <v>4770</v>
      </c>
      <c r="FTI1" t="s">
        <v>4771</v>
      </c>
      <c r="FTJ1" t="s">
        <v>4772</v>
      </c>
      <c r="FTK1" t="s">
        <v>4773</v>
      </c>
      <c r="FTL1" t="s">
        <v>4774</v>
      </c>
      <c r="FTM1" t="s">
        <v>4775</v>
      </c>
      <c r="FTN1" t="s">
        <v>4776</v>
      </c>
      <c r="FTO1" t="s">
        <v>4777</v>
      </c>
      <c r="FTP1" t="s">
        <v>4778</v>
      </c>
      <c r="FTQ1" t="s">
        <v>4779</v>
      </c>
      <c r="FTR1" t="s">
        <v>4780</v>
      </c>
      <c r="FTS1" t="s">
        <v>4781</v>
      </c>
      <c r="FTT1" t="s">
        <v>4782</v>
      </c>
      <c r="FTU1" t="s">
        <v>4783</v>
      </c>
      <c r="FTV1" t="s">
        <v>4784</v>
      </c>
      <c r="FTW1" t="s">
        <v>4785</v>
      </c>
      <c r="FTX1" t="s">
        <v>4786</v>
      </c>
      <c r="FTY1" t="s">
        <v>4787</v>
      </c>
      <c r="FTZ1" t="s">
        <v>4788</v>
      </c>
      <c r="FUA1" t="s">
        <v>4789</v>
      </c>
      <c r="FUB1" t="s">
        <v>4790</v>
      </c>
      <c r="FUC1" t="s">
        <v>4791</v>
      </c>
      <c r="FUD1" t="s">
        <v>4792</v>
      </c>
      <c r="FUE1" t="s">
        <v>4793</v>
      </c>
      <c r="FUF1" t="s">
        <v>4794</v>
      </c>
      <c r="FUG1" t="s">
        <v>4795</v>
      </c>
      <c r="FUH1" t="s">
        <v>4796</v>
      </c>
      <c r="FUI1" t="s">
        <v>4797</v>
      </c>
      <c r="FUJ1" t="s">
        <v>4798</v>
      </c>
      <c r="FUK1" t="s">
        <v>4799</v>
      </c>
      <c r="FUL1" t="s">
        <v>4800</v>
      </c>
      <c r="FUM1" t="s">
        <v>4801</v>
      </c>
      <c r="FUN1" t="s">
        <v>4802</v>
      </c>
      <c r="FUO1" t="s">
        <v>4803</v>
      </c>
      <c r="FUP1" t="s">
        <v>4804</v>
      </c>
      <c r="FUQ1" t="s">
        <v>4805</v>
      </c>
      <c r="FUR1" t="s">
        <v>4806</v>
      </c>
      <c r="FUS1" t="s">
        <v>4807</v>
      </c>
      <c r="FUT1" t="s">
        <v>4808</v>
      </c>
      <c r="FUU1" t="s">
        <v>4809</v>
      </c>
      <c r="FUV1" t="s">
        <v>4810</v>
      </c>
      <c r="FUW1" t="s">
        <v>4811</v>
      </c>
      <c r="FUX1" t="s">
        <v>4812</v>
      </c>
      <c r="FUY1" t="s">
        <v>4813</v>
      </c>
      <c r="FUZ1" t="s">
        <v>4814</v>
      </c>
      <c r="FVA1" t="s">
        <v>4815</v>
      </c>
      <c r="FVB1" t="s">
        <v>4816</v>
      </c>
      <c r="FVC1" t="s">
        <v>4817</v>
      </c>
      <c r="FVD1" t="s">
        <v>4818</v>
      </c>
      <c r="FVE1" t="s">
        <v>4819</v>
      </c>
      <c r="FVF1" t="s">
        <v>4820</v>
      </c>
      <c r="FVG1" t="s">
        <v>4821</v>
      </c>
      <c r="FVH1" t="s">
        <v>4822</v>
      </c>
      <c r="FVI1" t="s">
        <v>4823</v>
      </c>
      <c r="FVJ1" t="s">
        <v>4824</v>
      </c>
      <c r="FVK1" t="s">
        <v>4825</v>
      </c>
      <c r="FVL1" t="s">
        <v>4826</v>
      </c>
      <c r="FVM1" t="s">
        <v>4827</v>
      </c>
      <c r="FVN1" t="s">
        <v>4828</v>
      </c>
      <c r="FVO1" t="s">
        <v>4829</v>
      </c>
      <c r="FVP1" t="s">
        <v>4830</v>
      </c>
      <c r="FVQ1" t="s">
        <v>4831</v>
      </c>
      <c r="FVR1" t="s">
        <v>4832</v>
      </c>
      <c r="FVS1" t="s">
        <v>4833</v>
      </c>
      <c r="FVT1" t="s">
        <v>4834</v>
      </c>
      <c r="FVU1" t="s">
        <v>4835</v>
      </c>
      <c r="FVV1" t="s">
        <v>4836</v>
      </c>
      <c r="FVW1" t="s">
        <v>4837</v>
      </c>
      <c r="FVX1" t="s">
        <v>4838</v>
      </c>
      <c r="FVY1" t="s">
        <v>4839</v>
      </c>
      <c r="FVZ1" t="s">
        <v>4840</v>
      </c>
      <c r="FWA1" t="s">
        <v>4841</v>
      </c>
      <c r="FWB1" t="s">
        <v>4842</v>
      </c>
      <c r="FWC1" t="s">
        <v>4843</v>
      </c>
      <c r="FWD1" t="s">
        <v>4844</v>
      </c>
      <c r="FWE1" t="s">
        <v>4845</v>
      </c>
      <c r="FWF1" t="s">
        <v>4846</v>
      </c>
      <c r="FWG1" t="s">
        <v>4847</v>
      </c>
      <c r="FWH1" t="s">
        <v>4848</v>
      </c>
      <c r="FWI1" t="s">
        <v>4849</v>
      </c>
      <c r="FWJ1" t="s">
        <v>4850</v>
      </c>
      <c r="FWK1" t="s">
        <v>4851</v>
      </c>
      <c r="FWL1" t="s">
        <v>4852</v>
      </c>
      <c r="FWM1" t="s">
        <v>4853</v>
      </c>
      <c r="FWN1" t="s">
        <v>4854</v>
      </c>
      <c r="FWO1" t="s">
        <v>4855</v>
      </c>
      <c r="FWP1" t="s">
        <v>4856</v>
      </c>
      <c r="FWQ1" t="s">
        <v>4857</v>
      </c>
      <c r="FWR1" t="s">
        <v>4858</v>
      </c>
      <c r="FWS1" t="s">
        <v>4859</v>
      </c>
      <c r="FWT1" t="s">
        <v>4860</v>
      </c>
      <c r="FWU1" t="s">
        <v>4861</v>
      </c>
      <c r="FWV1" t="s">
        <v>4862</v>
      </c>
      <c r="FWW1" t="s">
        <v>4863</v>
      </c>
      <c r="FWX1" t="s">
        <v>4864</v>
      </c>
      <c r="FWY1" t="s">
        <v>4865</v>
      </c>
      <c r="FWZ1" t="s">
        <v>4866</v>
      </c>
      <c r="FXA1" t="s">
        <v>4867</v>
      </c>
      <c r="FXB1" t="s">
        <v>4868</v>
      </c>
      <c r="FXC1" t="s">
        <v>4869</v>
      </c>
      <c r="FXD1" t="s">
        <v>4870</v>
      </c>
      <c r="FXE1" t="s">
        <v>4871</v>
      </c>
      <c r="FXF1" t="s">
        <v>4872</v>
      </c>
      <c r="FXG1" t="s">
        <v>4873</v>
      </c>
      <c r="FXH1" t="s">
        <v>4874</v>
      </c>
      <c r="FXI1" t="s">
        <v>4875</v>
      </c>
      <c r="FXJ1" t="s">
        <v>4876</v>
      </c>
      <c r="FXK1" t="s">
        <v>4877</v>
      </c>
      <c r="FXL1" t="s">
        <v>4878</v>
      </c>
      <c r="FXM1" t="s">
        <v>4879</v>
      </c>
      <c r="FXN1" t="s">
        <v>4880</v>
      </c>
      <c r="FXO1" t="s">
        <v>4881</v>
      </c>
      <c r="FXP1" t="s">
        <v>4882</v>
      </c>
      <c r="FXQ1" t="s">
        <v>4883</v>
      </c>
      <c r="FXR1" t="s">
        <v>4884</v>
      </c>
      <c r="FXS1" t="s">
        <v>4885</v>
      </c>
      <c r="FXT1" t="s">
        <v>4886</v>
      </c>
      <c r="FXU1" t="s">
        <v>4887</v>
      </c>
      <c r="FXV1" t="s">
        <v>4888</v>
      </c>
      <c r="FXW1" t="s">
        <v>4889</v>
      </c>
      <c r="FXX1" t="s">
        <v>4890</v>
      </c>
      <c r="FXY1" t="s">
        <v>4891</v>
      </c>
      <c r="FXZ1" t="s">
        <v>4892</v>
      </c>
      <c r="FYA1" t="s">
        <v>4893</v>
      </c>
      <c r="FYB1" t="s">
        <v>4894</v>
      </c>
      <c r="FYC1" t="s">
        <v>4895</v>
      </c>
      <c r="FYD1" t="s">
        <v>4896</v>
      </c>
      <c r="FYE1" t="s">
        <v>4897</v>
      </c>
      <c r="FYF1" t="s">
        <v>4898</v>
      </c>
      <c r="FYG1" t="s">
        <v>4899</v>
      </c>
      <c r="FYH1" t="s">
        <v>4900</v>
      </c>
      <c r="FYI1" t="s">
        <v>4901</v>
      </c>
      <c r="FYJ1" t="s">
        <v>4902</v>
      </c>
      <c r="FYK1" t="s">
        <v>4903</v>
      </c>
      <c r="FYL1" t="s">
        <v>4904</v>
      </c>
      <c r="FYM1" t="s">
        <v>4905</v>
      </c>
      <c r="FYN1" t="s">
        <v>4906</v>
      </c>
      <c r="FYO1" t="s">
        <v>4907</v>
      </c>
      <c r="FYP1" t="s">
        <v>4908</v>
      </c>
      <c r="FYQ1" t="s">
        <v>4909</v>
      </c>
      <c r="FYR1" t="s">
        <v>4910</v>
      </c>
      <c r="FYS1" t="s">
        <v>4911</v>
      </c>
      <c r="FYT1" t="s">
        <v>4912</v>
      </c>
      <c r="FYU1" t="s">
        <v>4913</v>
      </c>
      <c r="FYV1" t="s">
        <v>4914</v>
      </c>
      <c r="FYW1" t="s">
        <v>4915</v>
      </c>
      <c r="FYX1" t="s">
        <v>4916</v>
      </c>
      <c r="FYY1" t="s">
        <v>4917</v>
      </c>
      <c r="FYZ1" t="s">
        <v>4918</v>
      </c>
      <c r="FZA1" t="s">
        <v>4919</v>
      </c>
      <c r="FZB1" t="s">
        <v>4920</v>
      </c>
      <c r="FZC1" t="s">
        <v>4921</v>
      </c>
      <c r="FZD1" t="s">
        <v>4922</v>
      </c>
      <c r="FZE1" t="s">
        <v>4923</v>
      </c>
      <c r="FZF1" t="s">
        <v>4924</v>
      </c>
      <c r="FZG1" t="s">
        <v>4925</v>
      </c>
      <c r="FZH1" t="s">
        <v>4926</v>
      </c>
      <c r="FZI1" t="s">
        <v>4927</v>
      </c>
      <c r="FZJ1" t="s">
        <v>4928</v>
      </c>
      <c r="FZK1" t="s">
        <v>4929</v>
      </c>
      <c r="FZL1" t="s">
        <v>4930</v>
      </c>
      <c r="FZM1" t="s">
        <v>4931</v>
      </c>
      <c r="FZN1" t="s">
        <v>4932</v>
      </c>
      <c r="FZO1" t="s">
        <v>4933</v>
      </c>
      <c r="FZP1" t="s">
        <v>4934</v>
      </c>
      <c r="FZQ1" t="s">
        <v>4935</v>
      </c>
      <c r="FZR1" t="s">
        <v>4936</v>
      </c>
      <c r="FZS1" t="s">
        <v>4937</v>
      </c>
      <c r="FZT1" t="s">
        <v>4938</v>
      </c>
      <c r="FZU1" t="s">
        <v>4939</v>
      </c>
      <c r="FZV1" t="s">
        <v>4940</v>
      </c>
      <c r="FZW1" t="s">
        <v>4941</v>
      </c>
      <c r="FZX1" t="s">
        <v>4942</v>
      </c>
      <c r="FZY1" t="s">
        <v>4943</v>
      </c>
      <c r="FZZ1" t="s">
        <v>4944</v>
      </c>
      <c r="GAA1" t="s">
        <v>4945</v>
      </c>
      <c r="GAB1" t="s">
        <v>4946</v>
      </c>
      <c r="GAC1" t="s">
        <v>4947</v>
      </c>
      <c r="GAD1" t="s">
        <v>4948</v>
      </c>
      <c r="GAE1" t="s">
        <v>4949</v>
      </c>
      <c r="GAF1" t="s">
        <v>4950</v>
      </c>
      <c r="GAG1" t="s">
        <v>4951</v>
      </c>
      <c r="GAH1" t="s">
        <v>4952</v>
      </c>
      <c r="GAI1" t="s">
        <v>4953</v>
      </c>
      <c r="GAJ1" t="s">
        <v>4954</v>
      </c>
      <c r="GAK1" t="s">
        <v>4955</v>
      </c>
      <c r="GAL1" t="s">
        <v>4956</v>
      </c>
      <c r="GAM1" t="s">
        <v>4957</v>
      </c>
      <c r="GAN1" t="s">
        <v>4958</v>
      </c>
      <c r="GAO1" t="s">
        <v>4959</v>
      </c>
      <c r="GAP1" t="s">
        <v>4960</v>
      </c>
      <c r="GAQ1" t="s">
        <v>4961</v>
      </c>
      <c r="GAR1" t="s">
        <v>4962</v>
      </c>
      <c r="GAS1" t="s">
        <v>4963</v>
      </c>
      <c r="GAT1" t="s">
        <v>4964</v>
      </c>
      <c r="GAU1" t="s">
        <v>4965</v>
      </c>
      <c r="GAV1" t="s">
        <v>4966</v>
      </c>
      <c r="GAW1" t="s">
        <v>4967</v>
      </c>
      <c r="GAX1" t="s">
        <v>4968</v>
      </c>
      <c r="GAY1" t="s">
        <v>4969</v>
      </c>
      <c r="GAZ1" t="s">
        <v>4970</v>
      </c>
      <c r="GBA1" t="s">
        <v>4971</v>
      </c>
      <c r="GBB1" t="s">
        <v>4972</v>
      </c>
      <c r="GBC1" t="s">
        <v>4973</v>
      </c>
      <c r="GBD1" t="s">
        <v>4974</v>
      </c>
      <c r="GBE1" t="s">
        <v>4975</v>
      </c>
      <c r="GBF1" t="s">
        <v>4976</v>
      </c>
      <c r="GBG1" t="s">
        <v>4977</v>
      </c>
      <c r="GBH1" t="s">
        <v>4978</v>
      </c>
      <c r="GBI1" t="s">
        <v>4979</v>
      </c>
      <c r="GBJ1" t="s">
        <v>4980</v>
      </c>
      <c r="GBK1" t="s">
        <v>4981</v>
      </c>
      <c r="GBL1" t="s">
        <v>4982</v>
      </c>
      <c r="GBM1" t="s">
        <v>4983</v>
      </c>
      <c r="GBN1" t="s">
        <v>4984</v>
      </c>
      <c r="GBO1" t="s">
        <v>4985</v>
      </c>
      <c r="GBP1" t="s">
        <v>4986</v>
      </c>
      <c r="GBQ1" t="s">
        <v>4987</v>
      </c>
      <c r="GBR1" t="s">
        <v>4988</v>
      </c>
      <c r="GBS1" t="s">
        <v>4989</v>
      </c>
      <c r="GBT1" t="s">
        <v>4990</v>
      </c>
      <c r="GBU1" t="s">
        <v>4991</v>
      </c>
      <c r="GBV1" t="s">
        <v>4992</v>
      </c>
      <c r="GBW1" t="s">
        <v>4993</v>
      </c>
      <c r="GBX1" t="s">
        <v>4994</v>
      </c>
      <c r="GBY1" t="s">
        <v>4995</v>
      </c>
      <c r="GBZ1" t="s">
        <v>4996</v>
      </c>
      <c r="GCA1" t="s">
        <v>4997</v>
      </c>
      <c r="GCB1" t="s">
        <v>4998</v>
      </c>
      <c r="GCC1" t="s">
        <v>4999</v>
      </c>
      <c r="GCD1" t="s">
        <v>5000</v>
      </c>
      <c r="GCE1" t="s">
        <v>5001</v>
      </c>
      <c r="GCF1" t="s">
        <v>5002</v>
      </c>
      <c r="GCG1" t="s">
        <v>5003</v>
      </c>
      <c r="GCH1" t="s">
        <v>5004</v>
      </c>
      <c r="GCI1" t="s">
        <v>5005</v>
      </c>
      <c r="GCJ1" t="s">
        <v>5006</v>
      </c>
      <c r="GCK1" t="s">
        <v>5007</v>
      </c>
      <c r="GCL1" t="s">
        <v>5008</v>
      </c>
      <c r="GCM1" t="s">
        <v>5009</v>
      </c>
      <c r="GCN1" t="s">
        <v>5010</v>
      </c>
      <c r="GCO1" t="s">
        <v>5011</v>
      </c>
      <c r="GCP1" t="s">
        <v>5012</v>
      </c>
      <c r="GCQ1" t="s">
        <v>5013</v>
      </c>
      <c r="GCR1" t="s">
        <v>5014</v>
      </c>
      <c r="GCS1" t="s">
        <v>5015</v>
      </c>
      <c r="GCT1" t="s">
        <v>5016</v>
      </c>
      <c r="GCU1" t="s">
        <v>5017</v>
      </c>
      <c r="GCV1" t="s">
        <v>5018</v>
      </c>
      <c r="GCW1" t="s">
        <v>5019</v>
      </c>
      <c r="GCX1" t="s">
        <v>5020</v>
      </c>
      <c r="GCY1" t="s">
        <v>5021</v>
      </c>
      <c r="GCZ1" t="s">
        <v>5022</v>
      </c>
      <c r="GDA1" t="s">
        <v>5023</v>
      </c>
      <c r="GDB1" t="s">
        <v>5024</v>
      </c>
      <c r="GDC1" t="s">
        <v>5025</v>
      </c>
      <c r="GDD1" t="s">
        <v>5026</v>
      </c>
      <c r="GDE1" t="s">
        <v>5027</v>
      </c>
      <c r="GDF1" t="s">
        <v>5028</v>
      </c>
      <c r="GDG1" t="s">
        <v>5029</v>
      </c>
      <c r="GDH1" t="s">
        <v>5030</v>
      </c>
      <c r="GDI1" t="s">
        <v>5031</v>
      </c>
      <c r="GDJ1" t="s">
        <v>5032</v>
      </c>
      <c r="GDK1" t="s">
        <v>5033</v>
      </c>
      <c r="GDL1" t="s">
        <v>5034</v>
      </c>
      <c r="GDM1" t="s">
        <v>5035</v>
      </c>
      <c r="GDN1" t="s">
        <v>5036</v>
      </c>
      <c r="GDO1" t="s">
        <v>5037</v>
      </c>
      <c r="GDP1" t="s">
        <v>5038</v>
      </c>
      <c r="GDQ1" t="s">
        <v>5039</v>
      </c>
      <c r="GDR1" t="s">
        <v>5040</v>
      </c>
      <c r="GDS1" t="s">
        <v>5041</v>
      </c>
      <c r="GDT1" t="s">
        <v>5042</v>
      </c>
      <c r="GDU1" t="s">
        <v>5043</v>
      </c>
      <c r="GDV1" t="s">
        <v>5044</v>
      </c>
      <c r="GDW1" t="s">
        <v>5045</v>
      </c>
      <c r="GDX1" t="s">
        <v>5046</v>
      </c>
      <c r="GDY1" t="s">
        <v>5047</v>
      </c>
      <c r="GDZ1" t="s">
        <v>5048</v>
      </c>
      <c r="GEA1" t="s">
        <v>5049</v>
      </c>
      <c r="GEB1" t="s">
        <v>5050</v>
      </c>
      <c r="GEC1" t="s">
        <v>5051</v>
      </c>
      <c r="GED1" t="s">
        <v>5052</v>
      </c>
      <c r="GEE1" t="s">
        <v>5053</v>
      </c>
      <c r="GEF1" t="s">
        <v>5054</v>
      </c>
      <c r="GEG1" t="s">
        <v>5055</v>
      </c>
      <c r="GEH1" t="s">
        <v>5056</v>
      </c>
      <c r="GEI1" t="s">
        <v>5057</v>
      </c>
      <c r="GEJ1" t="s">
        <v>5058</v>
      </c>
      <c r="GEK1" t="s">
        <v>5059</v>
      </c>
      <c r="GEL1" t="s">
        <v>5060</v>
      </c>
      <c r="GEM1" t="s">
        <v>5061</v>
      </c>
      <c r="GEN1" t="s">
        <v>5062</v>
      </c>
      <c r="GEO1" t="s">
        <v>5063</v>
      </c>
      <c r="GEP1" t="s">
        <v>5064</v>
      </c>
      <c r="GEQ1" t="s">
        <v>5065</v>
      </c>
      <c r="GER1" t="s">
        <v>5066</v>
      </c>
      <c r="GES1" t="s">
        <v>5067</v>
      </c>
      <c r="GET1" t="s">
        <v>5068</v>
      </c>
      <c r="GEU1" t="s">
        <v>5069</v>
      </c>
      <c r="GEV1" t="s">
        <v>5070</v>
      </c>
      <c r="GEW1" t="s">
        <v>5071</v>
      </c>
      <c r="GEX1" t="s">
        <v>5072</v>
      </c>
      <c r="GEY1" t="s">
        <v>5073</v>
      </c>
      <c r="GEZ1" t="s">
        <v>5074</v>
      </c>
      <c r="GFA1" t="s">
        <v>5075</v>
      </c>
      <c r="GFB1" t="s">
        <v>5076</v>
      </c>
      <c r="GFC1" t="s">
        <v>5077</v>
      </c>
      <c r="GFD1" t="s">
        <v>5078</v>
      </c>
      <c r="GFE1" t="s">
        <v>5079</v>
      </c>
      <c r="GFF1" t="s">
        <v>5080</v>
      </c>
      <c r="GFG1" t="s">
        <v>5081</v>
      </c>
      <c r="GFH1" t="s">
        <v>5082</v>
      </c>
      <c r="GFI1" t="s">
        <v>5083</v>
      </c>
      <c r="GFJ1" t="s">
        <v>5084</v>
      </c>
      <c r="GFK1" t="s">
        <v>5085</v>
      </c>
      <c r="GFL1" t="s">
        <v>5086</v>
      </c>
      <c r="GFM1" t="s">
        <v>5087</v>
      </c>
      <c r="GFN1" t="s">
        <v>5088</v>
      </c>
      <c r="GFO1" t="s">
        <v>5089</v>
      </c>
      <c r="GFP1" t="s">
        <v>5090</v>
      </c>
      <c r="GFQ1" t="s">
        <v>5091</v>
      </c>
      <c r="GFR1" t="s">
        <v>5092</v>
      </c>
      <c r="GFS1" t="s">
        <v>5093</v>
      </c>
      <c r="GFT1" t="s">
        <v>5094</v>
      </c>
      <c r="GFU1" t="s">
        <v>5095</v>
      </c>
      <c r="GFV1" t="s">
        <v>5096</v>
      </c>
      <c r="GFW1" t="s">
        <v>5097</v>
      </c>
      <c r="GFX1" t="s">
        <v>5098</v>
      </c>
      <c r="GFY1" t="s">
        <v>5099</v>
      </c>
      <c r="GFZ1" t="s">
        <v>5100</v>
      </c>
      <c r="GGA1" t="s">
        <v>5101</v>
      </c>
      <c r="GGB1" t="s">
        <v>5102</v>
      </c>
      <c r="GGC1" t="s">
        <v>5103</v>
      </c>
      <c r="GGD1" t="s">
        <v>5104</v>
      </c>
      <c r="GGE1" t="s">
        <v>5105</v>
      </c>
      <c r="GGF1" t="s">
        <v>5106</v>
      </c>
      <c r="GGG1" t="s">
        <v>5107</v>
      </c>
      <c r="GGH1" t="s">
        <v>5108</v>
      </c>
      <c r="GGI1" t="s">
        <v>5109</v>
      </c>
      <c r="GGJ1" t="s">
        <v>5110</v>
      </c>
      <c r="GGK1" t="s">
        <v>5111</v>
      </c>
      <c r="GGL1" t="s">
        <v>5112</v>
      </c>
      <c r="GGM1" t="s">
        <v>5113</v>
      </c>
      <c r="GGN1" t="s">
        <v>5114</v>
      </c>
      <c r="GGO1" t="s">
        <v>5115</v>
      </c>
      <c r="GGP1" t="s">
        <v>5116</v>
      </c>
      <c r="GGQ1" t="s">
        <v>5117</v>
      </c>
      <c r="GGR1" t="s">
        <v>5118</v>
      </c>
      <c r="GGS1" t="s">
        <v>5119</v>
      </c>
      <c r="GGT1" t="s">
        <v>5120</v>
      </c>
      <c r="GGU1" t="s">
        <v>5121</v>
      </c>
      <c r="GGV1" t="s">
        <v>5122</v>
      </c>
      <c r="GGW1" t="s">
        <v>5123</v>
      </c>
      <c r="GGX1" t="s">
        <v>5124</v>
      </c>
      <c r="GGY1" t="s">
        <v>5125</v>
      </c>
      <c r="GGZ1" t="s">
        <v>5126</v>
      </c>
      <c r="GHA1" t="s">
        <v>5127</v>
      </c>
      <c r="GHB1" t="s">
        <v>5128</v>
      </c>
      <c r="GHC1" t="s">
        <v>5129</v>
      </c>
      <c r="GHD1" t="s">
        <v>5130</v>
      </c>
      <c r="GHE1" t="s">
        <v>5131</v>
      </c>
      <c r="GHF1" t="s">
        <v>5132</v>
      </c>
      <c r="GHG1" t="s">
        <v>5133</v>
      </c>
      <c r="GHH1" t="s">
        <v>5134</v>
      </c>
      <c r="GHI1" t="s">
        <v>5135</v>
      </c>
      <c r="GHJ1" t="s">
        <v>5136</v>
      </c>
      <c r="GHK1" t="s">
        <v>5137</v>
      </c>
      <c r="GHL1" t="s">
        <v>5138</v>
      </c>
      <c r="GHM1" t="s">
        <v>5139</v>
      </c>
      <c r="GHN1" t="s">
        <v>5140</v>
      </c>
      <c r="GHO1" t="s">
        <v>5141</v>
      </c>
      <c r="GHP1" t="s">
        <v>5142</v>
      </c>
      <c r="GHQ1" t="s">
        <v>5143</v>
      </c>
      <c r="GHR1" t="s">
        <v>5144</v>
      </c>
      <c r="GHS1" t="s">
        <v>5145</v>
      </c>
      <c r="GHT1" t="s">
        <v>5146</v>
      </c>
      <c r="GHU1" t="s">
        <v>5147</v>
      </c>
      <c r="GHV1" t="s">
        <v>5148</v>
      </c>
      <c r="GHW1" t="s">
        <v>5149</v>
      </c>
      <c r="GHX1" t="s">
        <v>5150</v>
      </c>
      <c r="GHY1" t="s">
        <v>5151</v>
      </c>
      <c r="GHZ1" t="s">
        <v>5152</v>
      </c>
      <c r="GIA1" t="s">
        <v>5153</v>
      </c>
      <c r="GIB1" t="s">
        <v>5154</v>
      </c>
      <c r="GIC1" t="s">
        <v>5155</v>
      </c>
      <c r="GID1" t="s">
        <v>5156</v>
      </c>
      <c r="GIE1" t="s">
        <v>5157</v>
      </c>
      <c r="GIF1" t="s">
        <v>5158</v>
      </c>
      <c r="GIG1" t="s">
        <v>5159</v>
      </c>
      <c r="GIH1" t="s">
        <v>5160</v>
      </c>
      <c r="GII1" t="s">
        <v>5161</v>
      </c>
      <c r="GIJ1" t="s">
        <v>5162</v>
      </c>
      <c r="GIK1" t="s">
        <v>5163</v>
      </c>
      <c r="GIL1" t="s">
        <v>5164</v>
      </c>
      <c r="GIM1" t="s">
        <v>5165</v>
      </c>
      <c r="GIN1" t="s">
        <v>5166</v>
      </c>
      <c r="GIO1" t="s">
        <v>5167</v>
      </c>
      <c r="GIP1" t="s">
        <v>5168</v>
      </c>
      <c r="GIQ1" t="s">
        <v>5169</v>
      </c>
      <c r="GIR1" t="s">
        <v>5170</v>
      </c>
      <c r="GIS1" t="s">
        <v>5171</v>
      </c>
      <c r="GIT1" t="s">
        <v>5172</v>
      </c>
      <c r="GIU1" t="s">
        <v>5173</v>
      </c>
      <c r="GIV1" t="s">
        <v>5174</v>
      </c>
      <c r="GIW1" t="s">
        <v>5175</v>
      </c>
      <c r="GIX1" t="s">
        <v>5176</v>
      </c>
      <c r="GIY1" t="s">
        <v>5177</v>
      </c>
      <c r="GIZ1" t="s">
        <v>5178</v>
      </c>
      <c r="GJA1" t="s">
        <v>5179</v>
      </c>
      <c r="GJB1" t="s">
        <v>5180</v>
      </c>
      <c r="GJC1" t="s">
        <v>5181</v>
      </c>
      <c r="GJD1" t="s">
        <v>5182</v>
      </c>
      <c r="GJE1" t="s">
        <v>5183</v>
      </c>
      <c r="GJF1" t="s">
        <v>5184</v>
      </c>
      <c r="GJG1" t="s">
        <v>5185</v>
      </c>
      <c r="GJH1" t="s">
        <v>5186</v>
      </c>
      <c r="GJI1" t="s">
        <v>5187</v>
      </c>
      <c r="GJJ1" t="s">
        <v>5188</v>
      </c>
      <c r="GJK1" t="s">
        <v>5189</v>
      </c>
      <c r="GJL1" t="s">
        <v>5190</v>
      </c>
      <c r="GJM1" t="s">
        <v>5191</v>
      </c>
      <c r="GJN1" t="s">
        <v>5192</v>
      </c>
      <c r="GJO1" t="s">
        <v>5193</v>
      </c>
      <c r="GJP1" t="s">
        <v>5194</v>
      </c>
      <c r="GJQ1" t="s">
        <v>5195</v>
      </c>
      <c r="GJR1" t="s">
        <v>5196</v>
      </c>
      <c r="GJS1" t="s">
        <v>5197</v>
      </c>
      <c r="GJT1" t="s">
        <v>5198</v>
      </c>
      <c r="GJU1" t="s">
        <v>5199</v>
      </c>
      <c r="GJV1" t="s">
        <v>5200</v>
      </c>
      <c r="GJW1" t="s">
        <v>5201</v>
      </c>
      <c r="GJX1" t="s">
        <v>5202</v>
      </c>
      <c r="GJY1" t="s">
        <v>5203</v>
      </c>
      <c r="GJZ1" t="s">
        <v>5204</v>
      </c>
      <c r="GKA1" t="s">
        <v>5205</v>
      </c>
      <c r="GKB1" t="s">
        <v>5206</v>
      </c>
      <c r="GKC1" t="s">
        <v>5207</v>
      </c>
      <c r="GKD1" t="s">
        <v>5208</v>
      </c>
      <c r="GKE1" t="s">
        <v>5209</v>
      </c>
      <c r="GKF1" t="s">
        <v>5210</v>
      </c>
      <c r="GKG1" t="s">
        <v>5211</v>
      </c>
      <c r="GKH1" t="s">
        <v>5212</v>
      </c>
      <c r="GKI1" t="s">
        <v>5213</v>
      </c>
      <c r="GKJ1" t="s">
        <v>5214</v>
      </c>
      <c r="GKK1" t="s">
        <v>5215</v>
      </c>
      <c r="GKL1" t="s">
        <v>5216</v>
      </c>
      <c r="GKM1" t="s">
        <v>5217</v>
      </c>
      <c r="GKN1" t="s">
        <v>5218</v>
      </c>
      <c r="GKO1" t="s">
        <v>5219</v>
      </c>
      <c r="GKP1" t="s">
        <v>5220</v>
      </c>
      <c r="GKQ1" t="s">
        <v>5221</v>
      </c>
      <c r="GKR1" t="s">
        <v>5222</v>
      </c>
      <c r="GKS1" t="s">
        <v>5223</v>
      </c>
      <c r="GKT1" t="s">
        <v>5224</v>
      </c>
      <c r="GKU1" t="s">
        <v>5225</v>
      </c>
      <c r="GKV1" t="s">
        <v>5226</v>
      </c>
      <c r="GKW1" t="s">
        <v>5227</v>
      </c>
      <c r="GKX1" t="s">
        <v>5228</v>
      </c>
      <c r="GKY1" t="s">
        <v>5229</v>
      </c>
      <c r="GKZ1" t="s">
        <v>5230</v>
      </c>
      <c r="GLA1" t="s">
        <v>5231</v>
      </c>
      <c r="GLB1" t="s">
        <v>5232</v>
      </c>
      <c r="GLC1" t="s">
        <v>5233</v>
      </c>
      <c r="GLD1" t="s">
        <v>5234</v>
      </c>
      <c r="GLE1" t="s">
        <v>5235</v>
      </c>
      <c r="GLF1" t="s">
        <v>5236</v>
      </c>
      <c r="GLG1" t="s">
        <v>5237</v>
      </c>
      <c r="GLH1" t="s">
        <v>5238</v>
      </c>
      <c r="GLI1" t="s">
        <v>5239</v>
      </c>
      <c r="GLJ1" t="s">
        <v>5240</v>
      </c>
      <c r="GLK1" t="s">
        <v>5241</v>
      </c>
      <c r="GLL1" t="s">
        <v>5242</v>
      </c>
      <c r="GLM1" t="s">
        <v>5243</v>
      </c>
      <c r="GLN1" t="s">
        <v>5244</v>
      </c>
      <c r="GLO1" t="s">
        <v>5245</v>
      </c>
      <c r="GLP1" t="s">
        <v>5246</v>
      </c>
      <c r="GLQ1" t="s">
        <v>5247</v>
      </c>
      <c r="GLR1" t="s">
        <v>5248</v>
      </c>
      <c r="GLS1" t="s">
        <v>5249</v>
      </c>
      <c r="GLT1" t="s">
        <v>5250</v>
      </c>
      <c r="GLU1" t="s">
        <v>5251</v>
      </c>
      <c r="GLV1" t="s">
        <v>5252</v>
      </c>
      <c r="GLW1" t="s">
        <v>5253</v>
      </c>
      <c r="GLX1" t="s">
        <v>5254</v>
      </c>
      <c r="GLY1" t="s">
        <v>5255</v>
      </c>
      <c r="GLZ1" t="s">
        <v>5256</v>
      </c>
      <c r="GMA1" t="s">
        <v>5257</v>
      </c>
      <c r="GMB1" t="s">
        <v>5258</v>
      </c>
      <c r="GMC1" t="s">
        <v>5259</v>
      </c>
      <c r="GMD1" t="s">
        <v>5260</v>
      </c>
      <c r="GME1" t="s">
        <v>5261</v>
      </c>
      <c r="GMF1" t="s">
        <v>5262</v>
      </c>
      <c r="GMG1" t="s">
        <v>5263</v>
      </c>
      <c r="GMH1" t="s">
        <v>5264</v>
      </c>
      <c r="GMI1" t="s">
        <v>5265</v>
      </c>
      <c r="GMJ1" t="s">
        <v>5266</v>
      </c>
      <c r="GMK1" t="s">
        <v>5267</v>
      </c>
      <c r="GML1" t="s">
        <v>5268</v>
      </c>
      <c r="GMM1" t="s">
        <v>5269</v>
      </c>
      <c r="GMN1" t="s">
        <v>5270</v>
      </c>
      <c r="GMO1" t="s">
        <v>5271</v>
      </c>
      <c r="GMP1" t="s">
        <v>5272</v>
      </c>
      <c r="GMQ1" t="s">
        <v>5273</v>
      </c>
      <c r="GMR1" t="s">
        <v>5274</v>
      </c>
      <c r="GMS1" t="s">
        <v>5275</v>
      </c>
      <c r="GMT1" t="s">
        <v>5276</v>
      </c>
      <c r="GMU1" t="s">
        <v>5277</v>
      </c>
      <c r="GMV1" t="s">
        <v>5278</v>
      </c>
      <c r="GMW1" t="s">
        <v>5279</v>
      </c>
      <c r="GMX1" t="s">
        <v>5280</v>
      </c>
      <c r="GMY1" t="s">
        <v>5281</v>
      </c>
      <c r="GMZ1" t="s">
        <v>5282</v>
      </c>
      <c r="GNA1" t="s">
        <v>5283</v>
      </c>
      <c r="GNB1" t="s">
        <v>5284</v>
      </c>
      <c r="GNC1" t="s">
        <v>5285</v>
      </c>
      <c r="GND1" t="s">
        <v>5286</v>
      </c>
      <c r="GNE1" t="s">
        <v>5287</v>
      </c>
      <c r="GNF1" t="s">
        <v>5288</v>
      </c>
      <c r="GNG1" t="s">
        <v>5289</v>
      </c>
      <c r="GNH1" t="s">
        <v>5290</v>
      </c>
      <c r="GNI1" t="s">
        <v>5291</v>
      </c>
      <c r="GNJ1" t="s">
        <v>5292</v>
      </c>
      <c r="GNK1" t="s">
        <v>5293</v>
      </c>
      <c r="GNL1" t="s">
        <v>5294</v>
      </c>
      <c r="GNM1" t="s">
        <v>5295</v>
      </c>
      <c r="GNN1" t="s">
        <v>5296</v>
      </c>
      <c r="GNO1" t="s">
        <v>5297</v>
      </c>
      <c r="GNP1" t="s">
        <v>5298</v>
      </c>
      <c r="GNQ1" t="s">
        <v>5299</v>
      </c>
      <c r="GNR1" t="s">
        <v>5300</v>
      </c>
      <c r="GNS1" t="s">
        <v>5301</v>
      </c>
      <c r="GNT1" t="s">
        <v>5302</v>
      </c>
      <c r="GNU1" t="s">
        <v>5303</v>
      </c>
      <c r="GNV1" t="s">
        <v>5304</v>
      </c>
      <c r="GNW1" t="s">
        <v>5305</v>
      </c>
      <c r="GNX1" t="s">
        <v>5306</v>
      </c>
      <c r="GNY1" t="s">
        <v>5307</v>
      </c>
      <c r="GNZ1" t="s">
        <v>5308</v>
      </c>
      <c r="GOA1" t="s">
        <v>5309</v>
      </c>
      <c r="GOB1" t="s">
        <v>5310</v>
      </c>
      <c r="GOC1" t="s">
        <v>5311</v>
      </c>
      <c r="GOD1" t="s">
        <v>5312</v>
      </c>
      <c r="GOE1" t="s">
        <v>5313</v>
      </c>
      <c r="GOF1" t="s">
        <v>5314</v>
      </c>
      <c r="GOG1" t="s">
        <v>5315</v>
      </c>
      <c r="GOH1" t="s">
        <v>5316</v>
      </c>
      <c r="GOI1" t="s">
        <v>5317</v>
      </c>
      <c r="GOJ1" t="s">
        <v>5318</v>
      </c>
      <c r="GOK1" t="s">
        <v>5319</v>
      </c>
      <c r="GOL1" t="s">
        <v>5320</v>
      </c>
      <c r="GOM1" t="s">
        <v>5321</v>
      </c>
      <c r="GON1" t="s">
        <v>5322</v>
      </c>
      <c r="GOO1" t="s">
        <v>5323</v>
      </c>
      <c r="GOP1" t="s">
        <v>5324</v>
      </c>
      <c r="GOQ1" t="s">
        <v>5325</v>
      </c>
      <c r="GOR1" t="s">
        <v>5326</v>
      </c>
      <c r="GOS1" t="s">
        <v>5327</v>
      </c>
      <c r="GOT1" t="s">
        <v>5328</v>
      </c>
      <c r="GOU1" t="s">
        <v>5329</v>
      </c>
      <c r="GOV1" t="s">
        <v>5330</v>
      </c>
      <c r="GOW1" t="s">
        <v>5331</v>
      </c>
      <c r="GOX1" t="s">
        <v>5332</v>
      </c>
      <c r="GOY1" t="s">
        <v>5333</v>
      </c>
      <c r="GOZ1" t="s">
        <v>5334</v>
      </c>
      <c r="GPA1" t="s">
        <v>5335</v>
      </c>
      <c r="GPB1" t="s">
        <v>5336</v>
      </c>
      <c r="GPC1" t="s">
        <v>5337</v>
      </c>
      <c r="GPD1" t="s">
        <v>5338</v>
      </c>
      <c r="GPE1" t="s">
        <v>5339</v>
      </c>
      <c r="GPF1" t="s">
        <v>5340</v>
      </c>
      <c r="GPG1" t="s">
        <v>5341</v>
      </c>
      <c r="GPH1" t="s">
        <v>5342</v>
      </c>
      <c r="GPI1" t="s">
        <v>5343</v>
      </c>
      <c r="GPJ1" t="s">
        <v>5344</v>
      </c>
      <c r="GPK1" t="s">
        <v>5345</v>
      </c>
      <c r="GPL1" t="s">
        <v>5346</v>
      </c>
      <c r="GPM1" t="s">
        <v>5347</v>
      </c>
      <c r="GPN1" t="s">
        <v>5348</v>
      </c>
      <c r="GPO1" t="s">
        <v>5349</v>
      </c>
      <c r="GPP1" t="s">
        <v>5350</v>
      </c>
      <c r="GPQ1" t="s">
        <v>5351</v>
      </c>
      <c r="GPR1" t="s">
        <v>5352</v>
      </c>
      <c r="GPS1" t="s">
        <v>5353</v>
      </c>
      <c r="GPT1" t="s">
        <v>5354</v>
      </c>
      <c r="GPU1" t="s">
        <v>5355</v>
      </c>
      <c r="GPV1" t="s">
        <v>5356</v>
      </c>
      <c r="GPW1" t="s">
        <v>5357</v>
      </c>
      <c r="GPX1" t="s">
        <v>5358</v>
      </c>
      <c r="GPY1" t="s">
        <v>5359</v>
      </c>
      <c r="GPZ1" t="s">
        <v>5360</v>
      </c>
      <c r="GQA1" t="s">
        <v>5361</v>
      </c>
      <c r="GQB1" t="s">
        <v>5362</v>
      </c>
      <c r="GQC1" t="s">
        <v>5363</v>
      </c>
      <c r="GQD1" t="s">
        <v>5364</v>
      </c>
      <c r="GQE1" t="s">
        <v>5365</v>
      </c>
      <c r="GQF1" t="s">
        <v>5366</v>
      </c>
      <c r="GQG1" t="s">
        <v>5367</v>
      </c>
      <c r="GQH1" t="s">
        <v>5368</v>
      </c>
      <c r="GQI1" t="s">
        <v>5369</v>
      </c>
      <c r="GQJ1" t="s">
        <v>5370</v>
      </c>
      <c r="GQK1" t="s">
        <v>5371</v>
      </c>
      <c r="GQL1" t="s">
        <v>5372</v>
      </c>
      <c r="GQM1" t="s">
        <v>5373</v>
      </c>
      <c r="GQN1" t="s">
        <v>5374</v>
      </c>
      <c r="GQO1" t="s">
        <v>5375</v>
      </c>
      <c r="GQP1" t="s">
        <v>5376</v>
      </c>
      <c r="GQQ1" t="s">
        <v>5377</v>
      </c>
      <c r="GQR1" t="s">
        <v>5378</v>
      </c>
      <c r="GQS1" t="s">
        <v>5379</v>
      </c>
      <c r="GQT1" t="s">
        <v>5380</v>
      </c>
      <c r="GQU1" t="s">
        <v>5381</v>
      </c>
      <c r="GQV1" t="s">
        <v>5382</v>
      </c>
      <c r="GQW1" t="s">
        <v>5383</v>
      </c>
      <c r="GQX1" t="s">
        <v>5384</v>
      </c>
      <c r="GQY1" t="s">
        <v>5385</v>
      </c>
      <c r="GQZ1" t="s">
        <v>5386</v>
      </c>
      <c r="GRA1" t="s">
        <v>5387</v>
      </c>
      <c r="GRB1" t="s">
        <v>5388</v>
      </c>
      <c r="GRC1" t="s">
        <v>5389</v>
      </c>
      <c r="GRD1" t="s">
        <v>5390</v>
      </c>
      <c r="GRE1" t="s">
        <v>5391</v>
      </c>
      <c r="GRF1" t="s">
        <v>5392</v>
      </c>
      <c r="GRG1" t="s">
        <v>5393</v>
      </c>
      <c r="GRH1" t="s">
        <v>5394</v>
      </c>
      <c r="GRI1" t="s">
        <v>5395</v>
      </c>
      <c r="GRJ1" t="s">
        <v>5396</v>
      </c>
      <c r="GRK1" t="s">
        <v>5397</v>
      </c>
      <c r="GRL1" t="s">
        <v>5398</v>
      </c>
      <c r="GRM1" t="s">
        <v>5399</v>
      </c>
      <c r="GRN1" t="s">
        <v>5400</v>
      </c>
      <c r="GRO1" t="s">
        <v>5401</v>
      </c>
      <c r="GRP1" t="s">
        <v>5402</v>
      </c>
      <c r="GRQ1" t="s">
        <v>5403</v>
      </c>
      <c r="GRR1" t="s">
        <v>5404</v>
      </c>
      <c r="GRS1" t="s">
        <v>5405</v>
      </c>
      <c r="GRT1" t="s">
        <v>5406</v>
      </c>
      <c r="GRU1" t="s">
        <v>5407</v>
      </c>
      <c r="GRV1" t="s">
        <v>5408</v>
      </c>
      <c r="GRW1" t="s">
        <v>5409</v>
      </c>
      <c r="GRX1" t="s">
        <v>5410</v>
      </c>
      <c r="GRY1" t="s">
        <v>5411</v>
      </c>
      <c r="GRZ1" t="s">
        <v>5412</v>
      </c>
      <c r="GSA1" t="s">
        <v>5413</v>
      </c>
      <c r="GSB1" t="s">
        <v>5414</v>
      </c>
      <c r="GSC1" t="s">
        <v>5415</v>
      </c>
      <c r="GSD1" t="s">
        <v>5416</v>
      </c>
      <c r="GSE1" t="s">
        <v>5417</v>
      </c>
      <c r="GSF1" t="s">
        <v>5418</v>
      </c>
      <c r="GSG1" t="s">
        <v>5419</v>
      </c>
      <c r="GSH1" t="s">
        <v>5420</v>
      </c>
      <c r="GSI1" t="s">
        <v>5421</v>
      </c>
      <c r="GSJ1" t="s">
        <v>5422</v>
      </c>
      <c r="GSK1" t="s">
        <v>5423</v>
      </c>
      <c r="GSL1" t="s">
        <v>5424</v>
      </c>
      <c r="GSM1" t="s">
        <v>5425</v>
      </c>
      <c r="GSN1" t="s">
        <v>5426</v>
      </c>
      <c r="GSO1" t="s">
        <v>5427</v>
      </c>
      <c r="GSP1" t="s">
        <v>5428</v>
      </c>
      <c r="GSQ1" t="s">
        <v>5429</v>
      </c>
      <c r="GSR1" t="s">
        <v>5430</v>
      </c>
      <c r="GSS1" t="s">
        <v>5431</v>
      </c>
      <c r="GST1" t="s">
        <v>5432</v>
      </c>
      <c r="GSU1" t="s">
        <v>5433</v>
      </c>
      <c r="GSV1" t="s">
        <v>5434</v>
      </c>
      <c r="GSW1" t="s">
        <v>5435</v>
      </c>
      <c r="GSX1" t="s">
        <v>5436</v>
      </c>
      <c r="GSY1" t="s">
        <v>5437</v>
      </c>
      <c r="GSZ1" t="s">
        <v>5438</v>
      </c>
      <c r="GTA1" t="s">
        <v>5439</v>
      </c>
      <c r="GTB1" t="s">
        <v>5440</v>
      </c>
      <c r="GTC1" t="s">
        <v>5441</v>
      </c>
      <c r="GTD1" t="s">
        <v>5442</v>
      </c>
      <c r="GTE1" t="s">
        <v>5443</v>
      </c>
      <c r="GTF1" t="s">
        <v>5444</v>
      </c>
      <c r="GTG1" t="s">
        <v>5445</v>
      </c>
      <c r="GTH1" t="s">
        <v>5446</v>
      </c>
      <c r="GTI1" t="s">
        <v>5447</v>
      </c>
      <c r="GTJ1" t="s">
        <v>5448</v>
      </c>
      <c r="GTK1" t="s">
        <v>5449</v>
      </c>
      <c r="GTL1" t="s">
        <v>5450</v>
      </c>
      <c r="GTM1" t="s">
        <v>5451</v>
      </c>
      <c r="GTN1" t="s">
        <v>5452</v>
      </c>
      <c r="GTO1" t="s">
        <v>5453</v>
      </c>
      <c r="GTP1" t="s">
        <v>5454</v>
      </c>
      <c r="GTQ1" t="s">
        <v>5455</v>
      </c>
      <c r="GTR1" t="s">
        <v>5456</v>
      </c>
      <c r="GTS1" t="s">
        <v>5457</v>
      </c>
      <c r="GTT1" t="s">
        <v>5458</v>
      </c>
      <c r="GTU1" t="s">
        <v>5459</v>
      </c>
      <c r="GTV1" t="s">
        <v>5460</v>
      </c>
      <c r="GTW1" t="s">
        <v>5461</v>
      </c>
      <c r="GTX1" t="s">
        <v>5462</v>
      </c>
      <c r="GTY1" t="s">
        <v>5463</v>
      </c>
      <c r="GTZ1" t="s">
        <v>5464</v>
      </c>
      <c r="GUA1" t="s">
        <v>5465</v>
      </c>
      <c r="GUB1" t="s">
        <v>5466</v>
      </c>
      <c r="GUC1" t="s">
        <v>5467</v>
      </c>
      <c r="GUD1" t="s">
        <v>5468</v>
      </c>
      <c r="GUE1" t="s">
        <v>5469</v>
      </c>
      <c r="GUF1" t="s">
        <v>5470</v>
      </c>
      <c r="GUG1" t="s">
        <v>5471</v>
      </c>
      <c r="GUH1" t="s">
        <v>5472</v>
      </c>
      <c r="GUI1" t="s">
        <v>5473</v>
      </c>
      <c r="GUJ1" t="s">
        <v>5474</v>
      </c>
      <c r="GUK1" t="s">
        <v>5475</v>
      </c>
      <c r="GUL1" t="s">
        <v>5476</v>
      </c>
      <c r="GUM1" t="s">
        <v>5477</v>
      </c>
      <c r="GUN1" t="s">
        <v>5478</v>
      </c>
      <c r="GUO1" t="s">
        <v>5479</v>
      </c>
      <c r="GUP1" t="s">
        <v>5480</v>
      </c>
      <c r="GUQ1" t="s">
        <v>5481</v>
      </c>
      <c r="GUR1" t="s">
        <v>5482</v>
      </c>
      <c r="GUS1" t="s">
        <v>5483</v>
      </c>
      <c r="GUT1" t="s">
        <v>5484</v>
      </c>
      <c r="GUU1" t="s">
        <v>5485</v>
      </c>
      <c r="GUV1" t="s">
        <v>5486</v>
      </c>
      <c r="GUW1" t="s">
        <v>5487</v>
      </c>
      <c r="GUX1" t="s">
        <v>5488</v>
      </c>
      <c r="GUY1" t="s">
        <v>5489</v>
      </c>
      <c r="GUZ1" t="s">
        <v>5490</v>
      </c>
      <c r="GVA1" t="s">
        <v>5491</v>
      </c>
      <c r="GVB1" t="s">
        <v>5492</v>
      </c>
      <c r="GVC1" t="s">
        <v>5493</v>
      </c>
      <c r="GVD1" t="s">
        <v>5494</v>
      </c>
      <c r="GVE1" t="s">
        <v>5495</v>
      </c>
      <c r="GVF1" t="s">
        <v>5496</v>
      </c>
      <c r="GVG1" t="s">
        <v>5497</v>
      </c>
      <c r="GVH1" t="s">
        <v>5498</v>
      </c>
      <c r="GVI1" t="s">
        <v>5499</v>
      </c>
      <c r="GVJ1" t="s">
        <v>5500</v>
      </c>
      <c r="GVK1" t="s">
        <v>5501</v>
      </c>
      <c r="GVL1" t="s">
        <v>5502</v>
      </c>
      <c r="GVM1" t="s">
        <v>5503</v>
      </c>
      <c r="GVN1" t="s">
        <v>5504</v>
      </c>
      <c r="GVO1" t="s">
        <v>5505</v>
      </c>
      <c r="GVP1" t="s">
        <v>5506</v>
      </c>
      <c r="GVQ1" t="s">
        <v>5507</v>
      </c>
      <c r="GVR1" t="s">
        <v>5508</v>
      </c>
      <c r="GVS1" t="s">
        <v>5509</v>
      </c>
      <c r="GVT1" t="s">
        <v>5510</v>
      </c>
      <c r="GVU1" t="s">
        <v>5511</v>
      </c>
      <c r="GVV1" t="s">
        <v>5512</v>
      </c>
      <c r="GVW1" t="s">
        <v>5513</v>
      </c>
      <c r="GVX1" t="s">
        <v>5514</v>
      </c>
      <c r="GVY1" t="s">
        <v>5515</v>
      </c>
      <c r="GVZ1" t="s">
        <v>5516</v>
      </c>
      <c r="GWA1" t="s">
        <v>5517</v>
      </c>
      <c r="GWB1" t="s">
        <v>5518</v>
      </c>
      <c r="GWC1" t="s">
        <v>5519</v>
      </c>
      <c r="GWD1" t="s">
        <v>5520</v>
      </c>
      <c r="GWE1" t="s">
        <v>5521</v>
      </c>
      <c r="GWF1" t="s">
        <v>5522</v>
      </c>
      <c r="GWG1" t="s">
        <v>5523</v>
      </c>
      <c r="GWH1" t="s">
        <v>5524</v>
      </c>
      <c r="GWI1" t="s">
        <v>5525</v>
      </c>
      <c r="GWJ1" t="s">
        <v>5526</v>
      </c>
      <c r="GWK1" t="s">
        <v>5527</v>
      </c>
      <c r="GWL1" t="s">
        <v>5528</v>
      </c>
      <c r="GWM1" t="s">
        <v>5529</v>
      </c>
      <c r="GWN1" t="s">
        <v>5530</v>
      </c>
      <c r="GWO1" t="s">
        <v>5531</v>
      </c>
      <c r="GWP1" t="s">
        <v>5532</v>
      </c>
      <c r="GWQ1" t="s">
        <v>5533</v>
      </c>
      <c r="GWR1" t="s">
        <v>5534</v>
      </c>
      <c r="GWS1" t="s">
        <v>5535</v>
      </c>
      <c r="GWT1" t="s">
        <v>5536</v>
      </c>
      <c r="GWU1" t="s">
        <v>5537</v>
      </c>
      <c r="GWV1" t="s">
        <v>5538</v>
      </c>
      <c r="GWW1" t="s">
        <v>5539</v>
      </c>
      <c r="GWX1" t="s">
        <v>5540</v>
      </c>
      <c r="GWY1" t="s">
        <v>5541</v>
      </c>
      <c r="GWZ1" t="s">
        <v>5542</v>
      </c>
      <c r="GXA1" t="s">
        <v>5543</v>
      </c>
      <c r="GXB1" t="s">
        <v>5544</v>
      </c>
      <c r="GXC1" t="s">
        <v>5545</v>
      </c>
      <c r="GXD1" t="s">
        <v>5546</v>
      </c>
      <c r="GXE1" t="s">
        <v>5547</v>
      </c>
      <c r="GXF1" t="s">
        <v>5548</v>
      </c>
      <c r="GXG1" t="s">
        <v>5549</v>
      </c>
      <c r="GXH1" t="s">
        <v>5550</v>
      </c>
      <c r="GXI1" t="s">
        <v>5551</v>
      </c>
      <c r="GXJ1" t="s">
        <v>5552</v>
      </c>
      <c r="GXK1" t="s">
        <v>5553</v>
      </c>
      <c r="GXL1" t="s">
        <v>5554</v>
      </c>
      <c r="GXM1" t="s">
        <v>5555</v>
      </c>
      <c r="GXN1" t="s">
        <v>5556</v>
      </c>
      <c r="GXO1" t="s">
        <v>5557</v>
      </c>
      <c r="GXP1" t="s">
        <v>5558</v>
      </c>
      <c r="GXQ1" t="s">
        <v>5559</v>
      </c>
      <c r="GXR1" t="s">
        <v>5560</v>
      </c>
      <c r="GXS1" t="s">
        <v>5561</v>
      </c>
      <c r="GXT1" t="s">
        <v>5562</v>
      </c>
      <c r="GXU1" t="s">
        <v>5563</v>
      </c>
      <c r="GXV1" t="s">
        <v>5564</v>
      </c>
      <c r="GXW1" t="s">
        <v>5565</v>
      </c>
      <c r="GXX1" t="s">
        <v>5566</v>
      </c>
      <c r="GXY1" t="s">
        <v>5567</v>
      </c>
      <c r="GXZ1" t="s">
        <v>5568</v>
      </c>
      <c r="GYA1" t="s">
        <v>5569</v>
      </c>
      <c r="GYB1" t="s">
        <v>5570</v>
      </c>
      <c r="GYC1" t="s">
        <v>5571</v>
      </c>
      <c r="GYD1" t="s">
        <v>5572</v>
      </c>
      <c r="GYE1" t="s">
        <v>5573</v>
      </c>
      <c r="GYF1" t="s">
        <v>5574</v>
      </c>
      <c r="GYG1" t="s">
        <v>5575</v>
      </c>
      <c r="GYH1" t="s">
        <v>5576</v>
      </c>
      <c r="GYI1" t="s">
        <v>5577</v>
      </c>
      <c r="GYJ1" t="s">
        <v>5578</v>
      </c>
      <c r="GYK1" t="s">
        <v>5579</v>
      </c>
      <c r="GYL1" t="s">
        <v>5580</v>
      </c>
      <c r="GYM1" t="s">
        <v>5581</v>
      </c>
      <c r="GYN1" t="s">
        <v>5582</v>
      </c>
      <c r="GYO1" t="s">
        <v>5583</v>
      </c>
      <c r="GYP1" t="s">
        <v>5584</v>
      </c>
      <c r="GYQ1" t="s">
        <v>5585</v>
      </c>
      <c r="GYR1" t="s">
        <v>5586</v>
      </c>
      <c r="GYS1" t="s">
        <v>5587</v>
      </c>
      <c r="GYT1" t="s">
        <v>5588</v>
      </c>
      <c r="GYU1" t="s">
        <v>5589</v>
      </c>
      <c r="GYV1" t="s">
        <v>5590</v>
      </c>
      <c r="GYW1" t="s">
        <v>5591</v>
      </c>
      <c r="GYX1" t="s">
        <v>5592</v>
      </c>
      <c r="GYY1" t="s">
        <v>5593</v>
      </c>
      <c r="GYZ1" t="s">
        <v>5594</v>
      </c>
      <c r="GZA1" t="s">
        <v>5595</v>
      </c>
      <c r="GZB1" t="s">
        <v>5596</v>
      </c>
      <c r="GZC1" t="s">
        <v>5597</v>
      </c>
      <c r="GZD1" t="s">
        <v>5598</v>
      </c>
      <c r="GZE1" t="s">
        <v>5599</v>
      </c>
      <c r="GZF1" t="s">
        <v>5600</v>
      </c>
      <c r="GZG1" t="s">
        <v>5601</v>
      </c>
      <c r="GZH1" t="s">
        <v>5602</v>
      </c>
      <c r="GZI1" t="s">
        <v>5603</v>
      </c>
      <c r="GZJ1" t="s">
        <v>5604</v>
      </c>
      <c r="GZK1" t="s">
        <v>5605</v>
      </c>
      <c r="GZL1" t="s">
        <v>5606</v>
      </c>
      <c r="GZM1" t="s">
        <v>5607</v>
      </c>
      <c r="GZN1" t="s">
        <v>5608</v>
      </c>
      <c r="GZO1" t="s">
        <v>5609</v>
      </c>
      <c r="GZP1" t="s">
        <v>5610</v>
      </c>
      <c r="GZQ1" t="s">
        <v>5611</v>
      </c>
      <c r="GZR1" t="s">
        <v>5612</v>
      </c>
      <c r="GZS1" t="s">
        <v>5613</v>
      </c>
      <c r="GZT1" t="s">
        <v>5614</v>
      </c>
      <c r="GZU1" t="s">
        <v>5615</v>
      </c>
      <c r="GZV1" t="s">
        <v>5616</v>
      </c>
      <c r="GZW1" t="s">
        <v>5617</v>
      </c>
      <c r="GZX1" t="s">
        <v>5618</v>
      </c>
      <c r="GZY1" t="s">
        <v>5619</v>
      </c>
      <c r="GZZ1" t="s">
        <v>5620</v>
      </c>
      <c r="HAA1" t="s">
        <v>5621</v>
      </c>
      <c r="HAB1" t="s">
        <v>5622</v>
      </c>
      <c r="HAC1" t="s">
        <v>5623</v>
      </c>
      <c r="HAD1" t="s">
        <v>5624</v>
      </c>
      <c r="HAE1" t="s">
        <v>5625</v>
      </c>
      <c r="HAF1" t="s">
        <v>5626</v>
      </c>
      <c r="HAG1" t="s">
        <v>5627</v>
      </c>
      <c r="HAH1" t="s">
        <v>5628</v>
      </c>
      <c r="HAI1" t="s">
        <v>5629</v>
      </c>
      <c r="HAJ1" t="s">
        <v>5630</v>
      </c>
      <c r="HAK1" t="s">
        <v>5631</v>
      </c>
      <c r="HAL1" t="s">
        <v>5632</v>
      </c>
      <c r="HAM1" t="s">
        <v>5633</v>
      </c>
      <c r="HAN1" t="s">
        <v>5634</v>
      </c>
      <c r="HAO1" t="s">
        <v>5635</v>
      </c>
      <c r="HAP1" t="s">
        <v>5636</v>
      </c>
      <c r="HAQ1" t="s">
        <v>5637</v>
      </c>
      <c r="HAR1" t="s">
        <v>5638</v>
      </c>
      <c r="HAS1" t="s">
        <v>5639</v>
      </c>
      <c r="HAT1" t="s">
        <v>5640</v>
      </c>
      <c r="HAU1" t="s">
        <v>5641</v>
      </c>
      <c r="HAV1" t="s">
        <v>5642</v>
      </c>
      <c r="HAW1" t="s">
        <v>5643</v>
      </c>
      <c r="HAX1" t="s">
        <v>5644</v>
      </c>
      <c r="HAY1" t="s">
        <v>5645</v>
      </c>
      <c r="HAZ1" t="s">
        <v>5646</v>
      </c>
      <c r="HBA1" t="s">
        <v>5647</v>
      </c>
      <c r="HBB1" t="s">
        <v>5648</v>
      </c>
      <c r="HBC1" t="s">
        <v>5649</v>
      </c>
      <c r="HBD1" t="s">
        <v>5650</v>
      </c>
      <c r="HBE1" t="s">
        <v>5651</v>
      </c>
      <c r="HBF1" t="s">
        <v>5652</v>
      </c>
      <c r="HBG1" t="s">
        <v>5653</v>
      </c>
      <c r="HBH1" t="s">
        <v>5654</v>
      </c>
      <c r="HBI1" t="s">
        <v>5655</v>
      </c>
      <c r="HBJ1" t="s">
        <v>5656</v>
      </c>
      <c r="HBK1" t="s">
        <v>5657</v>
      </c>
      <c r="HBL1" t="s">
        <v>5658</v>
      </c>
      <c r="HBM1" t="s">
        <v>5659</v>
      </c>
      <c r="HBN1" t="s">
        <v>5660</v>
      </c>
      <c r="HBO1" t="s">
        <v>5661</v>
      </c>
      <c r="HBP1" t="s">
        <v>5662</v>
      </c>
      <c r="HBQ1" t="s">
        <v>5663</v>
      </c>
      <c r="HBR1" t="s">
        <v>5664</v>
      </c>
      <c r="HBS1" t="s">
        <v>5665</v>
      </c>
      <c r="HBT1" t="s">
        <v>5666</v>
      </c>
      <c r="HBU1" t="s">
        <v>5667</v>
      </c>
      <c r="HBV1" t="s">
        <v>5668</v>
      </c>
      <c r="HBW1" t="s">
        <v>5669</v>
      </c>
      <c r="HBX1" t="s">
        <v>5670</v>
      </c>
      <c r="HBY1" t="s">
        <v>5671</v>
      </c>
      <c r="HBZ1" t="s">
        <v>5672</v>
      </c>
      <c r="HCA1" t="s">
        <v>5673</v>
      </c>
      <c r="HCB1" t="s">
        <v>5674</v>
      </c>
      <c r="HCC1" t="s">
        <v>5675</v>
      </c>
      <c r="HCD1" t="s">
        <v>5676</v>
      </c>
      <c r="HCE1" t="s">
        <v>5677</v>
      </c>
      <c r="HCF1" t="s">
        <v>5678</v>
      </c>
      <c r="HCG1" t="s">
        <v>5679</v>
      </c>
      <c r="HCH1" t="s">
        <v>5680</v>
      </c>
      <c r="HCI1" t="s">
        <v>5681</v>
      </c>
      <c r="HCJ1" t="s">
        <v>5682</v>
      </c>
      <c r="HCK1" t="s">
        <v>5683</v>
      </c>
      <c r="HCL1" t="s">
        <v>5684</v>
      </c>
      <c r="HCM1" t="s">
        <v>5685</v>
      </c>
      <c r="HCN1" t="s">
        <v>5686</v>
      </c>
      <c r="HCO1" t="s">
        <v>5687</v>
      </c>
      <c r="HCP1" t="s">
        <v>5688</v>
      </c>
      <c r="HCQ1" t="s">
        <v>5689</v>
      </c>
      <c r="HCR1" t="s">
        <v>5690</v>
      </c>
      <c r="HCS1" t="s">
        <v>5691</v>
      </c>
      <c r="HCT1" t="s">
        <v>5692</v>
      </c>
      <c r="HCU1" t="s">
        <v>5693</v>
      </c>
      <c r="HCV1" t="s">
        <v>5694</v>
      </c>
      <c r="HCW1" t="s">
        <v>5695</v>
      </c>
      <c r="HCX1" t="s">
        <v>5696</v>
      </c>
      <c r="HCY1" t="s">
        <v>5697</v>
      </c>
      <c r="HCZ1" t="s">
        <v>5698</v>
      </c>
      <c r="HDA1" t="s">
        <v>5699</v>
      </c>
      <c r="HDB1" t="s">
        <v>5700</v>
      </c>
      <c r="HDC1" t="s">
        <v>5701</v>
      </c>
      <c r="HDD1" t="s">
        <v>5702</v>
      </c>
      <c r="HDE1" t="s">
        <v>5703</v>
      </c>
      <c r="HDF1" t="s">
        <v>5704</v>
      </c>
      <c r="HDG1" t="s">
        <v>5705</v>
      </c>
      <c r="HDH1" t="s">
        <v>5706</v>
      </c>
      <c r="HDI1" t="s">
        <v>5707</v>
      </c>
      <c r="HDJ1" t="s">
        <v>5708</v>
      </c>
      <c r="HDK1" t="s">
        <v>5709</v>
      </c>
      <c r="HDL1" t="s">
        <v>5710</v>
      </c>
      <c r="HDM1" t="s">
        <v>5711</v>
      </c>
      <c r="HDN1" t="s">
        <v>5712</v>
      </c>
      <c r="HDO1" t="s">
        <v>5713</v>
      </c>
      <c r="HDP1" t="s">
        <v>5714</v>
      </c>
      <c r="HDQ1" t="s">
        <v>5715</v>
      </c>
      <c r="HDR1" t="s">
        <v>5716</v>
      </c>
      <c r="HDS1" t="s">
        <v>5717</v>
      </c>
      <c r="HDT1" t="s">
        <v>5718</v>
      </c>
      <c r="HDU1" t="s">
        <v>5719</v>
      </c>
      <c r="HDV1" t="s">
        <v>5720</v>
      </c>
      <c r="HDW1" t="s">
        <v>5721</v>
      </c>
      <c r="HDX1" t="s">
        <v>5722</v>
      </c>
      <c r="HDY1" t="s">
        <v>5723</v>
      </c>
      <c r="HDZ1" t="s">
        <v>5724</v>
      </c>
      <c r="HEA1" t="s">
        <v>5725</v>
      </c>
      <c r="HEB1" t="s">
        <v>5726</v>
      </c>
      <c r="HEC1" t="s">
        <v>5727</v>
      </c>
      <c r="HED1" t="s">
        <v>5728</v>
      </c>
      <c r="HEE1" t="s">
        <v>5729</v>
      </c>
      <c r="HEF1" t="s">
        <v>5730</v>
      </c>
      <c r="HEG1" t="s">
        <v>5731</v>
      </c>
      <c r="HEH1" t="s">
        <v>5732</v>
      </c>
      <c r="HEI1" t="s">
        <v>5733</v>
      </c>
      <c r="HEJ1" t="s">
        <v>5734</v>
      </c>
      <c r="HEK1" t="s">
        <v>5735</v>
      </c>
      <c r="HEL1" t="s">
        <v>5736</v>
      </c>
      <c r="HEM1" t="s">
        <v>5737</v>
      </c>
      <c r="HEN1" t="s">
        <v>5738</v>
      </c>
      <c r="HEO1" t="s">
        <v>5739</v>
      </c>
      <c r="HEP1" t="s">
        <v>5740</v>
      </c>
      <c r="HEQ1" t="s">
        <v>5741</v>
      </c>
      <c r="HER1" t="s">
        <v>5742</v>
      </c>
      <c r="HES1" t="s">
        <v>5743</v>
      </c>
      <c r="HET1" t="s">
        <v>5744</v>
      </c>
      <c r="HEU1" t="s">
        <v>5745</v>
      </c>
      <c r="HEV1" t="s">
        <v>5746</v>
      </c>
      <c r="HEW1" t="s">
        <v>5747</v>
      </c>
      <c r="HEX1" t="s">
        <v>5748</v>
      </c>
      <c r="HEY1" t="s">
        <v>5749</v>
      </c>
      <c r="HEZ1" t="s">
        <v>5750</v>
      </c>
      <c r="HFA1" t="s">
        <v>5751</v>
      </c>
      <c r="HFB1" t="s">
        <v>5752</v>
      </c>
      <c r="HFC1" t="s">
        <v>5753</v>
      </c>
      <c r="HFD1" t="s">
        <v>5754</v>
      </c>
      <c r="HFE1" t="s">
        <v>5755</v>
      </c>
      <c r="HFF1" t="s">
        <v>5756</v>
      </c>
      <c r="HFG1" t="s">
        <v>5757</v>
      </c>
      <c r="HFH1" t="s">
        <v>5758</v>
      </c>
      <c r="HFI1" t="s">
        <v>5759</v>
      </c>
      <c r="HFJ1" t="s">
        <v>5760</v>
      </c>
      <c r="HFK1" t="s">
        <v>5761</v>
      </c>
      <c r="HFL1" t="s">
        <v>5762</v>
      </c>
      <c r="HFM1" t="s">
        <v>5763</v>
      </c>
      <c r="HFN1" t="s">
        <v>5764</v>
      </c>
      <c r="HFO1" t="s">
        <v>5765</v>
      </c>
      <c r="HFP1" t="s">
        <v>5766</v>
      </c>
      <c r="HFQ1" t="s">
        <v>5767</v>
      </c>
      <c r="HFR1" t="s">
        <v>5768</v>
      </c>
      <c r="HFS1" t="s">
        <v>5769</v>
      </c>
      <c r="HFT1" t="s">
        <v>5770</v>
      </c>
      <c r="HFU1" t="s">
        <v>5771</v>
      </c>
      <c r="HFV1" t="s">
        <v>5772</v>
      </c>
      <c r="HFW1" t="s">
        <v>5773</v>
      </c>
      <c r="HFX1" t="s">
        <v>5774</v>
      </c>
      <c r="HFY1" t="s">
        <v>5775</v>
      </c>
      <c r="HFZ1" t="s">
        <v>5776</v>
      </c>
      <c r="HGA1" t="s">
        <v>5777</v>
      </c>
      <c r="HGB1" t="s">
        <v>5778</v>
      </c>
      <c r="HGC1" t="s">
        <v>5779</v>
      </c>
      <c r="HGD1" t="s">
        <v>5780</v>
      </c>
      <c r="HGE1" t="s">
        <v>5781</v>
      </c>
      <c r="HGF1" t="s">
        <v>5782</v>
      </c>
      <c r="HGG1" t="s">
        <v>5783</v>
      </c>
      <c r="HGH1" t="s">
        <v>5784</v>
      </c>
      <c r="HGI1" t="s">
        <v>5785</v>
      </c>
      <c r="HGJ1" t="s">
        <v>5786</v>
      </c>
      <c r="HGK1" t="s">
        <v>5787</v>
      </c>
      <c r="HGL1" t="s">
        <v>5788</v>
      </c>
      <c r="HGM1" t="s">
        <v>5789</v>
      </c>
      <c r="HGN1" t="s">
        <v>5790</v>
      </c>
      <c r="HGO1" t="s">
        <v>5791</v>
      </c>
      <c r="HGP1" t="s">
        <v>5792</v>
      </c>
      <c r="HGQ1" t="s">
        <v>5793</v>
      </c>
      <c r="HGR1" t="s">
        <v>5794</v>
      </c>
      <c r="HGS1" t="s">
        <v>5795</v>
      </c>
      <c r="HGT1" t="s">
        <v>5796</v>
      </c>
      <c r="HGU1" t="s">
        <v>5797</v>
      </c>
      <c r="HGV1" t="s">
        <v>5798</v>
      </c>
      <c r="HGW1" t="s">
        <v>5799</v>
      </c>
      <c r="HGX1" t="s">
        <v>5800</v>
      </c>
      <c r="HGY1" t="s">
        <v>5801</v>
      </c>
      <c r="HGZ1" t="s">
        <v>5802</v>
      </c>
      <c r="HHA1" t="s">
        <v>5803</v>
      </c>
      <c r="HHB1" t="s">
        <v>5804</v>
      </c>
      <c r="HHC1" t="s">
        <v>5805</v>
      </c>
      <c r="HHD1" t="s">
        <v>5806</v>
      </c>
      <c r="HHE1" t="s">
        <v>5807</v>
      </c>
      <c r="HHF1" t="s">
        <v>5808</v>
      </c>
      <c r="HHG1" t="s">
        <v>5809</v>
      </c>
      <c r="HHH1" t="s">
        <v>5810</v>
      </c>
      <c r="HHI1" t="s">
        <v>5811</v>
      </c>
      <c r="HHJ1" t="s">
        <v>5812</v>
      </c>
      <c r="HHK1" t="s">
        <v>5813</v>
      </c>
      <c r="HHL1" t="s">
        <v>5814</v>
      </c>
      <c r="HHM1" t="s">
        <v>5815</v>
      </c>
      <c r="HHN1" t="s">
        <v>5816</v>
      </c>
      <c r="HHO1" t="s">
        <v>5817</v>
      </c>
      <c r="HHP1" t="s">
        <v>5818</v>
      </c>
      <c r="HHQ1" t="s">
        <v>5819</v>
      </c>
      <c r="HHR1" t="s">
        <v>5820</v>
      </c>
      <c r="HHS1" t="s">
        <v>5821</v>
      </c>
      <c r="HHT1" t="s">
        <v>5822</v>
      </c>
      <c r="HHU1" t="s">
        <v>5823</v>
      </c>
      <c r="HHV1" t="s">
        <v>5824</v>
      </c>
      <c r="HHW1" t="s">
        <v>5825</v>
      </c>
      <c r="HHX1" t="s">
        <v>5826</v>
      </c>
      <c r="HHY1" t="s">
        <v>5827</v>
      </c>
      <c r="HHZ1" t="s">
        <v>5828</v>
      </c>
      <c r="HIA1" t="s">
        <v>5829</v>
      </c>
      <c r="HIB1" t="s">
        <v>5830</v>
      </c>
      <c r="HIC1" t="s">
        <v>5831</v>
      </c>
      <c r="HID1" t="s">
        <v>5832</v>
      </c>
      <c r="HIE1" t="s">
        <v>5833</v>
      </c>
      <c r="HIF1" t="s">
        <v>5834</v>
      </c>
      <c r="HIG1" t="s">
        <v>5835</v>
      </c>
      <c r="HIH1" t="s">
        <v>5836</v>
      </c>
      <c r="HII1" t="s">
        <v>5837</v>
      </c>
      <c r="HIJ1" t="s">
        <v>5838</v>
      </c>
      <c r="HIK1" t="s">
        <v>5839</v>
      </c>
      <c r="HIL1" t="s">
        <v>5840</v>
      </c>
      <c r="HIM1" t="s">
        <v>5841</v>
      </c>
      <c r="HIN1" t="s">
        <v>5842</v>
      </c>
      <c r="HIO1" t="s">
        <v>5843</v>
      </c>
      <c r="HIP1" t="s">
        <v>5844</v>
      </c>
      <c r="HIQ1" t="s">
        <v>5845</v>
      </c>
      <c r="HIR1" t="s">
        <v>5846</v>
      </c>
      <c r="HIS1" t="s">
        <v>5847</v>
      </c>
      <c r="HIT1" t="s">
        <v>5848</v>
      </c>
      <c r="HIU1" t="s">
        <v>5849</v>
      </c>
      <c r="HIV1" t="s">
        <v>5850</v>
      </c>
      <c r="HIW1" t="s">
        <v>5851</v>
      </c>
      <c r="HIX1" t="s">
        <v>5852</v>
      </c>
      <c r="HIY1" t="s">
        <v>5853</v>
      </c>
      <c r="HIZ1" t="s">
        <v>5854</v>
      </c>
      <c r="HJA1" t="s">
        <v>5855</v>
      </c>
      <c r="HJB1" t="s">
        <v>5856</v>
      </c>
      <c r="HJC1" t="s">
        <v>5857</v>
      </c>
      <c r="HJD1" t="s">
        <v>5858</v>
      </c>
      <c r="HJE1" t="s">
        <v>5859</v>
      </c>
      <c r="HJF1" t="s">
        <v>5860</v>
      </c>
      <c r="HJG1" t="s">
        <v>5861</v>
      </c>
      <c r="HJH1" t="s">
        <v>5862</v>
      </c>
      <c r="HJI1" t="s">
        <v>5863</v>
      </c>
      <c r="HJJ1" t="s">
        <v>5864</v>
      </c>
      <c r="HJK1" t="s">
        <v>5865</v>
      </c>
      <c r="HJL1" t="s">
        <v>5866</v>
      </c>
      <c r="HJM1" t="s">
        <v>5867</v>
      </c>
      <c r="HJN1" t="s">
        <v>5868</v>
      </c>
      <c r="HJO1" t="s">
        <v>5869</v>
      </c>
      <c r="HJP1" t="s">
        <v>5870</v>
      </c>
      <c r="HJQ1" t="s">
        <v>5871</v>
      </c>
      <c r="HJR1" t="s">
        <v>5872</v>
      </c>
      <c r="HJS1" t="s">
        <v>5873</v>
      </c>
      <c r="HJT1" t="s">
        <v>5874</v>
      </c>
      <c r="HJU1" t="s">
        <v>5875</v>
      </c>
      <c r="HJV1" t="s">
        <v>5876</v>
      </c>
      <c r="HJW1" t="s">
        <v>5877</v>
      </c>
      <c r="HJX1" t="s">
        <v>5878</v>
      </c>
      <c r="HJY1" t="s">
        <v>5879</v>
      </c>
      <c r="HJZ1" t="s">
        <v>5880</v>
      </c>
      <c r="HKA1" t="s">
        <v>5881</v>
      </c>
      <c r="HKB1" t="s">
        <v>5882</v>
      </c>
      <c r="HKC1" t="s">
        <v>5883</v>
      </c>
      <c r="HKD1" t="s">
        <v>5884</v>
      </c>
      <c r="HKE1" t="s">
        <v>5885</v>
      </c>
      <c r="HKF1" t="s">
        <v>5886</v>
      </c>
      <c r="HKG1" t="s">
        <v>5887</v>
      </c>
      <c r="HKH1" t="s">
        <v>5888</v>
      </c>
      <c r="HKI1" t="s">
        <v>5889</v>
      </c>
      <c r="HKJ1" t="s">
        <v>5890</v>
      </c>
      <c r="HKK1" t="s">
        <v>5891</v>
      </c>
      <c r="HKL1" t="s">
        <v>5892</v>
      </c>
      <c r="HKM1" t="s">
        <v>5893</v>
      </c>
      <c r="HKN1" t="s">
        <v>5894</v>
      </c>
      <c r="HKO1" t="s">
        <v>5895</v>
      </c>
      <c r="HKP1" t="s">
        <v>5896</v>
      </c>
      <c r="HKQ1" t="s">
        <v>5897</v>
      </c>
      <c r="HKR1" t="s">
        <v>5898</v>
      </c>
      <c r="HKS1" t="s">
        <v>5899</v>
      </c>
      <c r="HKT1" t="s">
        <v>5900</v>
      </c>
      <c r="HKU1" t="s">
        <v>5901</v>
      </c>
      <c r="HKV1" t="s">
        <v>5902</v>
      </c>
      <c r="HKW1" t="s">
        <v>5903</v>
      </c>
      <c r="HKX1" t="s">
        <v>5904</v>
      </c>
      <c r="HKY1" t="s">
        <v>5905</v>
      </c>
      <c r="HKZ1" t="s">
        <v>5906</v>
      </c>
      <c r="HLA1" t="s">
        <v>5907</v>
      </c>
      <c r="HLB1" t="s">
        <v>5908</v>
      </c>
      <c r="HLC1" t="s">
        <v>5909</v>
      </c>
      <c r="HLD1" t="s">
        <v>5910</v>
      </c>
      <c r="HLE1" t="s">
        <v>5911</v>
      </c>
      <c r="HLF1" t="s">
        <v>5912</v>
      </c>
      <c r="HLG1" t="s">
        <v>5913</v>
      </c>
      <c r="HLH1" t="s">
        <v>5914</v>
      </c>
      <c r="HLI1" t="s">
        <v>5915</v>
      </c>
      <c r="HLJ1" t="s">
        <v>5916</v>
      </c>
      <c r="HLK1" t="s">
        <v>5917</v>
      </c>
      <c r="HLL1" t="s">
        <v>5918</v>
      </c>
      <c r="HLM1" t="s">
        <v>5919</v>
      </c>
      <c r="HLN1" t="s">
        <v>5920</v>
      </c>
      <c r="HLO1" t="s">
        <v>5921</v>
      </c>
      <c r="HLP1" t="s">
        <v>5922</v>
      </c>
      <c r="HLQ1" t="s">
        <v>5923</v>
      </c>
      <c r="HLR1" t="s">
        <v>5924</v>
      </c>
      <c r="HLS1" t="s">
        <v>5925</v>
      </c>
      <c r="HLT1" t="s">
        <v>5926</v>
      </c>
      <c r="HLU1" t="s">
        <v>5927</v>
      </c>
      <c r="HLV1" t="s">
        <v>5928</v>
      </c>
      <c r="HLW1" t="s">
        <v>5929</v>
      </c>
      <c r="HLX1" t="s">
        <v>5930</v>
      </c>
      <c r="HLY1" t="s">
        <v>5931</v>
      </c>
      <c r="HLZ1" t="s">
        <v>5932</v>
      </c>
      <c r="HMA1" t="s">
        <v>5933</v>
      </c>
      <c r="HMB1" t="s">
        <v>5934</v>
      </c>
      <c r="HMC1" t="s">
        <v>5935</v>
      </c>
      <c r="HMD1" t="s">
        <v>5936</v>
      </c>
      <c r="HME1" t="s">
        <v>5937</v>
      </c>
      <c r="HMF1" t="s">
        <v>5938</v>
      </c>
      <c r="HMG1" t="s">
        <v>5939</v>
      </c>
      <c r="HMH1" t="s">
        <v>5940</v>
      </c>
      <c r="HMI1" t="s">
        <v>5941</v>
      </c>
      <c r="HMJ1" t="s">
        <v>5942</v>
      </c>
      <c r="HMK1" t="s">
        <v>5943</v>
      </c>
      <c r="HML1" t="s">
        <v>5944</v>
      </c>
      <c r="HMM1" t="s">
        <v>5945</v>
      </c>
      <c r="HMN1" t="s">
        <v>5946</v>
      </c>
      <c r="HMO1" t="s">
        <v>5947</v>
      </c>
      <c r="HMP1" t="s">
        <v>5948</v>
      </c>
      <c r="HMQ1" t="s">
        <v>5949</v>
      </c>
      <c r="HMR1" t="s">
        <v>5950</v>
      </c>
      <c r="HMS1" t="s">
        <v>5951</v>
      </c>
      <c r="HMT1" t="s">
        <v>5952</v>
      </c>
      <c r="HMU1" t="s">
        <v>5953</v>
      </c>
      <c r="HMV1" t="s">
        <v>5954</v>
      </c>
      <c r="HMW1" t="s">
        <v>5955</v>
      </c>
      <c r="HMX1" t="s">
        <v>5956</v>
      </c>
      <c r="HMY1" t="s">
        <v>5957</v>
      </c>
      <c r="HMZ1" t="s">
        <v>5958</v>
      </c>
      <c r="HNA1" t="s">
        <v>5959</v>
      </c>
      <c r="HNB1" t="s">
        <v>5960</v>
      </c>
      <c r="HNC1" t="s">
        <v>5961</v>
      </c>
      <c r="HND1" t="s">
        <v>5962</v>
      </c>
      <c r="HNE1" t="s">
        <v>5963</v>
      </c>
      <c r="HNF1" t="s">
        <v>5964</v>
      </c>
      <c r="HNG1" t="s">
        <v>5965</v>
      </c>
      <c r="HNH1" t="s">
        <v>5966</v>
      </c>
      <c r="HNI1" t="s">
        <v>5967</v>
      </c>
      <c r="HNJ1" t="s">
        <v>5968</v>
      </c>
      <c r="HNK1" t="s">
        <v>5969</v>
      </c>
      <c r="HNL1" t="s">
        <v>5970</v>
      </c>
      <c r="HNM1" t="s">
        <v>5971</v>
      </c>
      <c r="HNN1" t="s">
        <v>5972</v>
      </c>
      <c r="HNO1" t="s">
        <v>5973</v>
      </c>
      <c r="HNP1" t="s">
        <v>5974</v>
      </c>
      <c r="HNQ1" t="s">
        <v>5975</v>
      </c>
      <c r="HNR1" t="s">
        <v>5976</v>
      </c>
      <c r="HNS1" t="s">
        <v>5977</v>
      </c>
      <c r="HNT1" t="s">
        <v>5978</v>
      </c>
      <c r="HNU1" t="s">
        <v>5979</v>
      </c>
      <c r="HNV1" t="s">
        <v>5980</v>
      </c>
      <c r="HNW1" t="s">
        <v>5981</v>
      </c>
      <c r="HNX1" t="s">
        <v>5982</v>
      </c>
      <c r="HNY1" t="s">
        <v>5983</v>
      </c>
      <c r="HNZ1" t="s">
        <v>5984</v>
      </c>
      <c r="HOA1" t="s">
        <v>5985</v>
      </c>
      <c r="HOB1" t="s">
        <v>5986</v>
      </c>
      <c r="HOC1" t="s">
        <v>5987</v>
      </c>
      <c r="HOD1" t="s">
        <v>5988</v>
      </c>
      <c r="HOE1" t="s">
        <v>5989</v>
      </c>
      <c r="HOF1" t="s">
        <v>5990</v>
      </c>
      <c r="HOG1" t="s">
        <v>5991</v>
      </c>
      <c r="HOH1" t="s">
        <v>5992</v>
      </c>
      <c r="HOI1" t="s">
        <v>5993</v>
      </c>
      <c r="HOJ1" t="s">
        <v>5994</v>
      </c>
      <c r="HOK1" t="s">
        <v>5995</v>
      </c>
      <c r="HOL1" t="s">
        <v>5996</v>
      </c>
      <c r="HOM1" t="s">
        <v>5997</v>
      </c>
      <c r="HON1" t="s">
        <v>5998</v>
      </c>
      <c r="HOO1" t="s">
        <v>5999</v>
      </c>
      <c r="HOP1" t="s">
        <v>6000</v>
      </c>
      <c r="HOQ1" t="s">
        <v>6001</v>
      </c>
      <c r="HOR1" t="s">
        <v>6002</v>
      </c>
      <c r="HOS1" t="s">
        <v>6003</v>
      </c>
      <c r="HOT1" t="s">
        <v>6004</v>
      </c>
      <c r="HOU1" t="s">
        <v>6005</v>
      </c>
      <c r="HOV1" t="s">
        <v>6006</v>
      </c>
      <c r="HOW1" t="s">
        <v>6007</v>
      </c>
      <c r="HOX1" t="s">
        <v>6008</v>
      </c>
      <c r="HOY1" t="s">
        <v>6009</v>
      </c>
      <c r="HOZ1" t="s">
        <v>6010</v>
      </c>
      <c r="HPA1" t="s">
        <v>6011</v>
      </c>
      <c r="HPB1" t="s">
        <v>6012</v>
      </c>
      <c r="HPC1" t="s">
        <v>6013</v>
      </c>
      <c r="HPD1" t="s">
        <v>6014</v>
      </c>
      <c r="HPE1" t="s">
        <v>6015</v>
      </c>
      <c r="HPF1" t="s">
        <v>6016</v>
      </c>
      <c r="HPG1" t="s">
        <v>6017</v>
      </c>
      <c r="HPH1" t="s">
        <v>6018</v>
      </c>
      <c r="HPI1" t="s">
        <v>6019</v>
      </c>
      <c r="HPJ1" t="s">
        <v>6020</v>
      </c>
      <c r="HPK1" t="s">
        <v>6021</v>
      </c>
      <c r="HPL1" t="s">
        <v>6022</v>
      </c>
      <c r="HPM1" t="s">
        <v>6023</v>
      </c>
      <c r="HPN1" t="s">
        <v>6024</v>
      </c>
      <c r="HPO1" t="s">
        <v>6025</v>
      </c>
      <c r="HPP1" t="s">
        <v>6026</v>
      </c>
      <c r="HPQ1" t="s">
        <v>6027</v>
      </c>
      <c r="HPR1" t="s">
        <v>6028</v>
      </c>
      <c r="HPS1" t="s">
        <v>6029</v>
      </c>
      <c r="HPT1" t="s">
        <v>6030</v>
      </c>
      <c r="HPU1" t="s">
        <v>6031</v>
      </c>
      <c r="HPV1" t="s">
        <v>6032</v>
      </c>
      <c r="HPW1" t="s">
        <v>6033</v>
      </c>
      <c r="HPX1" t="s">
        <v>6034</v>
      </c>
      <c r="HPY1" t="s">
        <v>6035</v>
      </c>
      <c r="HPZ1" t="s">
        <v>6036</v>
      </c>
      <c r="HQA1" t="s">
        <v>6037</v>
      </c>
      <c r="HQB1" t="s">
        <v>6038</v>
      </c>
      <c r="HQC1" t="s">
        <v>6039</v>
      </c>
      <c r="HQD1" t="s">
        <v>6040</v>
      </c>
      <c r="HQE1" t="s">
        <v>6041</v>
      </c>
      <c r="HQF1" t="s">
        <v>6042</v>
      </c>
      <c r="HQG1" t="s">
        <v>6043</v>
      </c>
      <c r="HQH1" t="s">
        <v>6044</v>
      </c>
      <c r="HQI1" t="s">
        <v>6045</v>
      </c>
      <c r="HQJ1" t="s">
        <v>6046</v>
      </c>
      <c r="HQK1" t="s">
        <v>6047</v>
      </c>
      <c r="HQL1" t="s">
        <v>6048</v>
      </c>
      <c r="HQM1" t="s">
        <v>6049</v>
      </c>
      <c r="HQN1" t="s">
        <v>6050</v>
      </c>
      <c r="HQO1" t="s">
        <v>6051</v>
      </c>
      <c r="HQP1" t="s">
        <v>6052</v>
      </c>
      <c r="HQQ1" t="s">
        <v>6053</v>
      </c>
      <c r="HQR1" t="s">
        <v>6054</v>
      </c>
      <c r="HQS1" t="s">
        <v>6055</v>
      </c>
      <c r="HQT1" t="s">
        <v>6056</v>
      </c>
      <c r="HQU1" t="s">
        <v>6057</v>
      </c>
      <c r="HQV1" t="s">
        <v>6058</v>
      </c>
      <c r="HQW1" t="s">
        <v>6059</v>
      </c>
      <c r="HQX1" t="s">
        <v>6060</v>
      </c>
      <c r="HQY1" t="s">
        <v>6061</v>
      </c>
      <c r="HQZ1" t="s">
        <v>6062</v>
      </c>
      <c r="HRA1" t="s">
        <v>6063</v>
      </c>
      <c r="HRB1" t="s">
        <v>6064</v>
      </c>
      <c r="HRC1" t="s">
        <v>6065</v>
      </c>
      <c r="HRD1" t="s">
        <v>6066</v>
      </c>
      <c r="HRE1" t="s">
        <v>6067</v>
      </c>
      <c r="HRF1" t="s">
        <v>6068</v>
      </c>
      <c r="HRG1" t="s">
        <v>6069</v>
      </c>
      <c r="HRH1" t="s">
        <v>6070</v>
      </c>
      <c r="HRI1" t="s">
        <v>6071</v>
      </c>
      <c r="HRJ1" t="s">
        <v>6072</v>
      </c>
      <c r="HRK1" t="s">
        <v>6073</v>
      </c>
      <c r="HRL1" t="s">
        <v>6074</v>
      </c>
      <c r="HRM1" t="s">
        <v>6075</v>
      </c>
      <c r="HRN1" t="s">
        <v>6076</v>
      </c>
      <c r="HRO1" t="s">
        <v>6077</v>
      </c>
      <c r="HRP1" t="s">
        <v>6078</v>
      </c>
      <c r="HRQ1" t="s">
        <v>6079</v>
      </c>
      <c r="HRR1" t="s">
        <v>6080</v>
      </c>
      <c r="HRS1" t="s">
        <v>6081</v>
      </c>
      <c r="HRT1" t="s">
        <v>6082</v>
      </c>
      <c r="HRU1" t="s">
        <v>6083</v>
      </c>
      <c r="HRV1" t="s">
        <v>6084</v>
      </c>
      <c r="HRW1" t="s">
        <v>6085</v>
      </c>
      <c r="HRX1" t="s">
        <v>6086</v>
      </c>
      <c r="HRY1" t="s">
        <v>6087</v>
      </c>
      <c r="HRZ1" t="s">
        <v>6088</v>
      </c>
      <c r="HSA1" t="s">
        <v>6089</v>
      </c>
      <c r="HSB1" t="s">
        <v>6090</v>
      </c>
      <c r="HSC1" t="s">
        <v>6091</v>
      </c>
      <c r="HSD1" t="s">
        <v>6092</v>
      </c>
      <c r="HSE1" t="s">
        <v>6093</v>
      </c>
      <c r="HSF1" t="s">
        <v>6094</v>
      </c>
      <c r="HSG1" t="s">
        <v>6095</v>
      </c>
      <c r="HSH1" t="s">
        <v>6096</v>
      </c>
      <c r="HSI1" t="s">
        <v>6097</v>
      </c>
      <c r="HSJ1" t="s">
        <v>6098</v>
      </c>
      <c r="HSK1" t="s">
        <v>6099</v>
      </c>
      <c r="HSL1" t="s">
        <v>6100</v>
      </c>
      <c r="HSM1" t="s">
        <v>6101</v>
      </c>
      <c r="HSN1" t="s">
        <v>6102</v>
      </c>
      <c r="HSO1" t="s">
        <v>6103</v>
      </c>
      <c r="HSP1" t="s">
        <v>6104</v>
      </c>
      <c r="HSQ1" t="s">
        <v>6105</v>
      </c>
      <c r="HSR1" t="s">
        <v>6106</v>
      </c>
      <c r="HSS1" t="s">
        <v>6107</v>
      </c>
      <c r="HST1" t="s">
        <v>6108</v>
      </c>
      <c r="HSU1" t="s">
        <v>6109</v>
      </c>
      <c r="HSV1" t="s">
        <v>6110</v>
      </c>
      <c r="HSW1" t="s">
        <v>6111</v>
      </c>
      <c r="HSX1" t="s">
        <v>6112</v>
      </c>
      <c r="HSY1" t="s">
        <v>6113</v>
      </c>
      <c r="HSZ1" t="s">
        <v>6114</v>
      </c>
      <c r="HTA1" t="s">
        <v>6115</v>
      </c>
      <c r="HTB1" t="s">
        <v>6116</v>
      </c>
      <c r="HTC1" t="s">
        <v>6117</v>
      </c>
      <c r="HTD1" t="s">
        <v>6118</v>
      </c>
      <c r="HTE1" t="s">
        <v>6119</v>
      </c>
      <c r="HTF1" t="s">
        <v>6120</v>
      </c>
      <c r="HTG1" t="s">
        <v>6121</v>
      </c>
      <c r="HTH1" t="s">
        <v>6122</v>
      </c>
      <c r="HTI1" t="s">
        <v>6123</v>
      </c>
      <c r="HTJ1" t="s">
        <v>6124</v>
      </c>
      <c r="HTK1" t="s">
        <v>6125</v>
      </c>
      <c r="HTL1" t="s">
        <v>6126</v>
      </c>
      <c r="HTM1" t="s">
        <v>6127</v>
      </c>
      <c r="HTN1" t="s">
        <v>6128</v>
      </c>
      <c r="HTO1" t="s">
        <v>6129</v>
      </c>
      <c r="HTP1" t="s">
        <v>6130</v>
      </c>
      <c r="HTQ1" t="s">
        <v>6131</v>
      </c>
      <c r="HTR1" t="s">
        <v>6132</v>
      </c>
      <c r="HTS1" t="s">
        <v>6133</v>
      </c>
      <c r="HTT1" t="s">
        <v>6134</v>
      </c>
      <c r="HTU1" t="s">
        <v>6135</v>
      </c>
      <c r="HTV1" t="s">
        <v>6136</v>
      </c>
      <c r="HTW1" t="s">
        <v>6137</v>
      </c>
      <c r="HTX1" t="s">
        <v>6138</v>
      </c>
      <c r="HTY1" t="s">
        <v>6139</v>
      </c>
      <c r="HTZ1" t="s">
        <v>6140</v>
      </c>
      <c r="HUA1" t="s">
        <v>6141</v>
      </c>
      <c r="HUB1" t="s">
        <v>6142</v>
      </c>
      <c r="HUC1" t="s">
        <v>6143</v>
      </c>
      <c r="HUD1" t="s">
        <v>6144</v>
      </c>
      <c r="HUE1" t="s">
        <v>6145</v>
      </c>
      <c r="HUF1" t="s">
        <v>6146</v>
      </c>
      <c r="HUG1" t="s">
        <v>6147</v>
      </c>
      <c r="HUH1" t="s">
        <v>6148</v>
      </c>
      <c r="HUI1" t="s">
        <v>6149</v>
      </c>
      <c r="HUJ1" t="s">
        <v>6150</v>
      </c>
      <c r="HUK1" t="s">
        <v>6151</v>
      </c>
      <c r="HUL1" t="s">
        <v>6152</v>
      </c>
      <c r="HUM1" t="s">
        <v>6153</v>
      </c>
      <c r="HUN1" t="s">
        <v>6154</v>
      </c>
      <c r="HUO1" t="s">
        <v>6155</v>
      </c>
      <c r="HUP1" t="s">
        <v>6156</v>
      </c>
      <c r="HUQ1" t="s">
        <v>6157</v>
      </c>
      <c r="HUR1" t="s">
        <v>6158</v>
      </c>
      <c r="HUS1" t="s">
        <v>6159</v>
      </c>
      <c r="HUT1" t="s">
        <v>6160</v>
      </c>
      <c r="HUU1" t="s">
        <v>6161</v>
      </c>
      <c r="HUV1" t="s">
        <v>6162</v>
      </c>
      <c r="HUW1" t="s">
        <v>6163</v>
      </c>
      <c r="HUX1" t="s">
        <v>6164</v>
      </c>
      <c r="HUY1" t="s">
        <v>6165</v>
      </c>
      <c r="HUZ1" t="s">
        <v>6166</v>
      </c>
      <c r="HVA1" t="s">
        <v>6167</v>
      </c>
      <c r="HVB1" t="s">
        <v>6168</v>
      </c>
      <c r="HVC1" t="s">
        <v>6169</v>
      </c>
      <c r="HVD1" t="s">
        <v>6170</v>
      </c>
      <c r="HVE1" t="s">
        <v>6171</v>
      </c>
      <c r="HVF1" t="s">
        <v>6172</v>
      </c>
      <c r="HVG1" t="s">
        <v>6173</v>
      </c>
      <c r="HVH1" t="s">
        <v>6174</v>
      </c>
      <c r="HVI1" t="s">
        <v>6175</v>
      </c>
      <c r="HVJ1" t="s">
        <v>6176</v>
      </c>
      <c r="HVK1" t="s">
        <v>6177</v>
      </c>
      <c r="HVL1" t="s">
        <v>6178</v>
      </c>
      <c r="HVM1" t="s">
        <v>6179</v>
      </c>
      <c r="HVN1" t="s">
        <v>6180</v>
      </c>
      <c r="HVO1" t="s">
        <v>6181</v>
      </c>
      <c r="HVP1" t="s">
        <v>6182</v>
      </c>
      <c r="HVQ1" t="s">
        <v>6183</v>
      </c>
      <c r="HVR1" t="s">
        <v>6184</v>
      </c>
      <c r="HVS1" t="s">
        <v>6185</v>
      </c>
      <c r="HVT1" t="s">
        <v>6186</v>
      </c>
      <c r="HVU1" t="s">
        <v>6187</v>
      </c>
      <c r="HVV1" t="s">
        <v>6188</v>
      </c>
      <c r="HVW1" t="s">
        <v>6189</v>
      </c>
      <c r="HVX1" t="s">
        <v>6190</v>
      </c>
      <c r="HVY1" t="s">
        <v>6191</v>
      </c>
      <c r="HVZ1" t="s">
        <v>6192</v>
      </c>
      <c r="HWA1" t="s">
        <v>6193</v>
      </c>
      <c r="HWB1" t="s">
        <v>6194</v>
      </c>
      <c r="HWC1" t="s">
        <v>6195</v>
      </c>
      <c r="HWD1" t="s">
        <v>6196</v>
      </c>
      <c r="HWE1" t="s">
        <v>6197</v>
      </c>
      <c r="HWF1" t="s">
        <v>6198</v>
      </c>
      <c r="HWG1" t="s">
        <v>6199</v>
      </c>
      <c r="HWH1" t="s">
        <v>6200</v>
      </c>
      <c r="HWI1" t="s">
        <v>6201</v>
      </c>
      <c r="HWJ1" t="s">
        <v>6202</v>
      </c>
      <c r="HWK1" t="s">
        <v>6203</v>
      </c>
      <c r="HWL1" t="s">
        <v>6204</v>
      </c>
      <c r="HWM1" t="s">
        <v>6205</v>
      </c>
      <c r="HWN1" t="s">
        <v>6206</v>
      </c>
      <c r="HWO1" t="s">
        <v>6207</v>
      </c>
      <c r="HWP1" t="s">
        <v>6208</v>
      </c>
      <c r="HWQ1" t="s">
        <v>6209</v>
      </c>
      <c r="HWR1" t="s">
        <v>6210</v>
      </c>
      <c r="HWS1" t="s">
        <v>6211</v>
      </c>
      <c r="HWT1" t="s">
        <v>6212</v>
      </c>
      <c r="HWU1" t="s">
        <v>6213</v>
      </c>
      <c r="HWV1" t="s">
        <v>6214</v>
      </c>
      <c r="HWW1" t="s">
        <v>6215</v>
      </c>
      <c r="HWX1" t="s">
        <v>6216</v>
      </c>
      <c r="HWY1" t="s">
        <v>6217</v>
      </c>
      <c r="HWZ1" t="s">
        <v>6218</v>
      </c>
      <c r="HXA1" t="s">
        <v>6219</v>
      </c>
      <c r="HXB1" t="s">
        <v>6220</v>
      </c>
      <c r="HXC1" t="s">
        <v>6221</v>
      </c>
      <c r="HXD1" t="s">
        <v>6222</v>
      </c>
      <c r="HXE1" t="s">
        <v>6223</v>
      </c>
      <c r="HXF1" t="s">
        <v>6224</v>
      </c>
      <c r="HXG1" t="s">
        <v>6225</v>
      </c>
      <c r="HXH1" t="s">
        <v>6226</v>
      </c>
      <c r="HXI1" t="s">
        <v>6227</v>
      </c>
      <c r="HXJ1" t="s">
        <v>6228</v>
      </c>
      <c r="HXK1" t="s">
        <v>6229</v>
      </c>
      <c r="HXL1" t="s">
        <v>6230</v>
      </c>
      <c r="HXM1" t="s">
        <v>6231</v>
      </c>
      <c r="HXN1" t="s">
        <v>6232</v>
      </c>
      <c r="HXO1" t="s">
        <v>6233</v>
      </c>
      <c r="HXP1" t="s">
        <v>6234</v>
      </c>
      <c r="HXQ1" t="s">
        <v>6235</v>
      </c>
      <c r="HXR1" t="s">
        <v>6236</v>
      </c>
      <c r="HXS1" t="s">
        <v>6237</v>
      </c>
      <c r="HXT1" t="s">
        <v>6238</v>
      </c>
      <c r="HXU1" t="s">
        <v>6239</v>
      </c>
      <c r="HXV1" t="s">
        <v>6240</v>
      </c>
      <c r="HXW1" t="s">
        <v>6241</v>
      </c>
      <c r="HXX1" t="s">
        <v>6242</v>
      </c>
      <c r="HXY1" t="s">
        <v>6243</v>
      </c>
      <c r="HXZ1" t="s">
        <v>6244</v>
      </c>
      <c r="HYA1" t="s">
        <v>6245</v>
      </c>
      <c r="HYB1" t="s">
        <v>6246</v>
      </c>
      <c r="HYC1" t="s">
        <v>6247</v>
      </c>
      <c r="HYD1" t="s">
        <v>6248</v>
      </c>
      <c r="HYE1" t="s">
        <v>6249</v>
      </c>
      <c r="HYF1" t="s">
        <v>6250</v>
      </c>
      <c r="HYG1" t="s">
        <v>6251</v>
      </c>
      <c r="HYH1" t="s">
        <v>6252</v>
      </c>
      <c r="HYI1" t="s">
        <v>6253</v>
      </c>
      <c r="HYJ1" t="s">
        <v>6254</v>
      </c>
      <c r="HYK1" t="s">
        <v>6255</v>
      </c>
      <c r="HYL1" t="s">
        <v>6256</v>
      </c>
      <c r="HYM1" t="s">
        <v>6257</v>
      </c>
      <c r="HYN1" t="s">
        <v>6258</v>
      </c>
      <c r="HYO1" t="s">
        <v>6259</v>
      </c>
      <c r="HYP1" t="s">
        <v>6260</v>
      </c>
      <c r="HYQ1" t="s">
        <v>6261</v>
      </c>
      <c r="HYR1" t="s">
        <v>6262</v>
      </c>
      <c r="HYS1" t="s">
        <v>6263</v>
      </c>
      <c r="HYT1" t="s">
        <v>6264</v>
      </c>
      <c r="HYU1" t="s">
        <v>6265</v>
      </c>
      <c r="HYV1" t="s">
        <v>6266</v>
      </c>
      <c r="HYW1" t="s">
        <v>6267</v>
      </c>
      <c r="HYX1" t="s">
        <v>6268</v>
      </c>
      <c r="HYY1" t="s">
        <v>6269</v>
      </c>
      <c r="HYZ1" t="s">
        <v>6270</v>
      </c>
      <c r="HZA1" t="s">
        <v>6271</v>
      </c>
      <c r="HZB1" t="s">
        <v>6272</v>
      </c>
      <c r="HZC1" t="s">
        <v>6273</v>
      </c>
      <c r="HZD1" t="s">
        <v>6274</v>
      </c>
      <c r="HZE1" t="s">
        <v>6275</v>
      </c>
      <c r="HZF1" t="s">
        <v>6276</v>
      </c>
      <c r="HZG1" t="s">
        <v>6277</v>
      </c>
      <c r="HZH1" t="s">
        <v>6278</v>
      </c>
      <c r="HZI1" t="s">
        <v>6279</v>
      </c>
      <c r="HZJ1" t="s">
        <v>6280</v>
      </c>
      <c r="HZK1" t="s">
        <v>6281</v>
      </c>
      <c r="HZL1" t="s">
        <v>6282</v>
      </c>
      <c r="HZM1" t="s">
        <v>6283</v>
      </c>
      <c r="HZN1" t="s">
        <v>6284</v>
      </c>
      <c r="HZO1" t="s">
        <v>6285</v>
      </c>
      <c r="HZP1" t="s">
        <v>6286</v>
      </c>
      <c r="HZQ1" t="s">
        <v>6287</v>
      </c>
      <c r="HZR1" t="s">
        <v>6288</v>
      </c>
      <c r="HZS1" t="s">
        <v>6289</v>
      </c>
      <c r="HZT1" t="s">
        <v>6290</v>
      </c>
      <c r="HZU1" t="s">
        <v>6291</v>
      </c>
      <c r="HZV1" t="s">
        <v>6292</v>
      </c>
      <c r="HZW1" t="s">
        <v>6293</v>
      </c>
      <c r="HZX1" t="s">
        <v>6294</v>
      </c>
      <c r="HZY1" t="s">
        <v>6295</v>
      </c>
      <c r="HZZ1" t="s">
        <v>6296</v>
      </c>
      <c r="IAA1" t="s">
        <v>6297</v>
      </c>
      <c r="IAB1" t="s">
        <v>6298</v>
      </c>
      <c r="IAC1" t="s">
        <v>6299</v>
      </c>
      <c r="IAD1" t="s">
        <v>6300</v>
      </c>
      <c r="IAE1" t="s">
        <v>6301</v>
      </c>
      <c r="IAF1" t="s">
        <v>6302</v>
      </c>
      <c r="IAG1" t="s">
        <v>6303</v>
      </c>
      <c r="IAH1" t="s">
        <v>6304</v>
      </c>
      <c r="IAI1" t="s">
        <v>6305</v>
      </c>
      <c r="IAJ1" t="s">
        <v>6306</v>
      </c>
      <c r="IAK1" t="s">
        <v>6307</v>
      </c>
      <c r="IAL1" t="s">
        <v>6308</v>
      </c>
      <c r="IAM1" t="s">
        <v>6309</v>
      </c>
      <c r="IAN1" t="s">
        <v>6310</v>
      </c>
      <c r="IAO1" t="s">
        <v>6311</v>
      </c>
      <c r="IAP1" t="s">
        <v>6312</v>
      </c>
      <c r="IAQ1" t="s">
        <v>6313</v>
      </c>
      <c r="IAR1" t="s">
        <v>6314</v>
      </c>
      <c r="IAS1" t="s">
        <v>6315</v>
      </c>
      <c r="IAT1" t="s">
        <v>6316</v>
      </c>
      <c r="IAU1" t="s">
        <v>6317</v>
      </c>
      <c r="IAV1" t="s">
        <v>6318</v>
      </c>
      <c r="IAW1" t="s">
        <v>6319</v>
      </c>
      <c r="IAX1" t="s">
        <v>6320</v>
      </c>
      <c r="IAY1" t="s">
        <v>6321</v>
      </c>
      <c r="IAZ1" t="s">
        <v>6322</v>
      </c>
      <c r="IBA1" t="s">
        <v>6323</v>
      </c>
      <c r="IBB1" t="s">
        <v>6324</v>
      </c>
      <c r="IBC1" t="s">
        <v>6325</v>
      </c>
      <c r="IBD1" t="s">
        <v>6326</v>
      </c>
      <c r="IBE1" t="s">
        <v>6327</v>
      </c>
      <c r="IBF1" t="s">
        <v>6328</v>
      </c>
      <c r="IBG1" t="s">
        <v>6329</v>
      </c>
      <c r="IBH1" t="s">
        <v>6330</v>
      </c>
      <c r="IBI1" t="s">
        <v>6331</v>
      </c>
      <c r="IBJ1" t="s">
        <v>6332</v>
      </c>
      <c r="IBK1" t="s">
        <v>6333</v>
      </c>
      <c r="IBL1" t="s">
        <v>6334</v>
      </c>
      <c r="IBM1" t="s">
        <v>6335</v>
      </c>
      <c r="IBN1" t="s">
        <v>6336</v>
      </c>
      <c r="IBO1" t="s">
        <v>6337</v>
      </c>
      <c r="IBP1" t="s">
        <v>6338</v>
      </c>
      <c r="IBQ1" t="s">
        <v>6339</v>
      </c>
      <c r="IBR1" t="s">
        <v>6340</v>
      </c>
      <c r="IBS1" t="s">
        <v>6341</v>
      </c>
      <c r="IBT1" t="s">
        <v>6342</v>
      </c>
      <c r="IBU1" t="s">
        <v>6343</v>
      </c>
      <c r="IBV1" t="s">
        <v>6344</v>
      </c>
      <c r="IBW1" t="s">
        <v>6345</v>
      </c>
      <c r="IBX1" t="s">
        <v>6346</v>
      </c>
      <c r="IBY1" t="s">
        <v>6347</v>
      </c>
      <c r="IBZ1" t="s">
        <v>6348</v>
      </c>
      <c r="ICA1" t="s">
        <v>6349</v>
      </c>
      <c r="ICB1" t="s">
        <v>6350</v>
      </c>
      <c r="ICC1" t="s">
        <v>6351</v>
      </c>
      <c r="ICD1" t="s">
        <v>6352</v>
      </c>
      <c r="ICE1" t="s">
        <v>6353</v>
      </c>
      <c r="ICF1" t="s">
        <v>6354</v>
      </c>
      <c r="ICG1" t="s">
        <v>6355</v>
      </c>
      <c r="ICH1" t="s">
        <v>6356</v>
      </c>
      <c r="ICI1" t="s">
        <v>6357</v>
      </c>
      <c r="ICJ1" t="s">
        <v>6358</v>
      </c>
      <c r="ICK1" t="s">
        <v>6359</v>
      </c>
      <c r="ICL1" t="s">
        <v>6360</v>
      </c>
      <c r="ICM1" t="s">
        <v>6361</v>
      </c>
      <c r="ICN1" t="s">
        <v>6362</v>
      </c>
      <c r="ICO1" t="s">
        <v>6363</v>
      </c>
      <c r="ICP1" t="s">
        <v>6364</v>
      </c>
      <c r="ICQ1" t="s">
        <v>6365</v>
      </c>
      <c r="ICR1" t="s">
        <v>6366</v>
      </c>
      <c r="ICS1" t="s">
        <v>6367</v>
      </c>
      <c r="ICT1" t="s">
        <v>6368</v>
      </c>
      <c r="ICU1" t="s">
        <v>6369</v>
      </c>
      <c r="ICV1" t="s">
        <v>6370</v>
      </c>
      <c r="ICW1" t="s">
        <v>6371</v>
      </c>
      <c r="ICX1" t="s">
        <v>6372</v>
      </c>
      <c r="ICY1" t="s">
        <v>6373</v>
      </c>
      <c r="ICZ1" t="s">
        <v>6374</v>
      </c>
      <c r="IDA1" t="s">
        <v>6375</v>
      </c>
      <c r="IDB1" t="s">
        <v>6376</v>
      </c>
      <c r="IDC1" t="s">
        <v>6377</v>
      </c>
      <c r="IDD1" t="s">
        <v>6378</v>
      </c>
      <c r="IDE1" t="s">
        <v>6379</v>
      </c>
      <c r="IDF1" t="s">
        <v>6380</v>
      </c>
      <c r="IDG1" t="s">
        <v>6381</v>
      </c>
      <c r="IDH1" t="s">
        <v>6382</v>
      </c>
      <c r="IDI1" t="s">
        <v>6383</v>
      </c>
      <c r="IDJ1" t="s">
        <v>6384</v>
      </c>
      <c r="IDK1" t="s">
        <v>6385</v>
      </c>
      <c r="IDL1" t="s">
        <v>6386</v>
      </c>
      <c r="IDM1" t="s">
        <v>6387</v>
      </c>
      <c r="IDN1" t="s">
        <v>6388</v>
      </c>
      <c r="IDO1" t="s">
        <v>6389</v>
      </c>
      <c r="IDP1" t="s">
        <v>6390</v>
      </c>
      <c r="IDQ1" t="s">
        <v>6391</v>
      </c>
      <c r="IDR1" t="s">
        <v>6392</v>
      </c>
      <c r="IDS1" t="s">
        <v>6393</v>
      </c>
      <c r="IDT1" t="s">
        <v>6394</v>
      </c>
      <c r="IDU1" t="s">
        <v>6395</v>
      </c>
      <c r="IDV1" t="s">
        <v>6396</v>
      </c>
      <c r="IDW1" t="s">
        <v>6397</v>
      </c>
      <c r="IDX1" t="s">
        <v>6398</v>
      </c>
      <c r="IDY1" t="s">
        <v>6399</v>
      </c>
      <c r="IDZ1" t="s">
        <v>6400</v>
      </c>
      <c r="IEA1" t="s">
        <v>6401</v>
      </c>
      <c r="IEB1" t="s">
        <v>6402</v>
      </c>
      <c r="IEC1" t="s">
        <v>6403</v>
      </c>
      <c r="IED1" t="s">
        <v>6404</v>
      </c>
      <c r="IEE1" t="s">
        <v>6405</v>
      </c>
      <c r="IEF1" t="s">
        <v>6406</v>
      </c>
      <c r="IEG1" t="s">
        <v>6407</v>
      </c>
      <c r="IEH1" t="s">
        <v>6408</v>
      </c>
      <c r="IEI1" t="s">
        <v>6409</v>
      </c>
      <c r="IEJ1" t="s">
        <v>6410</v>
      </c>
      <c r="IEK1" t="s">
        <v>6411</v>
      </c>
      <c r="IEL1" t="s">
        <v>6412</v>
      </c>
      <c r="IEM1" t="s">
        <v>6413</v>
      </c>
      <c r="IEN1" t="s">
        <v>6414</v>
      </c>
      <c r="IEO1" t="s">
        <v>6415</v>
      </c>
      <c r="IEP1" t="s">
        <v>6416</v>
      </c>
      <c r="IEQ1" t="s">
        <v>6417</v>
      </c>
      <c r="IER1" t="s">
        <v>6418</v>
      </c>
      <c r="IES1" t="s">
        <v>6419</v>
      </c>
      <c r="IET1" t="s">
        <v>6420</v>
      </c>
      <c r="IEU1" t="s">
        <v>6421</v>
      </c>
      <c r="IEV1" t="s">
        <v>6422</v>
      </c>
      <c r="IEW1" t="s">
        <v>6423</v>
      </c>
      <c r="IEX1" t="s">
        <v>6424</v>
      </c>
      <c r="IEY1" t="s">
        <v>6425</v>
      </c>
      <c r="IEZ1" t="s">
        <v>6426</v>
      </c>
      <c r="IFA1" t="s">
        <v>6427</v>
      </c>
      <c r="IFB1" t="s">
        <v>6428</v>
      </c>
      <c r="IFC1" t="s">
        <v>6429</v>
      </c>
      <c r="IFD1" t="s">
        <v>6430</v>
      </c>
      <c r="IFE1" t="s">
        <v>6431</v>
      </c>
      <c r="IFF1" t="s">
        <v>6432</v>
      </c>
      <c r="IFG1" t="s">
        <v>6433</v>
      </c>
      <c r="IFH1" t="s">
        <v>6434</v>
      </c>
      <c r="IFI1" t="s">
        <v>6435</v>
      </c>
      <c r="IFJ1" t="s">
        <v>6436</v>
      </c>
      <c r="IFK1" t="s">
        <v>6437</v>
      </c>
      <c r="IFL1" t="s">
        <v>6438</v>
      </c>
      <c r="IFM1" t="s">
        <v>6439</v>
      </c>
      <c r="IFN1" t="s">
        <v>6440</v>
      </c>
      <c r="IFO1" t="s">
        <v>6441</v>
      </c>
      <c r="IFP1" t="s">
        <v>6442</v>
      </c>
      <c r="IFQ1" t="s">
        <v>6443</v>
      </c>
      <c r="IFR1" t="s">
        <v>6444</v>
      </c>
      <c r="IFS1" t="s">
        <v>6445</v>
      </c>
      <c r="IFT1" t="s">
        <v>6446</v>
      </c>
      <c r="IFU1" t="s">
        <v>6447</v>
      </c>
      <c r="IFV1" t="s">
        <v>6448</v>
      </c>
      <c r="IFW1" t="s">
        <v>6449</v>
      </c>
      <c r="IFX1" t="s">
        <v>6450</v>
      </c>
      <c r="IFY1" t="s">
        <v>6451</v>
      </c>
      <c r="IFZ1" t="s">
        <v>6452</v>
      </c>
      <c r="IGA1" t="s">
        <v>6453</v>
      </c>
      <c r="IGB1" t="s">
        <v>6454</v>
      </c>
      <c r="IGC1" t="s">
        <v>6455</v>
      </c>
      <c r="IGD1" t="s">
        <v>6456</v>
      </c>
      <c r="IGE1" t="s">
        <v>6457</v>
      </c>
      <c r="IGF1" t="s">
        <v>6458</v>
      </c>
      <c r="IGG1" t="s">
        <v>6459</v>
      </c>
      <c r="IGH1" t="s">
        <v>6460</v>
      </c>
      <c r="IGI1" t="s">
        <v>6461</v>
      </c>
      <c r="IGJ1" t="s">
        <v>6462</v>
      </c>
      <c r="IGK1" t="s">
        <v>6463</v>
      </c>
      <c r="IGL1" t="s">
        <v>6464</v>
      </c>
      <c r="IGM1" t="s">
        <v>6465</v>
      </c>
      <c r="IGN1" t="s">
        <v>6466</v>
      </c>
      <c r="IGO1" t="s">
        <v>6467</v>
      </c>
      <c r="IGP1" t="s">
        <v>6468</v>
      </c>
      <c r="IGQ1" t="s">
        <v>6469</v>
      </c>
      <c r="IGR1" t="s">
        <v>6470</v>
      </c>
      <c r="IGS1" t="s">
        <v>6471</v>
      </c>
      <c r="IGT1" t="s">
        <v>6472</v>
      </c>
      <c r="IGU1" t="s">
        <v>6473</v>
      </c>
      <c r="IGV1" t="s">
        <v>6474</v>
      </c>
      <c r="IGW1" t="s">
        <v>6475</v>
      </c>
      <c r="IGX1" t="s">
        <v>6476</v>
      </c>
      <c r="IGY1" t="s">
        <v>6477</v>
      </c>
      <c r="IGZ1" t="s">
        <v>6478</v>
      </c>
      <c r="IHA1" t="s">
        <v>6479</v>
      </c>
      <c r="IHB1" t="s">
        <v>6480</v>
      </c>
      <c r="IHC1" t="s">
        <v>6481</v>
      </c>
      <c r="IHD1" t="s">
        <v>6482</v>
      </c>
      <c r="IHE1" t="s">
        <v>6483</v>
      </c>
      <c r="IHF1" t="s">
        <v>6484</v>
      </c>
      <c r="IHG1" t="s">
        <v>6485</v>
      </c>
      <c r="IHH1" t="s">
        <v>6486</v>
      </c>
      <c r="IHI1" t="s">
        <v>6487</v>
      </c>
      <c r="IHJ1" t="s">
        <v>6488</v>
      </c>
      <c r="IHK1" t="s">
        <v>6489</v>
      </c>
      <c r="IHL1" t="s">
        <v>6490</v>
      </c>
      <c r="IHM1" t="s">
        <v>6491</v>
      </c>
      <c r="IHN1" t="s">
        <v>6492</v>
      </c>
      <c r="IHO1" t="s">
        <v>6493</v>
      </c>
      <c r="IHP1" t="s">
        <v>6494</v>
      </c>
      <c r="IHQ1" t="s">
        <v>6495</v>
      </c>
      <c r="IHR1" t="s">
        <v>6496</v>
      </c>
      <c r="IHS1" t="s">
        <v>6497</v>
      </c>
      <c r="IHT1" t="s">
        <v>6498</v>
      </c>
      <c r="IHU1" t="s">
        <v>6499</v>
      </c>
      <c r="IHV1" t="s">
        <v>6500</v>
      </c>
      <c r="IHW1" t="s">
        <v>6501</v>
      </c>
      <c r="IHX1" t="s">
        <v>6502</v>
      </c>
      <c r="IHY1" t="s">
        <v>6503</v>
      </c>
      <c r="IHZ1" t="s">
        <v>6504</v>
      </c>
      <c r="IIA1" t="s">
        <v>6505</v>
      </c>
      <c r="IIB1" t="s">
        <v>6506</v>
      </c>
      <c r="IIC1" t="s">
        <v>6507</v>
      </c>
      <c r="IID1" t="s">
        <v>6508</v>
      </c>
      <c r="IIE1" t="s">
        <v>6509</v>
      </c>
      <c r="IIF1" t="s">
        <v>6510</v>
      </c>
      <c r="IIG1" t="s">
        <v>6511</v>
      </c>
      <c r="IIH1" t="s">
        <v>6512</v>
      </c>
      <c r="III1" t="s">
        <v>6513</v>
      </c>
      <c r="IIJ1" t="s">
        <v>6514</v>
      </c>
      <c r="IIK1" t="s">
        <v>6515</v>
      </c>
      <c r="IIL1" t="s">
        <v>6516</v>
      </c>
      <c r="IIM1" t="s">
        <v>6517</v>
      </c>
      <c r="IIN1" t="s">
        <v>6518</v>
      </c>
      <c r="IIO1" t="s">
        <v>6519</v>
      </c>
      <c r="IIP1" t="s">
        <v>6520</v>
      </c>
      <c r="IIQ1" t="s">
        <v>6521</v>
      </c>
      <c r="IIR1" t="s">
        <v>6522</v>
      </c>
      <c r="IIS1" t="s">
        <v>6523</v>
      </c>
      <c r="IIT1" t="s">
        <v>6524</v>
      </c>
      <c r="IIU1" t="s">
        <v>6525</v>
      </c>
      <c r="IIV1" t="s">
        <v>6526</v>
      </c>
      <c r="IIW1" t="s">
        <v>6527</v>
      </c>
      <c r="IIX1" t="s">
        <v>6528</v>
      </c>
      <c r="IIY1" t="s">
        <v>6529</v>
      </c>
      <c r="IIZ1" t="s">
        <v>6530</v>
      </c>
      <c r="IJA1" t="s">
        <v>6531</v>
      </c>
      <c r="IJB1" t="s">
        <v>6532</v>
      </c>
      <c r="IJC1" t="s">
        <v>6533</v>
      </c>
      <c r="IJD1" t="s">
        <v>6534</v>
      </c>
      <c r="IJE1" t="s">
        <v>6535</v>
      </c>
      <c r="IJF1" t="s">
        <v>6536</v>
      </c>
      <c r="IJG1" t="s">
        <v>6537</v>
      </c>
      <c r="IJH1" t="s">
        <v>6538</v>
      </c>
      <c r="IJI1" t="s">
        <v>6539</v>
      </c>
      <c r="IJJ1" t="s">
        <v>6540</v>
      </c>
      <c r="IJK1" t="s">
        <v>6541</v>
      </c>
      <c r="IJL1" t="s">
        <v>6542</v>
      </c>
      <c r="IJM1" t="s">
        <v>6543</v>
      </c>
      <c r="IJN1" t="s">
        <v>6544</v>
      </c>
      <c r="IJO1" t="s">
        <v>6545</v>
      </c>
      <c r="IJP1" t="s">
        <v>6546</v>
      </c>
      <c r="IJQ1" t="s">
        <v>6547</v>
      </c>
      <c r="IJR1" t="s">
        <v>6548</v>
      </c>
      <c r="IJS1" t="s">
        <v>6549</v>
      </c>
      <c r="IJT1" t="s">
        <v>6550</v>
      </c>
      <c r="IJU1" t="s">
        <v>6551</v>
      </c>
      <c r="IJV1" t="s">
        <v>6552</v>
      </c>
      <c r="IJW1" t="s">
        <v>6553</v>
      </c>
      <c r="IJX1" t="s">
        <v>6554</v>
      </c>
      <c r="IJY1" t="s">
        <v>6555</v>
      </c>
      <c r="IJZ1" t="s">
        <v>6556</v>
      </c>
      <c r="IKA1" t="s">
        <v>6557</v>
      </c>
      <c r="IKB1" t="s">
        <v>6558</v>
      </c>
      <c r="IKC1" t="s">
        <v>6559</v>
      </c>
      <c r="IKD1" t="s">
        <v>6560</v>
      </c>
      <c r="IKE1" t="s">
        <v>6561</v>
      </c>
      <c r="IKF1" t="s">
        <v>6562</v>
      </c>
      <c r="IKG1" t="s">
        <v>6563</v>
      </c>
      <c r="IKH1" t="s">
        <v>6564</v>
      </c>
      <c r="IKI1" t="s">
        <v>6565</v>
      </c>
      <c r="IKJ1" t="s">
        <v>6566</v>
      </c>
      <c r="IKK1" t="s">
        <v>6567</v>
      </c>
      <c r="IKL1" t="s">
        <v>6568</v>
      </c>
      <c r="IKM1" t="s">
        <v>6569</v>
      </c>
      <c r="IKN1" t="s">
        <v>6570</v>
      </c>
      <c r="IKO1" t="s">
        <v>6571</v>
      </c>
      <c r="IKP1" t="s">
        <v>6572</v>
      </c>
      <c r="IKQ1" t="s">
        <v>6573</v>
      </c>
      <c r="IKR1" t="s">
        <v>6574</v>
      </c>
      <c r="IKS1" t="s">
        <v>6575</v>
      </c>
      <c r="IKT1" t="s">
        <v>6576</v>
      </c>
      <c r="IKU1" t="s">
        <v>6577</v>
      </c>
      <c r="IKV1" t="s">
        <v>6578</v>
      </c>
      <c r="IKW1" t="s">
        <v>6579</v>
      </c>
      <c r="IKX1" t="s">
        <v>6580</v>
      </c>
      <c r="IKY1" t="s">
        <v>6581</v>
      </c>
      <c r="IKZ1" t="s">
        <v>6582</v>
      </c>
      <c r="ILA1" t="s">
        <v>6583</v>
      </c>
      <c r="ILB1" t="s">
        <v>6584</v>
      </c>
      <c r="ILC1" t="s">
        <v>6585</v>
      </c>
      <c r="ILD1" t="s">
        <v>6586</v>
      </c>
      <c r="ILE1" t="s">
        <v>6587</v>
      </c>
      <c r="ILF1" t="s">
        <v>6588</v>
      </c>
      <c r="ILG1" t="s">
        <v>6589</v>
      </c>
      <c r="ILH1" t="s">
        <v>6590</v>
      </c>
      <c r="ILI1" t="s">
        <v>6591</v>
      </c>
      <c r="ILJ1" t="s">
        <v>6592</v>
      </c>
      <c r="ILK1" t="s">
        <v>6593</v>
      </c>
      <c r="ILL1" t="s">
        <v>6594</v>
      </c>
      <c r="ILM1" t="s">
        <v>6595</v>
      </c>
      <c r="ILN1" t="s">
        <v>6596</v>
      </c>
      <c r="ILO1" t="s">
        <v>6597</v>
      </c>
      <c r="ILP1" t="s">
        <v>6598</v>
      </c>
      <c r="ILQ1" t="s">
        <v>6599</v>
      </c>
      <c r="ILR1" t="s">
        <v>6600</v>
      </c>
      <c r="ILS1" t="s">
        <v>6601</v>
      </c>
      <c r="ILT1" t="s">
        <v>6602</v>
      </c>
      <c r="ILU1" t="s">
        <v>6603</v>
      </c>
      <c r="ILV1" t="s">
        <v>6604</v>
      </c>
      <c r="ILW1" t="s">
        <v>6605</v>
      </c>
      <c r="ILX1" t="s">
        <v>6606</v>
      </c>
      <c r="ILY1" t="s">
        <v>6607</v>
      </c>
      <c r="ILZ1" t="s">
        <v>6608</v>
      </c>
      <c r="IMA1" t="s">
        <v>6609</v>
      </c>
      <c r="IMB1" t="s">
        <v>6610</v>
      </c>
      <c r="IMC1" t="s">
        <v>6611</v>
      </c>
      <c r="IMD1" t="s">
        <v>6612</v>
      </c>
      <c r="IME1" t="s">
        <v>6613</v>
      </c>
      <c r="IMF1" t="s">
        <v>6614</v>
      </c>
      <c r="IMG1" t="s">
        <v>6615</v>
      </c>
      <c r="IMH1" t="s">
        <v>6616</v>
      </c>
      <c r="IMI1" t="s">
        <v>6617</v>
      </c>
      <c r="IMJ1" t="s">
        <v>6618</v>
      </c>
      <c r="IMK1" t="s">
        <v>6619</v>
      </c>
      <c r="IML1" t="s">
        <v>6620</v>
      </c>
      <c r="IMM1" t="s">
        <v>6621</v>
      </c>
      <c r="IMN1" t="s">
        <v>6622</v>
      </c>
      <c r="IMO1" t="s">
        <v>6623</v>
      </c>
      <c r="IMP1" t="s">
        <v>6624</v>
      </c>
      <c r="IMQ1" t="s">
        <v>6625</v>
      </c>
      <c r="IMR1" t="s">
        <v>6626</v>
      </c>
      <c r="IMS1" t="s">
        <v>6627</v>
      </c>
      <c r="IMT1" t="s">
        <v>6628</v>
      </c>
      <c r="IMU1" t="s">
        <v>6629</v>
      </c>
      <c r="IMV1" t="s">
        <v>6630</v>
      </c>
      <c r="IMW1" t="s">
        <v>6631</v>
      </c>
      <c r="IMX1" t="s">
        <v>6632</v>
      </c>
      <c r="IMY1" t="s">
        <v>6633</v>
      </c>
      <c r="IMZ1" t="s">
        <v>6634</v>
      </c>
      <c r="INA1" t="s">
        <v>6635</v>
      </c>
      <c r="INB1" t="s">
        <v>6636</v>
      </c>
      <c r="INC1" t="s">
        <v>6637</v>
      </c>
      <c r="IND1" t="s">
        <v>6638</v>
      </c>
      <c r="INE1" t="s">
        <v>6639</v>
      </c>
      <c r="INF1" t="s">
        <v>6640</v>
      </c>
      <c r="ING1" t="s">
        <v>6641</v>
      </c>
      <c r="INH1" t="s">
        <v>6642</v>
      </c>
      <c r="INI1" t="s">
        <v>6643</v>
      </c>
      <c r="INJ1" t="s">
        <v>6644</v>
      </c>
      <c r="INK1" t="s">
        <v>6645</v>
      </c>
      <c r="INL1" t="s">
        <v>6646</v>
      </c>
      <c r="INM1" t="s">
        <v>6647</v>
      </c>
      <c r="INN1" t="s">
        <v>6648</v>
      </c>
      <c r="INO1" t="s">
        <v>6649</v>
      </c>
      <c r="INP1" t="s">
        <v>6650</v>
      </c>
      <c r="INQ1" t="s">
        <v>6651</v>
      </c>
      <c r="INR1" t="s">
        <v>6652</v>
      </c>
      <c r="INS1" t="s">
        <v>6653</v>
      </c>
      <c r="INT1" t="s">
        <v>6654</v>
      </c>
      <c r="INU1" t="s">
        <v>6655</v>
      </c>
      <c r="INV1" t="s">
        <v>6656</v>
      </c>
      <c r="INW1" t="s">
        <v>6657</v>
      </c>
      <c r="INX1" t="s">
        <v>6658</v>
      </c>
      <c r="INY1" t="s">
        <v>6659</v>
      </c>
      <c r="INZ1" t="s">
        <v>6660</v>
      </c>
      <c r="IOA1" t="s">
        <v>6661</v>
      </c>
      <c r="IOB1" t="s">
        <v>6662</v>
      </c>
      <c r="IOC1" t="s">
        <v>6663</v>
      </c>
      <c r="IOD1" t="s">
        <v>6664</v>
      </c>
      <c r="IOE1" t="s">
        <v>6665</v>
      </c>
      <c r="IOF1" t="s">
        <v>6666</v>
      </c>
      <c r="IOG1" t="s">
        <v>6667</v>
      </c>
      <c r="IOH1" t="s">
        <v>6668</v>
      </c>
      <c r="IOI1" t="s">
        <v>6669</v>
      </c>
      <c r="IOJ1" t="s">
        <v>6670</v>
      </c>
      <c r="IOK1" t="s">
        <v>6671</v>
      </c>
      <c r="IOL1" t="s">
        <v>6672</v>
      </c>
      <c r="IOM1" t="s">
        <v>6673</v>
      </c>
      <c r="ION1" t="s">
        <v>6674</v>
      </c>
      <c r="IOO1" t="s">
        <v>6675</v>
      </c>
      <c r="IOP1" t="s">
        <v>6676</v>
      </c>
      <c r="IOQ1" t="s">
        <v>6677</v>
      </c>
      <c r="IOR1" t="s">
        <v>6678</v>
      </c>
      <c r="IOS1" t="s">
        <v>6679</v>
      </c>
      <c r="IOT1" t="s">
        <v>6680</v>
      </c>
      <c r="IOU1" t="s">
        <v>6681</v>
      </c>
      <c r="IOV1" t="s">
        <v>6682</v>
      </c>
      <c r="IOW1" t="s">
        <v>6683</v>
      </c>
      <c r="IOX1" t="s">
        <v>6684</v>
      </c>
      <c r="IOY1" t="s">
        <v>6685</v>
      </c>
      <c r="IOZ1" t="s">
        <v>6686</v>
      </c>
      <c r="IPA1" t="s">
        <v>6687</v>
      </c>
      <c r="IPB1" t="s">
        <v>6688</v>
      </c>
      <c r="IPC1" t="s">
        <v>6689</v>
      </c>
      <c r="IPD1" t="s">
        <v>6690</v>
      </c>
      <c r="IPE1" t="s">
        <v>6691</v>
      </c>
      <c r="IPF1" t="s">
        <v>6692</v>
      </c>
      <c r="IPG1" t="s">
        <v>6693</v>
      </c>
      <c r="IPH1" t="s">
        <v>6694</v>
      </c>
      <c r="IPI1" t="s">
        <v>6695</v>
      </c>
      <c r="IPJ1" t="s">
        <v>6696</v>
      </c>
      <c r="IPK1" t="s">
        <v>6697</v>
      </c>
      <c r="IPL1" t="s">
        <v>6698</v>
      </c>
      <c r="IPM1" t="s">
        <v>6699</v>
      </c>
      <c r="IPN1" t="s">
        <v>6700</v>
      </c>
      <c r="IPO1" t="s">
        <v>6701</v>
      </c>
      <c r="IPP1" t="s">
        <v>6702</v>
      </c>
      <c r="IPQ1" t="s">
        <v>6703</v>
      </c>
      <c r="IPR1" t="s">
        <v>6704</v>
      </c>
      <c r="IPS1" t="s">
        <v>6705</v>
      </c>
      <c r="IPT1" t="s">
        <v>6706</v>
      </c>
      <c r="IPU1" t="s">
        <v>6707</v>
      </c>
      <c r="IPV1" t="s">
        <v>6708</v>
      </c>
      <c r="IPW1" t="s">
        <v>6709</v>
      </c>
      <c r="IPX1" t="s">
        <v>6710</v>
      </c>
      <c r="IPY1" t="s">
        <v>6711</v>
      </c>
      <c r="IPZ1" t="s">
        <v>6712</v>
      </c>
      <c r="IQA1" t="s">
        <v>6713</v>
      </c>
      <c r="IQB1" t="s">
        <v>6714</v>
      </c>
      <c r="IQC1" t="s">
        <v>6715</v>
      </c>
      <c r="IQD1" t="s">
        <v>6716</v>
      </c>
      <c r="IQE1" t="s">
        <v>6717</v>
      </c>
      <c r="IQF1" t="s">
        <v>6718</v>
      </c>
      <c r="IQG1" t="s">
        <v>6719</v>
      </c>
      <c r="IQH1" t="s">
        <v>6720</v>
      </c>
      <c r="IQI1" t="s">
        <v>6721</v>
      </c>
      <c r="IQJ1" t="s">
        <v>6722</v>
      </c>
      <c r="IQK1" t="s">
        <v>6723</v>
      </c>
      <c r="IQL1" t="s">
        <v>6724</v>
      </c>
      <c r="IQM1" t="s">
        <v>6725</v>
      </c>
      <c r="IQN1" t="s">
        <v>6726</v>
      </c>
      <c r="IQO1" t="s">
        <v>6727</v>
      </c>
      <c r="IQP1" t="s">
        <v>6728</v>
      </c>
      <c r="IQQ1" t="s">
        <v>6729</v>
      </c>
      <c r="IQR1" t="s">
        <v>6730</v>
      </c>
      <c r="IQS1" t="s">
        <v>6731</v>
      </c>
      <c r="IQT1" t="s">
        <v>6732</v>
      </c>
      <c r="IQU1" t="s">
        <v>6733</v>
      </c>
      <c r="IQV1" t="s">
        <v>6734</v>
      </c>
      <c r="IQW1" t="s">
        <v>6735</v>
      </c>
      <c r="IQX1" t="s">
        <v>6736</v>
      </c>
      <c r="IQY1" t="s">
        <v>6737</v>
      </c>
      <c r="IQZ1" t="s">
        <v>6738</v>
      </c>
      <c r="IRA1" t="s">
        <v>6739</v>
      </c>
      <c r="IRB1" t="s">
        <v>6740</v>
      </c>
      <c r="IRC1" t="s">
        <v>6741</v>
      </c>
      <c r="IRD1" t="s">
        <v>6742</v>
      </c>
      <c r="IRE1" t="s">
        <v>6743</v>
      </c>
      <c r="IRF1" t="s">
        <v>6744</v>
      </c>
      <c r="IRG1" t="s">
        <v>6745</v>
      </c>
      <c r="IRH1" t="s">
        <v>6746</v>
      </c>
      <c r="IRI1" t="s">
        <v>6747</v>
      </c>
      <c r="IRJ1" t="s">
        <v>6748</v>
      </c>
      <c r="IRK1" t="s">
        <v>6749</v>
      </c>
      <c r="IRL1" t="s">
        <v>6750</v>
      </c>
      <c r="IRM1" t="s">
        <v>6751</v>
      </c>
      <c r="IRN1" t="s">
        <v>6752</v>
      </c>
      <c r="IRO1" t="s">
        <v>6753</v>
      </c>
      <c r="IRP1" t="s">
        <v>6754</v>
      </c>
      <c r="IRQ1" t="s">
        <v>6755</v>
      </c>
      <c r="IRR1" t="s">
        <v>6756</v>
      </c>
      <c r="IRS1" t="s">
        <v>6757</v>
      </c>
      <c r="IRT1" t="s">
        <v>6758</v>
      </c>
      <c r="IRU1" t="s">
        <v>6759</v>
      </c>
      <c r="IRV1" t="s">
        <v>6760</v>
      </c>
      <c r="IRW1" t="s">
        <v>6761</v>
      </c>
      <c r="IRX1" t="s">
        <v>6762</v>
      </c>
      <c r="IRY1" t="s">
        <v>6763</v>
      </c>
      <c r="IRZ1" t="s">
        <v>6764</v>
      </c>
      <c r="ISA1" t="s">
        <v>6765</v>
      </c>
      <c r="ISB1" t="s">
        <v>6766</v>
      </c>
      <c r="ISC1" t="s">
        <v>6767</v>
      </c>
      <c r="ISD1" t="s">
        <v>6768</v>
      </c>
      <c r="ISE1" t="s">
        <v>6769</v>
      </c>
      <c r="ISF1" t="s">
        <v>6770</v>
      </c>
      <c r="ISG1" t="s">
        <v>6771</v>
      </c>
      <c r="ISH1" t="s">
        <v>6772</v>
      </c>
      <c r="ISI1" t="s">
        <v>6773</v>
      </c>
      <c r="ISJ1" t="s">
        <v>6774</v>
      </c>
      <c r="ISK1" t="s">
        <v>6775</v>
      </c>
      <c r="ISL1" t="s">
        <v>6776</v>
      </c>
      <c r="ISM1" t="s">
        <v>6777</v>
      </c>
      <c r="ISN1" t="s">
        <v>6778</v>
      </c>
      <c r="ISO1" t="s">
        <v>6779</v>
      </c>
      <c r="ISP1" t="s">
        <v>6780</v>
      </c>
      <c r="ISQ1" t="s">
        <v>6781</v>
      </c>
      <c r="ISR1" t="s">
        <v>6782</v>
      </c>
      <c r="ISS1" t="s">
        <v>6783</v>
      </c>
      <c r="IST1" t="s">
        <v>6784</v>
      </c>
      <c r="ISU1" t="s">
        <v>6785</v>
      </c>
      <c r="ISV1" t="s">
        <v>6786</v>
      </c>
      <c r="ISW1" t="s">
        <v>6787</v>
      </c>
      <c r="ISX1" t="s">
        <v>6788</v>
      </c>
      <c r="ISY1" t="s">
        <v>6789</v>
      </c>
      <c r="ISZ1" t="s">
        <v>6790</v>
      </c>
      <c r="ITA1" t="s">
        <v>6791</v>
      </c>
      <c r="ITB1" t="s">
        <v>6792</v>
      </c>
      <c r="ITC1" t="s">
        <v>6793</v>
      </c>
      <c r="ITD1" t="s">
        <v>6794</v>
      </c>
      <c r="ITE1" t="s">
        <v>6795</v>
      </c>
      <c r="ITF1" t="s">
        <v>6796</v>
      </c>
      <c r="ITG1" t="s">
        <v>6797</v>
      </c>
      <c r="ITH1" t="s">
        <v>6798</v>
      </c>
      <c r="ITI1" t="s">
        <v>6799</v>
      </c>
      <c r="ITJ1" t="s">
        <v>6800</v>
      </c>
      <c r="ITK1" t="s">
        <v>6801</v>
      </c>
      <c r="ITL1" t="s">
        <v>6802</v>
      </c>
      <c r="ITM1" t="s">
        <v>6803</v>
      </c>
      <c r="ITN1" t="s">
        <v>6804</v>
      </c>
      <c r="ITO1" t="s">
        <v>6805</v>
      </c>
      <c r="ITP1" t="s">
        <v>6806</v>
      </c>
      <c r="ITQ1" t="s">
        <v>6807</v>
      </c>
      <c r="ITR1" t="s">
        <v>6808</v>
      </c>
      <c r="ITS1" t="s">
        <v>6809</v>
      </c>
      <c r="ITT1" t="s">
        <v>6810</v>
      </c>
      <c r="ITU1" t="s">
        <v>6811</v>
      </c>
      <c r="ITV1" t="s">
        <v>6812</v>
      </c>
      <c r="ITW1" t="s">
        <v>6813</v>
      </c>
      <c r="ITX1" t="s">
        <v>6814</v>
      </c>
      <c r="ITY1" t="s">
        <v>6815</v>
      </c>
      <c r="ITZ1" t="s">
        <v>6816</v>
      </c>
      <c r="IUA1" t="s">
        <v>6817</v>
      </c>
      <c r="IUB1" t="s">
        <v>6818</v>
      </c>
      <c r="IUC1" t="s">
        <v>6819</v>
      </c>
      <c r="IUD1" t="s">
        <v>6820</v>
      </c>
      <c r="IUE1" t="s">
        <v>6821</v>
      </c>
      <c r="IUF1" t="s">
        <v>6822</v>
      </c>
      <c r="IUG1" t="s">
        <v>6823</v>
      </c>
      <c r="IUH1" t="s">
        <v>6824</v>
      </c>
      <c r="IUI1" t="s">
        <v>6825</v>
      </c>
      <c r="IUJ1" t="s">
        <v>6826</v>
      </c>
      <c r="IUK1" t="s">
        <v>6827</v>
      </c>
      <c r="IUL1" t="s">
        <v>6828</v>
      </c>
      <c r="IUM1" t="s">
        <v>6829</v>
      </c>
      <c r="IUN1" t="s">
        <v>6830</v>
      </c>
      <c r="IUO1" t="s">
        <v>6831</v>
      </c>
      <c r="IUP1" t="s">
        <v>6832</v>
      </c>
      <c r="IUQ1" t="s">
        <v>6833</v>
      </c>
      <c r="IUR1" t="s">
        <v>6834</v>
      </c>
      <c r="IUS1" t="s">
        <v>6835</v>
      </c>
      <c r="IUT1" t="s">
        <v>6836</v>
      </c>
      <c r="IUU1" t="s">
        <v>6837</v>
      </c>
      <c r="IUV1" t="s">
        <v>6838</v>
      </c>
      <c r="IUW1" t="s">
        <v>6839</v>
      </c>
      <c r="IUX1" t="s">
        <v>6840</v>
      </c>
      <c r="IUY1" t="s">
        <v>6841</v>
      </c>
      <c r="IUZ1" t="s">
        <v>6842</v>
      </c>
      <c r="IVA1" t="s">
        <v>6843</v>
      </c>
      <c r="IVB1" t="s">
        <v>6844</v>
      </c>
      <c r="IVC1" t="s">
        <v>6845</v>
      </c>
      <c r="IVD1" t="s">
        <v>6846</v>
      </c>
      <c r="IVE1" t="s">
        <v>6847</v>
      </c>
      <c r="IVF1" t="s">
        <v>6848</v>
      </c>
      <c r="IVG1" t="s">
        <v>6849</v>
      </c>
      <c r="IVH1" t="s">
        <v>6850</v>
      </c>
      <c r="IVI1" t="s">
        <v>6851</v>
      </c>
      <c r="IVJ1" t="s">
        <v>6852</v>
      </c>
      <c r="IVK1" t="s">
        <v>6853</v>
      </c>
      <c r="IVL1" t="s">
        <v>6854</v>
      </c>
      <c r="IVM1" t="s">
        <v>6855</v>
      </c>
      <c r="IVN1" t="s">
        <v>6856</v>
      </c>
      <c r="IVO1" t="s">
        <v>6857</v>
      </c>
      <c r="IVP1" t="s">
        <v>6858</v>
      </c>
      <c r="IVQ1" t="s">
        <v>6859</v>
      </c>
      <c r="IVR1" t="s">
        <v>6860</v>
      </c>
      <c r="IVS1" t="s">
        <v>6861</v>
      </c>
      <c r="IVT1" t="s">
        <v>6862</v>
      </c>
      <c r="IVU1" t="s">
        <v>6863</v>
      </c>
      <c r="IVV1" t="s">
        <v>6864</v>
      </c>
      <c r="IVW1" t="s">
        <v>6865</v>
      </c>
      <c r="IVX1" t="s">
        <v>6866</v>
      </c>
      <c r="IVY1" t="s">
        <v>6867</v>
      </c>
      <c r="IVZ1" t="s">
        <v>6868</v>
      </c>
      <c r="IWA1" t="s">
        <v>6869</v>
      </c>
      <c r="IWB1" t="s">
        <v>6870</v>
      </c>
      <c r="IWC1" t="s">
        <v>6871</v>
      </c>
      <c r="IWD1" t="s">
        <v>6872</v>
      </c>
      <c r="IWE1" t="s">
        <v>6873</v>
      </c>
      <c r="IWF1" t="s">
        <v>6874</v>
      </c>
      <c r="IWG1" t="s">
        <v>6875</v>
      </c>
      <c r="IWH1" t="s">
        <v>6876</v>
      </c>
      <c r="IWI1" t="s">
        <v>6877</v>
      </c>
      <c r="IWJ1" t="s">
        <v>6878</v>
      </c>
      <c r="IWK1" t="s">
        <v>6879</v>
      </c>
      <c r="IWL1" t="s">
        <v>6880</v>
      </c>
      <c r="IWM1" t="s">
        <v>6881</v>
      </c>
      <c r="IWN1" t="s">
        <v>6882</v>
      </c>
      <c r="IWO1" t="s">
        <v>6883</v>
      </c>
      <c r="IWP1" t="s">
        <v>6884</v>
      </c>
      <c r="IWQ1" t="s">
        <v>6885</v>
      </c>
      <c r="IWR1" t="s">
        <v>6886</v>
      </c>
      <c r="IWS1" t="s">
        <v>6887</v>
      </c>
      <c r="IWT1" t="s">
        <v>6888</v>
      </c>
      <c r="IWU1" t="s">
        <v>6889</v>
      </c>
      <c r="IWV1" t="s">
        <v>6890</v>
      </c>
      <c r="IWW1" t="s">
        <v>6891</v>
      </c>
      <c r="IWX1" t="s">
        <v>6892</v>
      </c>
      <c r="IWY1" t="s">
        <v>6893</v>
      </c>
      <c r="IWZ1" t="s">
        <v>6894</v>
      </c>
      <c r="IXA1" t="s">
        <v>6895</v>
      </c>
      <c r="IXB1" t="s">
        <v>6896</v>
      </c>
      <c r="IXC1" t="s">
        <v>6897</v>
      </c>
      <c r="IXD1" t="s">
        <v>6898</v>
      </c>
      <c r="IXE1" t="s">
        <v>6899</v>
      </c>
      <c r="IXF1" t="s">
        <v>6900</v>
      </c>
      <c r="IXG1" t="s">
        <v>6901</v>
      </c>
      <c r="IXH1" t="s">
        <v>6902</v>
      </c>
      <c r="IXI1" t="s">
        <v>6903</v>
      </c>
      <c r="IXJ1" t="s">
        <v>6904</v>
      </c>
      <c r="IXK1" t="s">
        <v>6905</v>
      </c>
      <c r="IXL1" t="s">
        <v>6906</v>
      </c>
      <c r="IXM1" t="s">
        <v>6907</v>
      </c>
      <c r="IXN1" t="s">
        <v>6908</v>
      </c>
      <c r="IXO1" t="s">
        <v>6909</v>
      </c>
      <c r="IXP1" t="s">
        <v>6910</v>
      </c>
      <c r="IXQ1" t="s">
        <v>6911</v>
      </c>
      <c r="IXR1" t="s">
        <v>6912</v>
      </c>
      <c r="IXS1" t="s">
        <v>6913</v>
      </c>
      <c r="IXT1" t="s">
        <v>6914</v>
      </c>
      <c r="IXU1" t="s">
        <v>6915</v>
      </c>
      <c r="IXV1" t="s">
        <v>6916</v>
      </c>
      <c r="IXW1" t="s">
        <v>6917</v>
      </c>
      <c r="IXX1" t="s">
        <v>6918</v>
      </c>
      <c r="IXY1" t="s">
        <v>6919</v>
      </c>
      <c r="IXZ1" t="s">
        <v>6920</v>
      </c>
      <c r="IYA1" t="s">
        <v>6921</v>
      </c>
      <c r="IYB1" t="s">
        <v>6922</v>
      </c>
      <c r="IYC1" t="s">
        <v>6923</v>
      </c>
      <c r="IYD1" t="s">
        <v>6924</v>
      </c>
      <c r="IYE1" t="s">
        <v>6925</v>
      </c>
      <c r="IYF1" t="s">
        <v>6926</v>
      </c>
      <c r="IYG1" t="s">
        <v>6927</v>
      </c>
      <c r="IYH1" t="s">
        <v>6928</v>
      </c>
      <c r="IYI1" t="s">
        <v>6929</v>
      </c>
      <c r="IYJ1" t="s">
        <v>6930</v>
      </c>
      <c r="IYK1" t="s">
        <v>6931</v>
      </c>
      <c r="IYL1" t="s">
        <v>6932</v>
      </c>
      <c r="IYM1" t="s">
        <v>6933</v>
      </c>
      <c r="IYN1" t="s">
        <v>6934</v>
      </c>
      <c r="IYO1" t="s">
        <v>6935</v>
      </c>
      <c r="IYP1" t="s">
        <v>6936</v>
      </c>
      <c r="IYQ1" t="s">
        <v>6937</v>
      </c>
      <c r="IYR1" t="s">
        <v>6938</v>
      </c>
      <c r="IYS1" t="s">
        <v>6939</v>
      </c>
      <c r="IYT1" t="s">
        <v>6940</v>
      </c>
      <c r="IYU1" t="s">
        <v>6941</v>
      </c>
      <c r="IYV1" t="s">
        <v>6942</v>
      </c>
      <c r="IYW1" t="s">
        <v>6943</v>
      </c>
      <c r="IYX1" t="s">
        <v>6944</v>
      </c>
      <c r="IYY1" t="s">
        <v>6945</v>
      </c>
      <c r="IYZ1" t="s">
        <v>6946</v>
      </c>
      <c r="IZA1" t="s">
        <v>6947</v>
      </c>
      <c r="IZB1" t="s">
        <v>6948</v>
      </c>
      <c r="IZC1" t="s">
        <v>6949</v>
      </c>
      <c r="IZD1" t="s">
        <v>6950</v>
      </c>
      <c r="IZE1" t="s">
        <v>6951</v>
      </c>
      <c r="IZF1" t="s">
        <v>6952</v>
      </c>
      <c r="IZG1" t="s">
        <v>6953</v>
      </c>
      <c r="IZH1" t="s">
        <v>6954</v>
      </c>
      <c r="IZI1" t="s">
        <v>6955</v>
      </c>
      <c r="IZJ1" t="s">
        <v>6956</v>
      </c>
      <c r="IZK1" t="s">
        <v>6957</v>
      </c>
      <c r="IZL1" t="s">
        <v>6958</v>
      </c>
      <c r="IZM1" t="s">
        <v>6959</v>
      </c>
      <c r="IZN1" t="s">
        <v>6960</v>
      </c>
      <c r="IZO1" t="s">
        <v>6961</v>
      </c>
      <c r="IZP1" t="s">
        <v>6962</v>
      </c>
      <c r="IZQ1" t="s">
        <v>6963</v>
      </c>
      <c r="IZR1" t="s">
        <v>6964</v>
      </c>
      <c r="IZS1" t="s">
        <v>6965</v>
      </c>
      <c r="IZT1" t="s">
        <v>6966</v>
      </c>
      <c r="IZU1" t="s">
        <v>6967</v>
      </c>
      <c r="IZV1" t="s">
        <v>6968</v>
      </c>
      <c r="IZW1" t="s">
        <v>6969</v>
      </c>
      <c r="IZX1" t="s">
        <v>6970</v>
      </c>
      <c r="IZY1" t="s">
        <v>6971</v>
      </c>
      <c r="IZZ1" t="s">
        <v>6972</v>
      </c>
      <c r="JAA1" t="s">
        <v>6973</v>
      </c>
      <c r="JAB1" t="s">
        <v>6974</v>
      </c>
      <c r="JAC1" t="s">
        <v>6975</v>
      </c>
      <c r="JAD1" t="s">
        <v>6976</v>
      </c>
      <c r="JAE1" t="s">
        <v>6977</v>
      </c>
      <c r="JAF1" t="s">
        <v>6978</v>
      </c>
      <c r="JAG1" t="s">
        <v>6979</v>
      </c>
      <c r="JAH1" t="s">
        <v>6980</v>
      </c>
      <c r="JAI1" t="s">
        <v>6981</v>
      </c>
      <c r="JAJ1" t="s">
        <v>6982</v>
      </c>
      <c r="JAK1" t="s">
        <v>6983</v>
      </c>
      <c r="JAL1" t="s">
        <v>6984</v>
      </c>
      <c r="JAM1" t="s">
        <v>6985</v>
      </c>
      <c r="JAN1" t="s">
        <v>6986</v>
      </c>
      <c r="JAO1" t="s">
        <v>6987</v>
      </c>
      <c r="JAP1" t="s">
        <v>6988</v>
      </c>
      <c r="JAQ1" t="s">
        <v>6989</v>
      </c>
      <c r="JAR1" t="s">
        <v>6990</v>
      </c>
      <c r="JAS1" t="s">
        <v>6991</v>
      </c>
      <c r="JAT1" t="s">
        <v>6992</v>
      </c>
      <c r="JAU1" t="s">
        <v>6993</v>
      </c>
      <c r="JAV1" t="s">
        <v>6994</v>
      </c>
      <c r="JAW1" t="s">
        <v>6995</v>
      </c>
      <c r="JAX1" t="s">
        <v>6996</v>
      </c>
      <c r="JAY1" t="s">
        <v>6997</v>
      </c>
      <c r="JAZ1" t="s">
        <v>6998</v>
      </c>
      <c r="JBA1" t="s">
        <v>6999</v>
      </c>
      <c r="JBB1" t="s">
        <v>7000</v>
      </c>
      <c r="JBC1" t="s">
        <v>7001</v>
      </c>
      <c r="JBD1" t="s">
        <v>7002</v>
      </c>
      <c r="JBE1" t="s">
        <v>7003</v>
      </c>
      <c r="JBF1" t="s">
        <v>7004</v>
      </c>
      <c r="JBG1" t="s">
        <v>7005</v>
      </c>
      <c r="JBH1" t="s">
        <v>7006</v>
      </c>
      <c r="JBI1" t="s">
        <v>7007</v>
      </c>
      <c r="JBJ1" t="s">
        <v>7008</v>
      </c>
      <c r="JBK1" t="s">
        <v>7009</v>
      </c>
      <c r="JBL1" t="s">
        <v>7010</v>
      </c>
      <c r="JBM1" t="s">
        <v>7011</v>
      </c>
      <c r="JBN1" t="s">
        <v>7012</v>
      </c>
      <c r="JBO1" t="s">
        <v>7013</v>
      </c>
      <c r="JBP1" t="s">
        <v>7014</v>
      </c>
      <c r="JBQ1" t="s">
        <v>7015</v>
      </c>
      <c r="JBR1" t="s">
        <v>7016</v>
      </c>
      <c r="JBS1" t="s">
        <v>7017</v>
      </c>
      <c r="JBT1" t="s">
        <v>7018</v>
      </c>
      <c r="JBU1" t="s">
        <v>7019</v>
      </c>
      <c r="JBV1" t="s">
        <v>7020</v>
      </c>
      <c r="JBW1" t="s">
        <v>7021</v>
      </c>
      <c r="JBX1" t="s">
        <v>7022</v>
      </c>
      <c r="JBY1" t="s">
        <v>7023</v>
      </c>
      <c r="JBZ1" t="s">
        <v>7024</v>
      </c>
      <c r="JCA1" t="s">
        <v>7025</v>
      </c>
      <c r="JCB1" t="s">
        <v>7026</v>
      </c>
      <c r="JCC1" t="s">
        <v>7027</v>
      </c>
      <c r="JCD1" t="s">
        <v>7028</v>
      </c>
      <c r="JCE1" t="s">
        <v>7029</v>
      </c>
      <c r="JCF1" t="s">
        <v>7030</v>
      </c>
      <c r="JCG1" t="s">
        <v>7031</v>
      </c>
      <c r="JCH1" t="s">
        <v>7032</v>
      </c>
      <c r="JCI1" t="s">
        <v>7033</v>
      </c>
      <c r="JCJ1" t="s">
        <v>7034</v>
      </c>
      <c r="JCK1" t="s">
        <v>7035</v>
      </c>
      <c r="JCL1" t="s">
        <v>7036</v>
      </c>
      <c r="JCM1" t="s">
        <v>7037</v>
      </c>
      <c r="JCN1" t="s">
        <v>7038</v>
      </c>
      <c r="JCO1" t="s">
        <v>7039</v>
      </c>
      <c r="JCP1" t="s">
        <v>7040</v>
      </c>
      <c r="JCQ1" t="s">
        <v>7041</v>
      </c>
      <c r="JCR1" t="s">
        <v>7042</v>
      </c>
      <c r="JCS1" t="s">
        <v>7043</v>
      </c>
      <c r="JCT1" t="s">
        <v>7044</v>
      </c>
      <c r="JCU1" t="s">
        <v>7045</v>
      </c>
      <c r="JCV1" t="s">
        <v>7046</v>
      </c>
      <c r="JCW1" t="s">
        <v>7047</v>
      </c>
      <c r="JCX1" t="s">
        <v>7048</v>
      </c>
      <c r="JCY1" t="s">
        <v>7049</v>
      </c>
      <c r="JCZ1" t="s">
        <v>7050</v>
      </c>
      <c r="JDA1" t="s">
        <v>7051</v>
      </c>
      <c r="JDB1" t="s">
        <v>7052</v>
      </c>
      <c r="JDC1" t="s">
        <v>7053</v>
      </c>
      <c r="JDD1" t="s">
        <v>7054</v>
      </c>
      <c r="JDE1" t="s">
        <v>7055</v>
      </c>
      <c r="JDF1" t="s">
        <v>7056</v>
      </c>
      <c r="JDG1" t="s">
        <v>7057</v>
      </c>
      <c r="JDH1" t="s">
        <v>7058</v>
      </c>
      <c r="JDI1" t="s">
        <v>7059</v>
      </c>
      <c r="JDJ1" t="s">
        <v>7060</v>
      </c>
      <c r="JDK1" t="s">
        <v>7061</v>
      </c>
      <c r="JDL1" t="s">
        <v>7062</v>
      </c>
      <c r="JDM1" t="s">
        <v>7063</v>
      </c>
      <c r="JDN1" t="s">
        <v>7064</v>
      </c>
      <c r="JDO1" t="s">
        <v>7065</v>
      </c>
      <c r="JDP1" t="s">
        <v>7066</v>
      </c>
      <c r="JDQ1" t="s">
        <v>7067</v>
      </c>
      <c r="JDR1" t="s">
        <v>7068</v>
      </c>
      <c r="JDS1" t="s">
        <v>7069</v>
      </c>
      <c r="JDT1" t="s">
        <v>7070</v>
      </c>
      <c r="JDU1" t="s">
        <v>7071</v>
      </c>
      <c r="JDV1" t="s">
        <v>7072</v>
      </c>
      <c r="JDW1" t="s">
        <v>7073</v>
      </c>
      <c r="JDX1" t="s">
        <v>7074</v>
      </c>
      <c r="JDY1" t="s">
        <v>7075</v>
      </c>
      <c r="JDZ1" t="s">
        <v>7076</v>
      </c>
      <c r="JEA1" t="s">
        <v>7077</v>
      </c>
      <c r="JEB1" t="s">
        <v>7078</v>
      </c>
      <c r="JEC1" t="s">
        <v>7079</v>
      </c>
      <c r="JED1" t="s">
        <v>7080</v>
      </c>
      <c r="JEE1" t="s">
        <v>7081</v>
      </c>
      <c r="JEF1" t="s">
        <v>7082</v>
      </c>
      <c r="JEG1" t="s">
        <v>7083</v>
      </c>
      <c r="JEH1" t="s">
        <v>7084</v>
      </c>
      <c r="JEI1" t="s">
        <v>7085</v>
      </c>
      <c r="JEJ1" t="s">
        <v>7086</v>
      </c>
      <c r="JEK1" t="s">
        <v>7087</v>
      </c>
      <c r="JEL1" t="s">
        <v>7088</v>
      </c>
      <c r="JEM1" t="s">
        <v>7089</v>
      </c>
      <c r="JEN1" t="s">
        <v>7090</v>
      </c>
      <c r="JEO1" t="s">
        <v>7091</v>
      </c>
      <c r="JEP1" t="s">
        <v>7092</v>
      </c>
      <c r="JEQ1" t="s">
        <v>7093</v>
      </c>
      <c r="JER1" t="s">
        <v>7094</v>
      </c>
      <c r="JES1" t="s">
        <v>7095</v>
      </c>
      <c r="JET1" t="s">
        <v>7096</v>
      </c>
      <c r="JEU1" t="s">
        <v>7097</v>
      </c>
      <c r="JEV1" t="s">
        <v>7098</v>
      </c>
      <c r="JEW1" t="s">
        <v>7099</v>
      </c>
      <c r="JEX1" t="s">
        <v>7100</v>
      </c>
      <c r="JEY1" t="s">
        <v>7101</v>
      </c>
      <c r="JEZ1" t="s">
        <v>7102</v>
      </c>
      <c r="JFA1" t="s">
        <v>7103</v>
      </c>
      <c r="JFB1" t="s">
        <v>7104</v>
      </c>
      <c r="JFC1" t="s">
        <v>7105</v>
      </c>
      <c r="JFD1" t="s">
        <v>7106</v>
      </c>
      <c r="JFE1" t="s">
        <v>7107</v>
      </c>
      <c r="JFF1" t="s">
        <v>7108</v>
      </c>
      <c r="JFG1" t="s">
        <v>7109</v>
      </c>
      <c r="JFH1" t="s">
        <v>7110</v>
      </c>
      <c r="JFI1" t="s">
        <v>7111</v>
      </c>
      <c r="JFJ1" t="s">
        <v>7112</v>
      </c>
      <c r="JFK1" t="s">
        <v>7113</v>
      </c>
      <c r="JFL1" t="s">
        <v>7114</v>
      </c>
      <c r="JFM1" t="s">
        <v>7115</v>
      </c>
      <c r="JFN1" t="s">
        <v>7116</v>
      </c>
      <c r="JFO1" t="s">
        <v>7117</v>
      </c>
      <c r="JFP1" t="s">
        <v>7118</v>
      </c>
      <c r="JFQ1" t="s">
        <v>7119</v>
      </c>
      <c r="JFR1" t="s">
        <v>7120</v>
      </c>
      <c r="JFS1" t="s">
        <v>7121</v>
      </c>
      <c r="JFT1" t="s">
        <v>7122</v>
      </c>
      <c r="JFU1" t="s">
        <v>7123</v>
      </c>
      <c r="JFV1" t="s">
        <v>7124</v>
      </c>
      <c r="JFW1" t="s">
        <v>7125</v>
      </c>
      <c r="JFX1" t="s">
        <v>7126</v>
      </c>
      <c r="JFY1" t="s">
        <v>7127</v>
      </c>
      <c r="JFZ1" t="s">
        <v>7128</v>
      </c>
      <c r="JGA1" t="s">
        <v>7129</v>
      </c>
      <c r="JGB1" t="s">
        <v>7130</v>
      </c>
      <c r="JGC1" t="s">
        <v>7131</v>
      </c>
      <c r="JGD1" t="s">
        <v>7132</v>
      </c>
      <c r="JGE1" t="s">
        <v>7133</v>
      </c>
      <c r="JGF1" t="s">
        <v>7134</v>
      </c>
      <c r="JGG1" t="s">
        <v>7135</v>
      </c>
      <c r="JGH1" t="s">
        <v>7136</v>
      </c>
      <c r="JGI1" t="s">
        <v>7137</v>
      </c>
      <c r="JGJ1" t="s">
        <v>7138</v>
      </c>
      <c r="JGK1" t="s">
        <v>7139</v>
      </c>
      <c r="JGL1" t="s">
        <v>7140</v>
      </c>
      <c r="JGM1" t="s">
        <v>7141</v>
      </c>
      <c r="JGN1" t="s">
        <v>7142</v>
      </c>
      <c r="JGO1" t="s">
        <v>7143</v>
      </c>
      <c r="JGP1" t="s">
        <v>7144</v>
      </c>
      <c r="JGQ1" t="s">
        <v>7145</v>
      </c>
      <c r="JGR1" t="s">
        <v>7146</v>
      </c>
      <c r="JGS1" t="s">
        <v>7147</v>
      </c>
      <c r="JGT1" t="s">
        <v>7148</v>
      </c>
      <c r="JGU1" t="s">
        <v>7149</v>
      </c>
      <c r="JGV1" t="s">
        <v>7150</v>
      </c>
      <c r="JGW1" t="s">
        <v>7151</v>
      </c>
      <c r="JGX1" t="s">
        <v>7152</v>
      </c>
      <c r="JGY1" t="s">
        <v>7153</v>
      </c>
      <c r="JGZ1" t="s">
        <v>7154</v>
      </c>
      <c r="JHA1" t="s">
        <v>7155</v>
      </c>
      <c r="JHB1" t="s">
        <v>7156</v>
      </c>
      <c r="JHC1" t="s">
        <v>7157</v>
      </c>
      <c r="JHD1" t="s">
        <v>7158</v>
      </c>
      <c r="JHE1" t="s">
        <v>7159</v>
      </c>
      <c r="JHF1" t="s">
        <v>7160</v>
      </c>
      <c r="JHG1" t="s">
        <v>7161</v>
      </c>
      <c r="JHH1" t="s">
        <v>7162</v>
      </c>
      <c r="JHI1" t="s">
        <v>7163</v>
      </c>
      <c r="JHJ1" t="s">
        <v>7164</v>
      </c>
      <c r="JHK1" t="s">
        <v>7165</v>
      </c>
      <c r="JHL1" t="s">
        <v>7166</v>
      </c>
      <c r="JHM1" t="s">
        <v>7167</v>
      </c>
      <c r="JHN1" t="s">
        <v>7168</v>
      </c>
      <c r="JHO1" t="s">
        <v>7169</v>
      </c>
      <c r="JHP1" t="s">
        <v>7170</v>
      </c>
      <c r="JHQ1" t="s">
        <v>7171</v>
      </c>
      <c r="JHR1" t="s">
        <v>7172</v>
      </c>
      <c r="JHS1" t="s">
        <v>7173</v>
      </c>
      <c r="JHT1" t="s">
        <v>7174</v>
      </c>
      <c r="JHU1" t="s">
        <v>7175</v>
      </c>
      <c r="JHV1" t="s">
        <v>7176</v>
      </c>
      <c r="JHW1" t="s">
        <v>7177</v>
      </c>
      <c r="JHX1" t="s">
        <v>7178</v>
      </c>
      <c r="JHY1" t="s">
        <v>7179</v>
      </c>
      <c r="JHZ1" t="s">
        <v>7180</v>
      </c>
      <c r="JIA1" t="s">
        <v>7181</v>
      </c>
      <c r="JIB1" t="s">
        <v>7182</v>
      </c>
      <c r="JIC1" t="s">
        <v>7183</v>
      </c>
      <c r="JID1" t="s">
        <v>7184</v>
      </c>
      <c r="JIE1" t="s">
        <v>7185</v>
      </c>
      <c r="JIF1" t="s">
        <v>7186</v>
      </c>
      <c r="JIG1" t="s">
        <v>7187</v>
      </c>
      <c r="JIH1" t="s">
        <v>7188</v>
      </c>
      <c r="JII1" t="s">
        <v>7189</v>
      </c>
      <c r="JIJ1" t="s">
        <v>7190</v>
      </c>
      <c r="JIK1" t="s">
        <v>7191</v>
      </c>
      <c r="JIL1" t="s">
        <v>7192</v>
      </c>
      <c r="JIM1" t="s">
        <v>7193</v>
      </c>
      <c r="JIN1" t="s">
        <v>7194</v>
      </c>
      <c r="JIO1" t="s">
        <v>7195</v>
      </c>
      <c r="JIP1" t="s">
        <v>7196</v>
      </c>
      <c r="JIQ1" t="s">
        <v>7197</v>
      </c>
      <c r="JIR1" t="s">
        <v>7198</v>
      </c>
      <c r="JIS1" t="s">
        <v>7199</v>
      </c>
      <c r="JIT1" t="s">
        <v>7200</v>
      </c>
      <c r="JIU1" t="s">
        <v>7201</v>
      </c>
      <c r="JIV1" t="s">
        <v>7202</v>
      </c>
      <c r="JIW1" t="s">
        <v>7203</v>
      </c>
      <c r="JIX1" t="s">
        <v>7204</v>
      </c>
      <c r="JIY1" t="s">
        <v>7205</v>
      </c>
      <c r="JIZ1" t="s">
        <v>7206</v>
      </c>
      <c r="JJA1" t="s">
        <v>7207</v>
      </c>
      <c r="JJB1" t="s">
        <v>7208</v>
      </c>
      <c r="JJC1" t="s">
        <v>7209</v>
      </c>
      <c r="JJD1" t="s">
        <v>7210</v>
      </c>
      <c r="JJE1" t="s">
        <v>7211</v>
      </c>
      <c r="JJF1" t="s">
        <v>7212</v>
      </c>
      <c r="JJG1" t="s">
        <v>7213</v>
      </c>
      <c r="JJH1" t="s">
        <v>7214</v>
      </c>
      <c r="JJI1" t="s">
        <v>7215</v>
      </c>
      <c r="JJJ1" t="s">
        <v>7216</v>
      </c>
      <c r="JJK1" t="s">
        <v>7217</v>
      </c>
      <c r="JJL1" t="s">
        <v>7218</v>
      </c>
      <c r="JJM1" t="s">
        <v>7219</v>
      </c>
      <c r="JJN1" t="s">
        <v>7220</v>
      </c>
      <c r="JJO1" t="s">
        <v>7221</v>
      </c>
      <c r="JJP1" t="s">
        <v>7222</v>
      </c>
      <c r="JJQ1" t="s">
        <v>7223</v>
      </c>
      <c r="JJR1" t="s">
        <v>7224</v>
      </c>
      <c r="JJS1" t="s">
        <v>7225</v>
      </c>
      <c r="JJT1" t="s">
        <v>7226</v>
      </c>
      <c r="JJU1" t="s">
        <v>7227</v>
      </c>
      <c r="JJV1" t="s">
        <v>7228</v>
      </c>
      <c r="JJW1" t="s">
        <v>7229</v>
      </c>
      <c r="JJX1" t="s">
        <v>7230</v>
      </c>
      <c r="JJY1" t="s">
        <v>7231</v>
      </c>
      <c r="JJZ1" t="s">
        <v>7232</v>
      </c>
      <c r="JKA1" t="s">
        <v>7233</v>
      </c>
      <c r="JKB1" t="s">
        <v>7234</v>
      </c>
      <c r="JKC1" t="s">
        <v>7235</v>
      </c>
      <c r="JKD1" t="s">
        <v>7236</v>
      </c>
      <c r="JKE1" t="s">
        <v>7237</v>
      </c>
      <c r="JKF1" t="s">
        <v>7238</v>
      </c>
      <c r="JKG1" t="s">
        <v>7239</v>
      </c>
      <c r="JKH1" t="s">
        <v>7240</v>
      </c>
      <c r="JKI1" t="s">
        <v>7241</v>
      </c>
      <c r="JKJ1" t="s">
        <v>7242</v>
      </c>
      <c r="JKK1" t="s">
        <v>7243</v>
      </c>
      <c r="JKL1" t="s">
        <v>7244</v>
      </c>
      <c r="JKM1" t="s">
        <v>7245</v>
      </c>
      <c r="JKN1" t="s">
        <v>7246</v>
      </c>
      <c r="JKO1" t="s">
        <v>7247</v>
      </c>
      <c r="JKP1" t="s">
        <v>7248</v>
      </c>
      <c r="JKQ1" t="s">
        <v>7249</v>
      </c>
      <c r="JKR1" t="s">
        <v>7250</v>
      </c>
      <c r="JKS1" t="s">
        <v>7251</v>
      </c>
      <c r="JKT1" t="s">
        <v>7252</v>
      </c>
      <c r="JKU1" t="s">
        <v>7253</v>
      </c>
      <c r="JKV1" t="s">
        <v>7254</v>
      </c>
      <c r="JKW1" t="s">
        <v>7255</v>
      </c>
      <c r="JKX1" t="s">
        <v>7256</v>
      </c>
      <c r="JKY1" t="s">
        <v>7257</v>
      </c>
      <c r="JKZ1" t="s">
        <v>7258</v>
      </c>
      <c r="JLA1" t="s">
        <v>7259</v>
      </c>
      <c r="JLB1" t="s">
        <v>7260</v>
      </c>
      <c r="JLC1" t="s">
        <v>7261</v>
      </c>
      <c r="JLD1" t="s">
        <v>7262</v>
      </c>
      <c r="JLE1" t="s">
        <v>7263</v>
      </c>
      <c r="JLF1" t="s">
        <v>7264</v>
      </c>
      <c r="JLG1" t="s">
        <v>7265</v>
      </c>
      <c r="JLH1" t="s">
        <v>7266</v>
      </c>
      <c r="JLI1" t="s">
        <v>7267</v>
      </c>
      <c r="JLJ1" t="s">
        <v>7268</v>
      </c>
      <c r="JLK1" t="s">
        <v>7269</v>
      </c>
      <c r="JLL1" t="s">
        <v>7270</v>
      </c>
      <c r="JLM1" t="s">
        <v>7271</v>
      </c>
      <c r="JLN1" t="s">
        <v>7272</v>
      </c>
      <c r="JLO1" t="s">
        <v>7273</v>
      </c>
      <c r="JLP1" t="s">
        <v>7274</v>
      </c>
      <c r="JLQ1" t="s">
        <v>7275</v>
      </c>
      <c r="JLR1" t="s">
        <v>7276</v>
      </c>
      <c r="JLS1" t="s">
        <v>7277</v>
      </c>
      <c r="JLT1" t="s">
        <v>7278</v>
      </c>
      <c r="JLU1" t="s">
        <v>7279</v>
      </c>
      <c r="JLV1" t="s">
        <v>7280</v>
      </c>
      <c r="JLW1" t="s">
        <v>7281</v>
      </c>
      <c r="JLX1" t="s">
        <v>7282</v>
      </c>
      <c r="JLY1" t="s">
        <v>7283</v>
      </c>
      <c r="JLZ1" t="s">
        <v>7284</v>
      </c>
      <c r="JMA1" t="s">
        <v>7285</v>
      </c>
      <c r="JMB1" t="s">
        <v>7286</v>
      </c>
      <c r="JMC1" t="s">
        <v>7287</v>
      </c>
      <c r="JMD1" t="s">
        <v>7288</v>
      </c>
      <c r="JME1" t="s">
        <v>7289</v>
      </c>
      <c r="JMF1" t="s">
        <v>7290</v>
      </c>
      <c r="JMG1" t="s">
        <v>7291</v>
      </c>
      <c r="JMH1" t="s">
        <v>7292</v>
      </c>
      <c r="JMI1" t="s">
        <v>7293</v>
      </c>
      <c r="JMJ1" t="s">
        <v>7294</v>
      </c>
      <c r="JMK1" t="s">
        <v>7295</v>
      </c>
      <c r="JML1" t="s">
        <v>7296</v>
      </c>
      <c r="JMM1" t="s">
        <v>7297</v>
      </c>
      <c r="JMN1" t="s">
        <v>7298</v>
      </c>
      <c r="JMO1" t="s">
        <v>7299</v>
      </c>
      <c r="JMP1" t="s">
        <v>7300</v>
      </c>
      <c r="JMQ1" t="s">
        <v>7301</v>
      </c>
      <c r="JMR1" t="s">
        <v>7302</v>
      </c>
      <c r="JMS1" t="s">
        <v>7303</v>
      </c>
      <c r="JMT1" t="s">
        <v>7304</v>
      </c>
      <c r="JMU1" t="s">
        <v>7305</v>
      </c>
      <c r="JMV1" t="s">
        <v>7306</v>
      </c>
      <c r="JMW1" t="s">
        <v>7307</v>
      </c>
      <c r="JMX1" t="s">
        <v>7308</v>
      </c>
      <c r="JMY1" t="s">
        <v>7309</v>
      </c>
      <c r="JMZ1" t="s">
        <v>7310</v>
      </c>
      <c r="JNA1" t="s">
        <v>7311</v>
      </c>
      <c r="JNB1" t="s">
        <v>7312</v>
      </c>
      <c r="JNC1" t="s">
        <v>7313</v>
      </c>
      <c r="JND1" t="s">
        <v>7314</v>
      </c>
      <c r="JNE1" t="s">
        <v>7315</v>
      </c>
      <c r="JNF1" t="s">
        <v>7316</v>
      </c>
      <c r="JNG1" t="s">
        <v>7317</v>
      </c>
      <c r="JNH1" t="s">
        <v>7318</v>
      </c>
      <c r="JNI1" t="s">
        <v>7319</v>
      </c>
      <c r="JNJ1" t="s">
        <v>7320</v>
      </c>
      <c r="JNK1" t="s">
        <v>7321</v>
      </c>
      <c r="JNL1" t="s">
        <v>7322</v>
      </c>
      <c r="JNM1" t="s">
        <v>7323</v>
      </c>
      <c r="JNN1" t="s">
        <v>7324</v>
      </c>
      <c r="JNO1" t="s">
        <v>7325</v>
      </c>
      <c r="JNP1" t="s">
        <v>7326</v>
      </c>
      <c r="JNQ1" t="s">
        <v>7327</v>
      </c>
      <c r="JNR1" t="s">
        <v>7328</v>
      </c>
      <c r="JNS1" t="s">
        <v>7329</v>
      </c>
      <c r="JNT1" t="s">
        <v>7330</v>
      </c>
      <c r="JNU1" t="s">
        <v>7331</v>
      </c>
      <c r="JNV1" t="s">
        <v>7332</v>
      </c>
      <c r="JNW1" t="s">
        <v>7333</v>
      </c>
      <c r="JNX1" t="s">
        <v>7334</v>
      </c>
      <c r="JNY1" t="s">
        <v>7335</v>
      </c>
      <c r="JNZ1" t="s">
        <v>7336</v>
      </c>
      <c r="JOA1" t="s">
        <v>7337</v>
      </c>
      <c r="JOB1" t="s">
        <v>7338</v>
      </c>
      <c r="JOC1" t="s">
        <v>7339</v>
      </c>
      <c r="JOD1" t="s">
        <v>7340</v>
      </c>
      <c r="JOE1" t="s">
        <v>7341</v>
      </c>
      <c r="JOF1" t="s">
        <v>7342</v>
      </c>
      <c r="JOG1" t="s">
        <v>7343</v>
      </c>
      <c r="JOH1" t="s">
        <v>7344</v>
      </c>
      <c r="JOI1" t="s">
        <v>7345</v>
      </c>
      <c r="JOJ1" t="s">
        <v>7346</v>
      </c>
      <c r="JOK1" t="s">
        <v>7347</v>
      </c>
      <c r="JOL1" t="s">
        <v>7348</v>
      </c>
      <c r="JOM1" t="s">
        <v>7349</v>
      </c>
      <c r="JON1" t="s">
        <v>7350</v>
      </c>
      <c r="JOO1" t="s">
        <v>7351</v>
      </c>
      <c r="JOP1" t="s">
        <v>7352</v>
      </c>
      <c r="JOQ1" t="s">
        <v>7353</v>
      </c>
      <c r="JOR1" t="s">
        <v>7354</v>
      </c>
      <c r="JOS1" t="s">
        <v>7355</v>
      </c>
      <c r="JOT1" t="s">
        <v>7356</v>
      </c>
      <c r="JOU1" t="s">
        <v>7357</v>
      </c>
      <c r="JOV1" t="s">
        <v>7358</v>
      </c>
      <c r="JOW1" t="s">
        <v>7359</v>
      </c>
      <c r="JOX1" t="s">
        <v>7360</v>
      </c>
      <c r="JOY1" t="s">
        <v>7361</v>
      </c>
      <c r="JOZ1" t="s">
        <v>7362</v>
      </c>
      <c r="JPA1" t="s">
        <v>7363</v>
      </c>
      <c r="JPB1" t="s">
        <v>7364</v>
      </c>
      <c r="JPC1" t="s">
        <v>7365</v>
      </c>
      <c r="JPD1" t="s">
        <v>7366</v>
      </c>
      <c r="JPE1" t="s">
        <v>7367</v>
      </c>
      <c r="JPF1" t="s">
        <v>7368</v>
      </c>
      <c r="JPG1" t="s">
        <v>7369</v>
      </c>
      <c r="JPH1" t="s">
        <v>7370</v>
      </c>
      <c r="JPI1" t="s">
        <v>7371</v>
      </c>
      <c r="JPJ1" t="s">
        <v>7372</v>
      </c>
      <c r="JPK1" t="s">
        <v>7373</v>
      </c>
      <c r="JPL1" t="s">
        <v>7374</v>
      </c>
      <c r="JPM1" t="s">
        <v>7375</v>
      </c>
      <c r="JPN1" t="s">
        <v>7376</v>
      </c>
      <c r="JPO1" t="s">
        <v>7377</v>
      </c>
      <c r="JPP1" t="s">
        <v>7378</v>
      </c>
      <c r="JPQ1" t="s">
        <v>7379</v>
      </c>
      <c r="JPR1" t="s">
        <v>7380</v>
      </c>
      <c r="JPS1" t="s">
        <v>7381</v>
      </c>
      <c r="JPT1" t="s">
        <v>7382</v>
      </c>
      <c r="JPU1" t="s">
        <v>7383</v>
      </c>
      <c r="JPV1" t="s">
        <v>7384</v>
      </c>
      <c r="JPW1" t="s">
        <v>7385</v>
      </c>
      <c r="JPX1" t="s">
        <v>7386</v>
      </c>
      <c r="JPY1" t="s">
        <v>7387</v>
      </c>
      <c r="JPZ1" t="s">
        <v>7388</v>
      </c>
      <c r="JQA1" t="s">
        <v>7389</v>
      </c>
      <c r="JQB1" t="s">
        <v>7390</v>
      </c>
      <c r="JQC1" t="s">
        <v>7391</v>
      </c>
      <c r="JQD1" t="s">
        <v>7392</v>
      </c>
      <c r="JQE1" t="s">
        <v>7393</v>
      </c>
      <c r="JQF1" t="s">
        <v>7394</v>
      </c>
      <c r="JQG1" t="s">
        <v>7395</v>
      </c>
      <c r="JQH1" t="s">
        <v>7396</v>
      </c>
      <c r="JQI1" t="s">
        <v>7397</v>
      </c>
      <c r="JQJ1" t="s">
        <v>7398</v>
      </c>
      <c r="JQK1" t="s">
        <v>7399</v>
      </c>
      <c r="JQL1" t="s">
        <v>7400</v>
      </c>
      <c r="JQM1" t="s">
        <v>7401</v>
      </c>
      <c r="JQN1" t="s">
        <v>7402</v>
      </c>
      <c r="JQO1" t="s">
        <v>7403</v>
      </c>
      <c r="JQP1" t="s">
        <v>7404</v>
      </c>
      <c r="JQQ1" t="s">
        <v>7405</v>
      </c>
      <c r="JQR1" t="s">
        <v>7406</v>
      </c>
      <c r="JQS1" t="s">
        <v>7407</v>
      </c>
      <c r="JQT1" t="s">
        <v>7408</v>
      </c>
      <c r="JQU1" t="s">
        <v>7409</v>
      </c>
      <c r="JQV1" t="s">
        <v>7410</v>
      </c>
      <c r="JQW1" t="s">
        <v>7411</v>
      </c>
      <c r="JQX1" t="s">
        <v>7412</v>
      </c>
      <c r="JQY1" t="s">
        <v>7413</v>
      </c>
      <c r="JQZ1" t="s">
        <v>7414</v>
      </c>
      <c r="JRA1" t="s">
        <v>7415</v>
      </c>
      <c r="JRB1" t="s">
        <v>7416</v>
      </c>
      <c r="JRC1" t="s">
        <v>7417</v>
      </c>
      <c r="JRD1" t="s">
        <v>7418</v>
      </c>
      <c r="JRE1" t="s">
        <v>7419</v>
      </c>
      <c r="JRF1" t="s">
        <v>7420</v>
      </c>
      <c r="JRG1" t="s">
        <v>7421</v>
      </c>
      <c r="JRH1" t="s">
        <v>7422</v>
      </c>
      <c r="JRI1" t="s">
        <v>7423</v>
      </c>
      <c r="JRJ1" t="s">
        <v>7424</v>
      </c>
      <c r="JRK1" t="s">
        <v>7425</v>
      </c>
      <c r="JRL1" t="s">
        <v>7426</v>
      </c>
      <c r="JRM1" t="s">
        <v>7427</v>
      </c>
      <c r="JRN1" t="s">
        <v>7428</v>
      </c>
      <c r="JRO1" t="s">
        <v>7429</v>
      </c>
      <c r="JRP1" t="s">
        <v>7430</v>
      </c>
      <c r="JRQ1" t="s">
        <v>7431</v>
      </c>
      <c r="JRR1" t="s">
        <v>7432</v>
      </c>
      <c r="JRS1" t="s">
        <v>7433</v>
      </c>
      <c r="JRT1" t="s">
        <v>7434</v>
      </c>
      <c r="JRU1" t="s">
        <v>7435</v>
      </c>
      <c r="JRV1" t="s">
        <v>7436</v>
      </c>
      <c r="JRW1" t="s">
        <v>7437</v>
      </c>
      <c r="JRX1" t="s">
        <v>7438</v>
      </c>
      <c r="JRY1" t="s">
        <v>7439</v>
      </c>
      <c r="JRZ1" t="s">
        <v>7440</v>
      </c>
      <c r="JSA1" t="s">
        <v>7441</v>
      </c>
      <c r="JSB1" t="s">
        <v>7442</v>
      </c>
      <c r="JSC1" t="s">
        <v>7443</v>
      </c>
      <c r="JSD1" t="s">
        <v>7444</v>
      </c>
      <c r="JSE1" t="s">
        <v>7445</v>
      </c>
      <c r="JSF1" t="s">
        <v>7446</v>
      </c>
      <c r="JSG1" t="s">
        <v>7447</v>
      </c>
      <c r="JSH1" t="s">
        <v>7448</v>
      </c>
      <c r="JSI1" t="s">
        <v>7449</v>
      </c>
      <c r="JSJ1" t="s">
        <v>7450</v>
      </c>
      <c r="JSK1" t="s">
        <v>7451</v>
      </c>
      <c r="JSL1" t="s">
        <v>7452</v>
      </c>
      <c r="JSM1" t="s">
        <v>7453</v>
      </c>
      <c r="JSN1" t="s">
        <v>7454</v>
      </c>
      <c r="JSO1" t="s">
        <v>7455</v>
      </c>
      <c r="JSP1" t="s">
        <v>7456</v>
      </c>
      <c r="JSQ1" t="s">
        <v>7457</v>
      </c>
      <c r="JSR1" t="s">
        <v>7458</v>
      </c>
      <c r="JSS1" t="s">
        <v>7459</v>
      </c>
      <c r="JST1" t="s">
        <v>7460</v>
      </c>
      <c r="JSU1" t="s">
        <v>7461</v>
      </c>
      <c r="JSV1" t="s">
        <v>7462</v>
      </c>
      <c r="JSW1" t="s">
        <v>7463</v>
      </c>
      <c r="JSX1" t="s">
        <v>7464</v>
      </c>
      <c r="JSY1" t="s">
        <v>7465</v>
      </c>
      <c r="JSZ1" t="s">
        <v>7466</v>
      </c>
      <c r="JTA1" t="s">
        <v>7467</v>
      </c>
      <c r="JTB1" t="s">
        <v>7468</v>
      </c>
      <c r="JTC1" t="s">
        <v>7469</v>
      </c>
      <c r="JTD1" t="s">
        <v>7470</v>
      </c>
      <c r="JTE1" t="s">
        <v>7471</v>
      </c>
      <c r="JTF1" t="s">
        <v>7472</v>
      </c>
      <c r="JTG1" t="s">
        <v>7473</v>
      </c>
      <c r="JTH1" t="s">
        <v>7474</v>
      </c>
      <c r="JTI1" t="s">
        <v>7475</v>
      </c>
      <c r="JTJ1" t="s">
        <v>7476</v>
      </c>
      <c r="JTK1" t="s">
        <v>7477</v>
      </c>
      <c r="JTL1" t="s">
        <v>7478</v>
      </c>
      <c r="JTM1" t="s">
        <v>7479</v>
      </c>
      <c r="JTN1" t="s">
        <v>7480</v>
      </c>
      <c r="JTO1" t="s">
        <v>7481</v>
      </c>
      <c r="JTP1" t="s">
        <v>7482</v>
      </c>
      <c r="JTQ1" t="s">
        <v>7483</v>
      </c>
      <c r="JTR1" t="s">
        <v>7484</v>
      </c>
      <c r="JTS1" t="s">
        <v>7485</v>
      </c>
      <c r="JTT1" t="s">
        <v>7486</v>
      </c>
      <c r="JTU1" t="s">
        <v>7487</v>
      </c>
      <c r="JTV1" t="s">
        <v>7488</v>
      </c>
      <c r="JTW1" t="s">
        <v>7489</v>
      </c>
      <c r="JTX1" t="s">
        <v>7490</v>
      </c>
      <c r="JTY1" t="s">
        <v>7491</v>
      </c>
      <c r="JTZ1" t="s">
        <v>7492</v>
      </c>
      <c r="JUA1" t="s">
        <v>7493</v>
      </c>
      <c r="JUB1" t="s">
        <v>7494</v>
      </c>
      <c r="JUC1" t="s">
        <v>7495</v>
      </c>
      <c r="JUD1" t="s">
        <v>7496</v>
      </c>
      <c r="JUE1" t="s">
        <v>7497</v>
      </c>
      <c r="JUF1" t="s">
        <v>7498</v>
      </c>
      <c r="JUG1" t="s">
        <v>7499</v>
      </c>
      <c r="JUH1" t="s">
        <v>7500</v>
      </c>
      <c r="JUI1" t="s">
        <v>7501</v>
      </c>
      <c r="JUJ1" t="s">
        <v>7502</v>
      </c>
      <c r="JUK1" t="s">
        <v>7503</v>
      </c>
      <c r="JUL1" t="s">
        <v>7504</v>
      </c>
      <c r="JUM1" t="s">
        <v>7505</v>
      </c>
      <c r="JUN1" t="s">
        <v>7506</v>
      </c>
      <c r="JUO1" t="s">
        <v>7507</v>
      </c>
      <c r="JUP1" t="s">
        <v>7508</v>
      </c>
      <c r="JUQ1" t="s">
        <v>7509</v>
      </c>
      <c r="JUR1" t="s">
        <v>7510</v>
      </c>
      <c r="JUS1" t="s">
        <v>7511</v>
      </c>
      <c r="JUT1" t="s">
        <v>7512</v>
      </c>
      <c r="JUU1" t="s">
        <v>7513</v>
      </c>
      <c r="JUV1" t="s">
        <v>7514</v>
      </c>
      <c r="JUW1" t="s">
        <v>7515</v>
      </c>
      <c r="JUX1" t="s">
        <v>7516</v>
      </c>
      <c r="JUY1" t="s">
        <v>7517</v>
      </c>
      <c r="JUZ1" t="s">
        <v>7518</v>
      </c>
      <c r="JVA1" t="s">
        <v>7519</v>
      </c>
      <c r="JVB1" t="s">
        <v>7520</v>
      </c>
      <c r="JVC1" t="s">
        <v>7521</v>
      </c>
      <c r="JVD1" t="s">
        <v>7522</v>
      </c>
      <c r="JVE1" t="s">
        <v>7523</v>
      </c>
      <c r="JVF1" t="s">
        <v>7524</v>
      </c>
      <c r="JVG1" t="s">
        <v>7525</v>
      </c>
      <c r="JVH1" t="s">
        <v>7526</v>
      </c>
      <c r="JVI1" t="s">
        <v>7527</v>
      </c>
      <c r="JVJ1" t="s">
        <v>7528</v>
      </c>
      <c r="JVK1" t="s">
        <v>7529</v>
      </c>
      <c r="JVL1" t="s">
        <v>7530</v>
      </c>
      <c r="JVM1" t="s">
        <v>7531</v>
      </c>
      <c r="JVN1" t="s">
        <v>7532</v>
      </c>
      <c r="JVO1" t="s">
        <v>7533</v>
      </c>
      <c r="JVP1" t="s">
        <v>7534</v>
      </c>
      <c r="JVQ1" t="s">
        <v>7535</v>
      </c>
      <c r="JVR1" t="s">
        <v>7536</v>
      </c>
      <c r="JVS1" t="s">
        <v>7537</v>
      </c>
      <c r="JVT1" t="s">
        <v>7538</v>
      </c>
      <c r="JVU1" t="s">
        <v>7539</v>
      </c>
      <c r="JVV1" t="s">
        <v>7540</v>
      </c>
      <c r="JVW1" t="s">
        <v>7541</v>
      </c>
      <c r="JVX1" t="s">
        <v>7542</v>
      </c>
      <c r="JVY1" t="s">
        <v>7543</v>
      </c>
      <c r="JVZ1" t="s">
        <v>7544</v>
      </c>
      <c r="JWA1" t="s">
        <v>7545</v>
      </c>
      <c r="JWB1" t="s">
        <v>7546</v>
      </c>
      <c r="JWC1" t="s">
        <v>7547</v>
      </c>
      <c r="JWD1" t="s">
        <v>7548</v>
      </c>
      <c r="JWE1" t="s">
        <v>7549</v>
      </c>
      <c r="JWF1" t="s">
        <v>7550</v>
      </c>
      <c r="JWG1" t="s">
        <v>7551</v>
      </c>
      <c r="JWH1" t="s">
        <v>7552</v>
      </c>
      <c r="JWI1" t="s">
        <v>7553</v>
      </c>
      <c r="JWJ1" t="s">
        <v>7554</v>
      </c>
      <c r="JWK1" t="s">
        <v>7555</v>
      </c>
      <c r="JWL1" t="s">
        <v>7556</v>
      </c>
      <c r="JWM1" t="s">
        <v>7557</v>
      </c>
      <c r="JWN1" t="s">
        <v>7558</v>
      </c>
      <c r="JWO1" t="s">
        <v>7559</v>
      </c>
      <c r="JWP1" t="s">
        <v>7560</v>
      </c>
      <c r="JWQ1" t="s">
        <v>7561</v>
      </c>
      <c r="JWR1" t="s">
        <v>7562</v>
      </c>
      <c r="JWS1" t="s">
        <v>7563</v>
      </c>
      <c r="JWT1" t="s">
        <v>7564</v>
      </c>
      <c r="JWU1" t="s">
        <v>7565</v>
      </c>
      <c r="JWV1" t="s">
        <v>7566</v>
      </c>
      <c r="JWW1" t="s">
        <v>7567</v>
      </c>
      <c r="JWX1" t="s">
        <v>7568</v>
      </c>
      <c r="JWY1" t="s">
        <v>7569</v>
      </c>
      <c r="JWZ1" t="s">
        <v>7570</v>
      </c>
      <c r="JXA1" t="s">
        <v>7571</v>
      </c>
      <c r="JXB1" t="s">
        <v>7572</v>
      </c>
      <c r="JXC1" t="s">
        <v>7573</v>
      </c>
      <c r="JXD1" t="s">
        <v>7574</v>
      </c>
      <c r="JXE1" t="s">
        <v>7575</v>
      </c>
      <c r="JXF1" t="s">
        <v>7576</v>
      </c>
      <c r="JXG1" t="s">
        <v>7577</v>
      </c>
      <c r="JXH1" t="s">
        <v>7578</v>
      </c>
      <c r="JXI1" t="s">
        <v>7579</v>
      </c>
      <c r="JXJ1" t="s">
        <v>7580</v>
      </c>
      <c r="JXK1" t="s">
        <v>7581</v>
      </c>
      <c r="JXL1" t="s">
        <v>7582</v>
      </c>
      <c r="JXM1" t="s">
        <v>7583</v>
      </c>
      <c r="JXN1" t="s">
        <v>7584</v>
      </c>
      <c r="JXO1" t="s">
        <v>7585</v>
      </c>
      <c r="JXP1" t="s">
        <v>7586</v>
      </c>
      <c r="JXQ1" t="s">
        <v>7587</v>
      </c>
      <c r="JXR1" t="s">
        <v>7588</v>
      </c>
      <c r="JXS1" t="s">
        <v>7589</v>
      </c>
      <c r="JXT1" t="s">
        <v>7590</v>
      </c>
      <c r="JXU1" t="s">
        <v>7591</v>
      </c>
      <c r="JXV1" t="s">
        <v>7592</v>
      </c>
      <c r="JXW1" t="s">
        <v>7593</v>
      </c>
      <c r="JXX1" t="s">
        <v>7594</v>
      </c>
      <c r="JXY1" t="s">
        <v>7595</v>
      </c>
      <c r="JXZ1" t="s">
        <v>7596</v>
      </c>
      <c r="JYA1" t="s">
        <v>7597</v>
      </c>
      <c r="JYB1" t="s">
        <v>7598</v>
      </c>
      <c r="JYC1" t="s">
        <v>7599</v>
      </c>
      <c r="JYD1" t="s">
        <v>7600</v>
      </c>
      <c r="JYE1" t="s">
        <v>7601</v>
      </c>
      <c r="JYF1" t="s">
        <v>7602</v>
      </c>
      <c r="JYG1" t="s">
        <v>7603</v>
      </c>
      <c r="JYH1" t="s">
        <v>7604</v>
      </c>
      <c r="JYI1" t="s">
        <v>7605</v>
      </c>
      <c r="JYJ1" t="s">
        <v>7606</v>
      </c>
      <c r="JYK1" t="s">
        <v>7607</v>
      </c>
      <c r="JYL1" t="s">
        <v>7608</v>
      </c>
      <c r="JYM1" t="s">
        <v>7609</v>
      </c>
      <c r="JYN1" t="s">
        <v>7610</v>
      </c>
      <c r="JYO1" t="s">
        <v>7611</v>
      </c>
      <c r="JYP1" t="s">
        <v>7612</v>
      </c>
      <c r="JYQ1" t="s">
        <v>7613</v>
      </c>
      <c r="JYR1" t="s">
        <v>7614</v>
      </c>
      <c r="JYS1" t="s">
        <v>7615</v>
      </c>
      <c r="JYT1" t="s">
        <v>7616</v>
      </c>
      <c r="JYU1" t="s">
        <v>7617</v>
      </c>
      <c r="JYV1" t="s">
        <v>7618</v>
      </c>
      <c r="JYW1" t="s">
        <v>7619</v>
      </c>
      <c r="JYX1" t="s">
        <v>7620</v>
      </c>
      <c r="JYY1" t="s">
        <v>7621</v>
      </c>
      <c r="JYZ1" t="s">
        <v>7622</v>
      </c>
      <c r="JZA1" t="s">
        <v>7623</v>
      </c>
      <c r="JZB1" t="s">
        <v>7624</v>
      </c>
      <c r="JZC1" t="s">
        <v>7625</v>
      </c>
      <c r="JZD1" t="s">
        <v>7626</v>
      </c>
      <c r="JZE1" t="s">
        <v>7627</v>
      </c>
      <c r="JZF1" t="s">
        <v>7628</v>
      </c>
      <c r="JZG1" t="s">
        <v>7629</v>
      </c>
      <c r="JZH1" t="s">
        <v>7630</v>
      </c>
      <c r="JZI1" t="s">
        <v>7631</v>
      </c>
      <c r="JZJ1" t="s">
        <v>7632</v>
      </c>
      <c r="JZK1" t="s">
        <v>7633</v>
      </c>
      <c r="JZL1" t="s">
        <v>7634</v>
      </c>
      <c r="JZM1" t="s">
        <v>7635</v>
      </c>
      <c r="JZN1" t="s">
        <v>7636</v>
      </c>
      <c r="JZO1" t="s">
        <v>7637</v>
      </c>
      <c r="JZP1" t="s">
        <v>7638</v>
      </c>
      <c r="JZQ1" t="s">
        <v>7639</v>
      </c>
      <c r="JZR1" t="s">
        <v>7640</v>
      </c>
      <c r="JZS1" t="s">
        <v>7641</v>
      </c>
      <c r="JZT1" t="s">
        <v>7642</v>
      </c>
      <c r="JZU1" t="s">
        <v>7643</v>
      </c>
      <c r="JZV1" t="s">
        <v>7644</v>
      </c>
      <c r="JZW1" t="s">
        <v>7645</v>
      </c>
      <c r="JZX1" t="s">
        <v>7646</v>
      </c>
      <c r="JZY1" t="s">
        <v>7647</v>
      </c>
      <c r="JZZ1" t="s">
        <v>7648</v>
      </c>
      <c r="KAA1" t="s">
        <v>7649</v>
      </c>
      <c r="KAB1" t="s">
        <v>7650</v>
      </c>
      <c r="KAC1" t="s">
        <v>7651</v>
      </c>
      <c r="KAD1" t="s">
        <v>7652</v>
      </c>
      <c r="KAE1" t="s">
        <v>7653</v>
      </c>
      <c r="KAF1" t="s">
        <v>7654</v>
      </c>
      <c r="KAG1" t="s">
        <v>7655</v>
      </c>
      <c r="KAH1" t="s">
        <v>7656</v>
      </c>
      <c r="KAI1" t="s">
        <v>7657</v>
      </c>
      <c r="KAJ1" t="s">
        <v>7658</v>
      </c>
      <c r="KAK1" t="s">
        <v>7659</v>
      </c>
      <c r="KAL1" t="s">
        <v>7660</v>
      </c>
      <c r="KAM1" t="s">
        <v>7661</v>
      </c>
      <c r="KAN1" t="s">
        <v>7662</v>
      </c>
      <c r="KAO1" t="s">
        <v>7663</v>
      </c>
      <c r="KAP1" t="s">
        <v>7664</v>
      </c>
      <c r="KAQ1" t="s">
        <v>7665</v>
      </c>
      <c r="KAR1" t="s">
        <v>7666</v>
      </c>
      <c r="KAS1" t="s">
        <v>7667</v>
      </c>
      <c r="KAT1" t="s">
        <v>7668</v>
      </c>
      <c r="KAU1" t="s">
        <v>7669</v>
      </c>
      <c r="KAV1" t="s">
        <v>7670</v>
      </c>
      <c r="KAW1" t="s">
        <v>7671</v>
      </c>
      <c r="KAX1" t="s">
        <v>7672</v>
      </c>
      <c r="KAY1" t="s">
        <v>7673</v>
      </c>
      <c r="KAZ1" t="s">
        <v>7674</v>
      </c>
      <c r="KBA1" t="s">
        <v>7675</v>
      </c>
      <c r="KBB1" t="s">
        <v>7676</v>
      </c>
      <c r="KBC1" t="s">
        <v>7677</v>
      </c>
      <c r="KBD1" t="s">
        <v>7678</v>
      </c>
      <c r="KBE1" t="s">
        <v>7679</v>
      </c>
      <c r="KBF1" t="s">
        <v>7680</v>
      </c>
      <c r="KBG1" t="s">
        <v>7681</v>
      </c>
      <c r="KBH1" t="s">
        <v>7682</v>
      </c>
      <c r="KBI1" t="s">
        <v>7683</v>
      </c>
      <c r="KBJ1" t="s">
        <v>7684</v>
      </c>
      <c r="KBK1" t="s">
        <v>7685</v>
      </c>
      <c r="KBL1" t="s">
        <v>7686</v>
      </c>
      <c r="KBM1" t="s">
        <v>7687</v>
      </c>
      <c r="KBN1" t="s">
        <v>7688</v>
      </c>
      <c r="KBO1" t="s">
        <v>7689</v>
      </c>
      <c r="KBP1" t="s">
        <v>7690</v>
      </c>
      <c r="KBQ1" t="s">
        <v>7691</v>
      </c>
      <c r="KBR1" t="s">
        <v>7692</v>
      </c>
      <c r="KBS1" t="s">
        <v>7693</v>
      </c>
      <c r="KBT1" t="s">
        <v>7694</v>
      </c>
      <c r="KBU1" t="s">
        <v>7695</v>
      </c>
      <c r="KBV1" t="s">
        <v>7696</v>
      </c>
      <c r="KBW1" t="s">
        <v>7697</v>
      </c>
      <c r="KBX1" t="s">
        <v>7698</v>
      </c>
      <c r="KBY1" t="s">
        <v>7699</v>
      </c>
      <c r="KBZ1" t="s">
        <v>7700</v>
      </c>
      <c r="KCA1" t="s">
        <v>7701</v>
      </c>
      <c r="KCB1" t="s">
        <v>7702</v>
      </c>
      <c r="KCC1" t="s">
        <v>7703</v>
      </c>
      <c r="KCD1" t="s">
        <v>7704</v>
      </c>
      <c r="KCE1" t="s">
        <v>7705</v>
      </c>
      <c r="KCF1" t="s">
        <v>7706</v>
      </c>
      <c r="KCG1" t="s">
        <v>7707</v>
      </c>
      <c r="KCH1" t="s">
        <v>7708</v>
      </c>
      <c r="KCI1" t="s">
        <v>7709</v>
      </c>
      <c r="KCJ1" t="s">
        <v>7710</v>
      </c>
      <c r="KCK1" t="s">
        <v>7711</v>
      </c>
      <c r="KCL1" t="s">
        <v>7712</v>
      </c>
      <c r="KCM1" t="s">
        <v>7713</v>
      </c>
      <c r="KCN1" t="s">
        <v>7714</v>
      </c>
      <c r="KCO1" t="s">
        <v>7715</v>
      </c>
      <c r="KCP1" t="s">
        <v>7716</v>
      </c>
      <c r="KCQ1" t="s">
        <v>7717</v>
      </c>
      <c r="KCR1" t="s">
        <v>7718</v>
      </c>
      <c r="KCS1" t="s">
        <v>7719</v>
      </c>
      <c r="KCT1" t="s">
        <v>7720</v>
      </c>
      <c r="KCU1" t="s">
        <v>7721</v>
      </c>
      <c r="KCV1" t="s">
        <v>7722</v>
      </c>
      <c r="KCW1" t="s">
        <v>7723</v>
      </c>
      <c r="KCX1" t="s">
        <v>7724</v>
      </c>
      <c r="KCY1" t="s">
        <v>7725</v>
      </c>
      <c r="KCZ1" t="s">
        <v>7726</v>
      </c>
      <c r="KDA1" t="s">
        <v>7727</v>
      </c>
      <c r="KDB1" t="s">
        <v>7728</v>
      </c>
      <c r="KDC1" t="s">
        <v>7729</v>
      </c>
      <c r="KDD1" t="s">
        <v>7730</v>
      </c>
      <c r="KDE1" t="s">
        <v>7731</v>
      </c>
      <c r="KDF1" t="s">
        <v>7732</v>
      </c>
      <c r="KDG1" t="s">
        <v>7733</v>
      </c>
      <c r="KDH1" t="s">
        <v>7734</v>
      </c>
      <c r="KDI1" t="s">
        <v>7735</v>
      </c>
      <c r="KDJ1" t="s">
        <v>7736</v>
      </c>
      <c r="KDK1" t="s">
        <v>7737</v>
      </c>
      <c r="KDL1" t="s">
        <v>7738</v>
      </c>
      <c r="KDM1" t="s">
        <v>7739</v>
      </c>
      <c r="KDN1" t="s">
        <v>7740</v>
      </c>
      <c r="KDO1" t="s">
        <v>7741</v>
      </c>
      <c r="KDP1" t="s">
        <v>7742</v>
      </c>
      <c r="KDQ1" t="s">
        <v>7743</v>
      </c>
      <c r="KDR1" t="s">
        <v>7744</v>
      </c>
      <c r="KDS1" t="s">
        <v>7745</v>
      </c>
      <c r="KDT1" t="s">
        <v>7746</v>
      </c>
      <c r="KDU1" t="s">
        <v>7747</v>
      </c>
      <c r="KDV1" t="s">
        <v>7748</v>
      </c>
      <c r="KDW1" t="s">
        <v>7749</v>
      </c>
      <c r="KDX1" t="s">
        <v>7750</v>
      </c>
      <c r="KDY1" t="s">
        <v>7751</v>
      </c>
      <c r="KDZ1" t="s">
        <v>7752</v>
      </c>
      <c r="KEA1" t="s">
        <v>7753</v>
      </c>
      <c r="KEB1" t="s">
        <v>7754</v>
      </c>
      <c r="KEC1" t="s">
        <v>7755</v>
      </c>
      <c r="KED1" t="s">
        <v>7756</v>
      </c>
      <c r="KEE1" t="s">
        <v>7757</v>
      </c>
      <c r="KEF1" t="s">
        <v>7758</v>
      </c>
      <c r="KEG1" t="s">
        <v>7759</v>
      </c>
      <c r="KEH1" t="s">
        <v>7760</v>
      </c>
      <c r="KEI1" t="s">
        <v>7761</v>
      </c>
      <c r="KEJ1" t="s">
        <v>7762</v>
      </c>
      <c r="KEK1" t="s">
        <v>7763</v>
      </c>
      <c r="KEL1" t="s">
        <v>7764</v>
      </c>
      <c r="KEM1" t="s">
        <v>7765</v>
      </c>
      <c r="KEN1" t="s">
        <v>7766</v>
      </c>
      <c r="KEO1" t="s">
        <v>7767</v>
      </c>
      <c r="KEP1" t="s">
        <v>7768</v>
      </c>
      <c r="KEQ1" t="s">
        <v>7769</v>
      </c>
      <c r="KER1" t="s">
        <v>7770</v>
      </c>
      <c r="KES1" t="s">
        <v>7771</v>
      </c>
      <c r="KET1" t="s">
        <v>7772</v>
      </c>
      <c r="KEU1" t="s">
        <v>7773</v>
      </c>
      <c r="KEV1" t="s">
        <v>7774</v>
      </c>
      <c r="KEW1" t="s">
        <v>7775</v>
      </c>
      <c r="KEX1" t="s">
        <v>7776</v>
      </c>
      <c r="KEY1" t="s">
        <v>7777</v>
      </c>
      <c r="KEZ1" t="s">
        <v>7778</v>
      </c>
      <c r="KFA1" t="s">
        <v>7779</v>
      </c>
      <c r="KFB1" t="s">
        <v>7780</v>
      </c>
      <c r="KFC1" t="s">
        <v>7781</v>
      </c>
      <c r="KFD1" t="s">
        <v>7782</v>
      </c>
      <c r="KFE1" t="s">
        <v>7783</v>
      </c>
      <c r="KFF1" t="s">
        <v>7784</v>
      </c>
      <c r="KFG1" t="s">
        <v>7785</v>
      </c>
      <c r="KFH1" t="s">
        <v>7786</v>
      </c>
      <c r="KFI1" t="s">
        <v>7787</v>
      </c>
      <c r="KFJ1" t="s">
        <v>7788</v>
      </c>
      <c r="KFK1" t="s">
        <v>7789</v>
      </c>
      <c r="KFL1" t="s">
        <v>7790</v>
      </c>
      <c r="KFM1" t="s">
        <v>7791</v>
      </c>
      <c r="KFN1" t="s">
        <v>7792</v>
      </c>
      <c r="KFO1" t="s">
        <v>7793</v>
      </c>
      <c r="KFP1" t="s">
        <v>7794</v>
      </c>
      <c r="KFQ1" t="s">
        <v>7795</v>
      </c>
      <c r="KFR1" t="s">
        <v>7796</v>
      </c>
      <c r="KFS1" t="s">
        <v>7797</v>
      </c>
      <c r="KFT1" t="s">
        <v>7798</v>
      </c>
      <c r="KFU1" t="s">
        <v>7799</v>
      </c>
      <c r="KFV1" t="s">
        <v>7800</v>
      </c>
      <c r="KFW1" t="s">
        <v>7801</v>
      </c>
      <c r="KFX1" t="s">
        <v>7802</v>
      </c>
      <c r="KFY1" t="s">
        <v>7803</v>
      </c>
      <c r="KFZ1" t="s">
        <v>7804</v>
      </c>
      <c r="KGA1" t="s">
        <v>7805</v>
      </c>
      <c r="KGB1" t="s">
        <v>7806</v>
      </c>
      <c r="KGC1" t="s">
        <v>7807</v>
      </c>
      <c r="KGD1" t="s">
        <v>7808</v>
      </c>
      <c r="KGE1" t="s">
        <v>7809</v>
      </c>
      <c r="KGF1" t="s">
        <v>7810</v>
      </c>
      <c r="KGG1" t="s">
        <v>7811</v>
      </c>
      <c r="KGH1" t="s">
        <v>7812</v>
      </c>
      <c r="KGI1" t="s">
        <v>7813</v>
      </c>
      <c r="KGJ1" t="s">
        <v>7814</v>
      </c>
      <c r="KGK1" t="s">
        <v>7815</v>
      </c>
      <c r="KGL1" t="s">
        <v>7816</v>
      </c>
      <c r="KGM1" t="s">
        <v>7817</v>
      </c>
      <c r="KGN1" t="s">
        <v>7818</v>
      </c>
      <c r="KGO1" t="s">
        <v>7819</v>
      </c>
      <c r="KGP1" t="s">
        <v>7820</v>
      </c>
      <c r="KGQ1" t="s">
        <v>7821</v>
      </c>
      <c r="KGR1" t="s">
        <v>7822</v>
      </c>
      <c r="KGS1" t="s">
        <v>7823</v>
      </c>
      <c r="KGT1" t="s">
        <v>7824</v>
      </c>
      <c r="KGU1" t="s">
        <v>7825</v>
      </c>
      <c r="KGV1" t="s">
        <v>7826</v>
      </c>
      <c r="KGW1" t="s">
        <v>7827</v>
      </c>
      <c r="KGX1" t="s">
        <v>7828</v>
      </c>
      <c r="KGY1" t="s">
        <v>7829</v>
      </c>
      <c r="KGZ1" t="s">
        <v>7830</v>
      </c>
      <c r="KHA1" t="s">
        <v>7831</v>
      </c>
      <c r="KHB1" t="s">
        <v>7832</v>
      </c>
      <c r="KHC1" t="s">
        <v>7833</v>
      </c>
      <c r="KHD1" t="s">
        <v>7834</v>
      </c>
      <c r="KHE1" t="s">
        <v>7835</v>
      </c>
      <c r="KHF1" t="s">
        <v>7836</v>
      </c>
      <c r="KHG1" t="s">
        <v>7837</v>
      </c>
      <c r="KHH1" t="s">
        <v>7838</v>
      </c>
      <c r="KHI1" t="s">
        <v>7839</v>
      </c>
      <c r="KHJ1" t="s">
        <v>7840</v>
      </c>
      <c r="KHK1" t="s">
        <v>7841</v>
      </c>
      <c r="KHL1" t="s">
        <v>7842</v>
      </c>
      <c r="KHM1" t="s">
        <v>7843</v>
      </c>
      <c r="KHN1" t="s">
        <v>7844</v>
      </c>
      <c r="KHO1" t="s">
        <v>7845</v>
      </c>
      <c r="KHP1" t="s">
        <v>7846</v>
      </c>
      <c r="KHQ1" t="s">
        <v>7847</v>
      </c>
      <c r="KHR1" t="s">
        <v>7848</v>
      </c>
      <c r="KHS1" t="s">
        <v>7849</v>
      </c>
      <c r="KHT1" t="s">
        <v>7850</v>
      </c>
      <c r="KHU1" t="s">
        <v>7851</v>
      </c>
      <c r="KHV1" t="s">
        <v>7852</v>
      </c>
      <c r="KHW1" t="s">
        <v>7853</v>
      </c>
      <c r="KHX1" t="s">
        <v>7854</v>
      </c>
      <c r="KHY1" t="s">
        <v>7855</v>
      </c>
      <c r="KHZ1" t="s">
        <v>7856</v>
      </c>
      <c r="KIA1" t="s">
        <v>7857</v>
      </c>
      <c r="KIB1" t="s">
        <v>7858</v>
      </c>
      <c r="KIC1" t="s">
        <v>7859</v>
      </c>
      <c r="KID1" t="s">
        <v>7860</v>
      </c>
      <c r="KIE1" t="s">
        <v>7861</v>
      </c>
      <c r="KIF1" t="s">
        <v>7862</v>
      </c>
      <c r="KIG1" t="s">
        <v>7863</v>
      </c>
      <c r="KIH1" t="s">
        <v>7864</v>
      </c>
      <c r="KII1" t="s">
        <v>7865</v>
      </c>
      <c r="KIJ1" t="s">
        <v>7866</v>
      </c>
      <c r="KIK1" t="s">
        <v>7867</v>
      </c>
      <c r="KIL1" t="s">
        <v>7868</v>
      </c>
      <c r="KIM1" t="s">
        <v>7869</v>
      </c>
      <c r="KIN1" t="s">
        <v>7870</v>
      </c>
      <c r="KIO1" t="s">
        <v>7871</v>
      </c>
      <c r="KIP1" t="s">
        <v>7872</v>
      </c>
      <c r="KIQ1" t="s">
        <v>7873</v>
      </c>
      <c r="KIR1" t="s">
        <v>7874</v>
      </c>
      <c r="KIS1" t="s">
        <v>7875</v>
      </c>
      <c r="KIT1" t="s">
        <v>7876</v>
      </c>
      <c r="KIU1" t="s">
        <v>7877</v>
      </c>
      <c r="KIV1" t="s">
        <v>7878</v>
      </c>
      <c r="KIW1" t="s">
        <v>7879</v>
      </c>
      <c r="KIX1" t="s">
        <v>7880</v>
      </c>
      <c r="KIY1" t="s">
        <v>7881</v>
      </c>
      <c r="KIZ1" t="s">
        <v>7882</v>
      </c>
      <c r="KJA1" t="s">
        <v>7883</v>
      </c>
      <c r="KJB1" t="s">
        <v>7884</v>
      </c>
      <c r="KJC1" t="s">
        <v>7885</v>
      </c>
      <c r="KJD1" t="s">
        <v>7886</v>
      </c>
      <c r="KJE1" t="s">
        <v>7887</v>
      </c>
      <c r="KJF1" t="s">
        <v>7888</v>
      </c>
      <c r="KJG1" t="s">
        <v>7889</v>
      </c>
      <c r="KJH1" t="s">
        <v>7890</v>
      </c>
      <c r="KJI1" t="s">
        <v>7891</v>
      </c>
      <c r="KJJ1" t="s">
        <v>7892</v>
      </c>
      <c r="KJK1" t="s">
        <v>7893</v>
      </c>
      <c r="KJL1" t="s">
        <v>7894</v>
      </c>
      <c r="KJM1" t="s">
        <v>7895</v>
      </c>
      <c r="KJN1" t="s">
        <v>7896</v>
      </c>
      <c r="KJO1" t="s">
        <v>7897</v>
      </c>
      <c r="KJP1" t="s">
        <v>7898</v>
      </c>
      <c r="KJQ1" t="s">
        <v>7899</v>
      </c>
      <c r="KJR1" t="s">
        <v>7900</v>
      </c>
      <c r="KJS1" t="s">
        <v>7901</v>
      </c>
      <c r="KJT1" t="s">
        <v>7902</v>
      </c>
      <c r="KJU1" t="s">
        <v>7903</v>
      </c>
      <c r="KJV1" t="s">
        <v>7904</v>
      </c>
      <c r="KJW1" t="s">
        <v>7905</v>
      </c>
      <c r="KJX1" t="s">
        <v>7906</v>
      </c>
      <c r="KJY1" t="s">
        <v>7907</v>
      </c>
      <c r="KJZ1" t="s">
        <v>7908</v>
      </c>
      <c r="KKA1" t="s">
        <v>7909</v>
      </c>
      <c r="KKB1" t="s">
        <v>7910</v>
      </c>
      <c r="KKC1" t="s">
        <v>7911</v>
      </c>
      <c r="KKD1" t="s">
        <v>7912</v>
      </c>
      <c r="KKE1" t="s">
        <v>7913</v>
      </c>
      <c r="KKF1" t="s">
        <v>7914</v>
      </c>
      <c r="KKG1" t="s">
        <v>7915</v>
      </c>
      <c r="KKH1" t="s">
        <v>7916</v>
      </c>
      <c r="KKI1" t="s">
        <v>7917</v>
      </c>
      <c r="KKJ1" t="s">
        <v>7918</v>
      </c>
      <c r="KKK1" t="s">
        <v>7919</v>
      </c>
      <c r="KKL1" t="s">
        <v>7920</v>
      </c>
      <c r="KKM1" t="s">
        <v>7921</v>
      </c>
      <c r="KKN1" t="s">
        <v>7922</v>
      </c>
      <c r="KKO1" t="s">
        <v>7923</v>
      </c>
      <c r="KKP1" t="s">
        <v>7924</v>
      </c>
      <c r="KKQ1" t="s">
        <v>7925</v>
      </c>
      <c r="KKR1" t="s">
        <v>7926</v>
      </c>
      <c r="KKS1" t="s">
        <v>7927</v>
      </c>
      <c r="KKT1" t="s">
        <v>7928</v>
      </c>
      <c r="KKU1" t="s">
        <v>7929</v>
      </c>
      <c r="KKV1" t="s">
        <v>7930</v>
      </c>
      <c r="KKW1" t="s">
        <v>7931</v>
      </c>
      <c r="KKX1" t="s">
        <v>7932</v>
      </c>
      <c r="KKY1" t="s">
        <v>7933</v>
      </c>
      <c r="KKZ1" t="s">
        <v>7934</v>
      </c>
      <c r="KLA1" t="s">
        <v>7935</v>
      </c>
      <c r="KLB1" t="s">
        <v>7936</v>
      </c>
      <c r="KLC1" t="s">
        <v>7937</v>
      </c>
      <c r="KLD1" t="s">
        <v>7938</v>
      </c>
      <c r="KLE1" t="s">
        <v>7939</v>
      </c>
      <c r="KLF1" t="s">
        <v>7940</v>
      </c>
      <c r="KLG1" t="s">
        <v>7941</v>
      </c>
      <c r="KLH1" t="s">
        <v>7942</v>
      </c>
      <c r="KLI1" t="s">
        <v>7943</v>
      </c>
      <c r="KLJ1" t="s">
        <v>7944</v>
      </c>
      <c r="KLK1" t="s">
        <v>7945</v>
      </c>
      <c r="KLL1" t="s">
        <v>7946</v>
      </c>
      <c r="KLM1" t="s">
        <v>7947</v>
      </c>
      <c r="KLN1" t="s">
        <v>7948</v>
      </c>
      <c r="KLO1" t="s">
        <v>7949</v>
      </c>
      <c r="KLP1" t="s">
        <v>7950</v>
      </c>
      <c r="KLQ1" t="s">
        <v>7951</v>
      </c>
      <c r="KLR1" t="s">
        <v>7952</v>
      </c>
      <c r="KLS1" t="s">
        <v>7953</v>
      </c>
      <c r="KLT1" t="s">
        <v>7954</v>
      </c>
      <c r="KLU1" t="s">
        <v>7955</v>
      </c>
      <c r="KLV1" t="s">
        <v>7956</v>
      </c>
      <c r="KLW1" t="s">
        <v>7957</v>
      </c>
      <c r="KLX1" t="s">
        <v>7958</v>
      </c>
      <c r="KLY1" t="s">
        <v>7959</v>
      </c>
      <c r="KLZ1" t="s">
        <v>7960</v>
      </c>
      <c r="KMA1" t="s">
        <v>7961</v>
      </c>
      <c r="KMB1" t="s">
        <v>7962</v>
      </c>
      <c r="KMC1" t="s">
        <v>7963</v>
      </c>
      <c r="KMD1" t="s">
        <v>7964</v>
      </c>
      <c r="KME1" t="s">
        <v>7965</v>
      </c>
      <c r="KMF1" t="s">
        <v>7966</v>
      </c>
      <c r="KMG1" t="s">
        <v>7967</v>
      </c>
      <c r="KMH1" t="s">
        <v>7968</v>
      </c>
      <c r="KMI1" t="s">
        <v>7969</v>
      </c>
      <c r="KMJ1" t="s">
        <v>7970</v>
      </c>
      <c r="KMK1" t="s">
        <v>7971</v>
      </c>
      <c r="KML1" t="s">
        <v>7972</v>
      </c>
      <c r="KMM1" t="s">
        <v>7973</v>
      </c>
      <c r="KMN1" t="s">
        <v>7974</v>
      </c>
      <c r="KMO1" t="s">
        <v>7975</v>
      </c>
      <c r="KMP1" t="s">
        <v>7976</v>
      </c>
      <c r="KMQ1" t="s">
        <v>7977</v>
      </c>
      <c r="KMR1" t="s">
        <v>7978</v>
      </c>
      <c r="KMS1" t="s">
        <v>7979</v>
      </c>
      <c r="KMT1" t="s">
        <v>7980</v>
      </c>
      <c r="KMU1" t="s">
        <v>7981</v>
      </c>
      <c r="KMV1" t="s">
        <v>7982</v>
      </c>
      <c r="KMW1" t="s">
        <v>7983</v>
      </c>
      <c r="KMX1" t="s">
        <v>7984</v>
      </c>
      <c r="KMY1" t="s">
        <v>7985</v>
      </c>
      <c r="KMZ1" t="s">
        <v>7986</v>
      </c>
      <c r="KNA1" t="s">
        <v>7987</v>
      </c>
      <c r="KNB1" t="s">
        <v>7988</v>
      </c>
      <c r="KNC1" t="s">
        <v>7989</v>
      </c>
      <c r="KND1" t="s">
        <v>7990</v>
      </c>
      <c r="KNE1" t="s">
        <v>7991</v>
      </c>
      <c r="KNF1" t="s">
        <v>7992</v>
      </c>
      <c r="KNG1" t="s">
        <v>7993</v>
      </c>
      <c r="KNH1" t="s">
        <v>7994</v>
      </c>
      <c r="KNI1" t="s">
        <v>7995</v>
      </c>
      <c r="KNJ1" t="s">
        <v>7996</v>
      </c>
      <c r="KNK1" t="s">
        <v>7997</v>
      </c>
      <c r="KNL1" t="s">
        <v>7998</v>
      </c>
      <c r="KNM1" t="s">
        <v>7999</v>
      </c>
      <c r="KNN1" t="s">
        <v>8000</v>
      </c>
      <c r="KNO1" t="s">
        <v>8001</v>
      </c>
      <c r="KNP1" t="s">
        <v>8002</v>
      </c>
      <c r="KNQ1" t="s">
        <v>8003</v>
      </c>
      <c r="KNR1" t="s">
        <v>8004</v>
      </c>
      <c r="KNS1" t="s">
        <v>8005</v>
      </c>
      <c r="KNT1" t="s">
        <v>8006</v>
      </c>
      <c r="KNU1" t="s">
        <v>8007</v>
      </c>
      <c r="KNV1" t="s">
        <v>8008</v>
      </c>
      <c r="KNW1" t="s">
        <v>8009</v>
      </c>
      <c r="KNX1" t="s">
        <v>8010</v>
      </c>
      <c r="KNY1" t="s">
        <v>8011</v>
      </c>
      <c r="KNZ1" t="s">
        <v>8012</v>
      </c>
      <c r="KOA1" t="s">
        <v>8013</v>
      </c>
      <c r="KOB1" t="s">
        <v>8014</v>
      </c>
      <c r="KOC1" t="s">
        <v>8015</v>
      </c>
      <c r="KOD1" t="s">
        <v>8016</v>
      </c>
      <c r="KOE1" t="s">
        <v>8017</v>
      </c>
      <c r="KOF1" t="s">
        <v>8018</v>
      </c>
      <c r="KOG1" t="s">
        <v>8019</v>
      </c>
      <c r="KOH1" t="s">
        <v>8020</v>
      </c>
      <c r="KOI1" t="s">
        <v>8021</v>
      </c>
      <c r="KOJ1" t="s">
        <v>8022</v>
      </c>
      <c r="KOK1" t="s">
        <v>8023</v>
      </c>
      <c r="KOL1" t="s">
        <v>8024</v>
      </c>
      <c r="KOM1" t="s">
        <v>8025</v>
      </c>
      <c r="KON1" t="s">
        <v>8026</v>
      </c>
      <c r="KOO1" t="s">
        <v>8027</v>
      </c>
      <c r="KOP1" t="s">
        <v>8028</v>
      </c>
      <c r="KOQ1" t="s">
        <v>8029</v>
      </c>
      <c r="KOR1" t="s">
        <v>8030</v>
      </c>
      <c r="KOS1" t="s">
        <v>8031</v>
      </c>
      <c r="KOT1" t="s">
        <v>8032</v>
      </c>
      <c r="KOU1" t="s">
        <v>8033</v>
      </c>
      <c r="KOV1" t="s">
        <v>8034</v>
      </c>
      <c r="KOW1" t="s">
        <v>8035</v>
      </c>
      <c r="KOX1" t="s">
        <v>8036</v>
      </c>
      <c r="KOY1" t="s">
        <v>8037</v>
      </c>
      <c r="KOZ1" t="s">
        <v>8038</v>
      </c>
      <c r="KPA1" t="s">
        <v>8039</v>
      </c>
      <c r="KPB1" t="s">
        <v>8040</v>
      </c>
      <c r="KPC1" t="s">
        <v>8041</v>
      </c>
      <c r="KPD1" t="s">
        <v>8042</v>
      </c>
      <c r="KPE1" t="s">
        <v>8043</v>
      </c>
      <c r="KPF1" t="s">
        <v>8044</v>
      </c>
      <c r="KPG1" t="s">
        <v>8045</v>
      </c>
      <c r="KPH1" t="s">
        <v>8046</v>
      </c>
      <c r="KPI1" t="s">
        <v>8047</v>
      </c>
      <c r="KPJ1" t="s">
        <v>8048</v>
      </c>
      <c r="KPK1" t="s">
        <v>8049</v>
      </c>
      <c r="KPL1" t="s">
        <v>8050</v>
      </c>
      <c r="KPM1" t="s">
        <v>8051</v>
      </c>
      <c r="KPN1" t="s">
        <v>8052</v>
      </c>
      <c r="KPO1" t="s">
        <v>8053</v>
      </c>
      <c r="KPP1" t="s">
        <v>8054</v>
      </c>
      <c r="KPQ1" t="s">
        <v>8055</v>
      </c>
      <c r="KPR1" t="s">
        <v>8056</v>
      </c>
      <c r="KPS1" t="s">
        <v>8057</v>
      </c>
      <c r="KPT1" t="s">
        <v>8058</v>
      </c>
      <c r="KPU1" t="s">
        <v>8059</v>
      </c>
      <c r="KPV1" t="s">
        <v>8060</v>
      </c>
      <c r="KPW1" t="s">
        <v>8061</v>
      </c>
      <c r="KPX1" t="s">
        <v>8062</v>
      </c>
      <c r="KPY1" t="s">
        <v>8063</v>
      </c>
      <c r="KPZ1" t="s">
        <v>8064</v>
      </c>
      <c r="KQA1" t="s">
        <v>8065</v>
      </c>
      <c r="KQB1" t="s">
        <v>8066</v>
      </c>
      <c r="KQC1" t="s">
        <v>8067</v>
      </c>
      <c r="KQD1" t="s">
        <v>8068</v>
      </c>
      <c r="KQE1" t="s">
        <v>8069</v>
      </c>
      <c r="KQF1" t="s">
        <v>8070</v>
      </c>
      <c r="KQG1" t="s">
        <v>8071</v>
      </c>
      <c r="KQH1" t="s">
        <v>8072</v>
      </c>
      <c r="KQI1" t="s">
        <v>8073</v>
      </c>
      <c r="KQJ1" t="s">
        <v>8074</v>
      </c>
      <c r="KQK1" t="s">
        <v>8075</v>
      </c>
      <c r="KQL1" t="s">
        <v>8076</v>
      </c>
      <c r="KQM1" t="s">
        <v>8077</v>
      </c>
      <c r="KQN1" t="s">
        <v>8078</v>
      </c>
      <c r="KQO1" t="s">
        <v>8079</v>
      </c>
      <c r="KQP1" t="s">
        <v>8080</v>
      </c>
      <c r="KQQ1" t="s">
        <v>8081</v>
      </c>
      <c r="KQR1" t="s">
        <v>8082</v>
      </c>
      <c r="KQS1" t="s">
        <v>8083</v>
      </c>
      <c r="KQT1" t="s">
        <v>8084</v>
      </c>
      <c r="KQU1" t="s">
        <v>8085</v>
      </c>
      <c r="KQV1" t="s">
        <v>8086</v>
      </c>
      <c r="KQW1" t="s">
        <v>8087</v>
      </c>
      <c r="KQX1" t="s">
        <v>8088</v>
      </c>
      <c r="KQY1" t="s">
        <v>8089</v>
      </c>
      <c r="KQZ1" t="s">
        <v>8090</v>
      </c>
      <c r="KRA1" t="s">
        <v>8091</v>
      </c>
      <c r="KRB1" t="s">
        <v>8092</v>
      </c>
      <c r="KRC1" t="s">
        <v>8093</v>
      </c>
      <c r="KRD1" t="s">
        <v>8094</v>
      </c>
      <c r="KRE1" t="s">
        <v>8095</v>
      </c>
      <c r="KRF1" t="s">
        <v>8096</v>
      </c>
      <c r="KRG1" t="s">
        <v>8097</v>
      </c>
      <c r="KRH1" t="s">
        <v>8098</v>
      </c>
      <c r="KRI1" t="s">
        <v>8099</v>
      </c>
      <c r="KRJ1" t="s">
        <v>8100</v>
      </c>
      <c r="KRK1" t="s">
        <v>8101</v>
      </c>
      <c r="KRL1" t="s">
        <v>8102</v>
      </c>
      <c r="KRM1" t="s">
        <v>8103</v>
      </c>
      <c r="KRN1" t="s">
        <v>8104</v>
      </c>
      <c r="KRO1" t="s">
        <v>8105</v>
      </c>
      <c r="KRP1" t="s">
        <v>8106</v>
      </c>
      <c r="KRQ1" t="s">
        <v>8107</v>
      </c>
      <c r="KRR1" t="s">
        <v>8108</v>
      </c>
      <c r="KRS1" t="s">
        <v>8109</v>
      </c>
      <c r="KRT1" t="s">
        <v>8110</v>
      </c>
      <c r="KRU1" t="s">
        <v>8111</v>
      </c>
      <c r="KRV1" t="s">
        <v>8112</v>
      </c>
      <c r="KRW1" t="s">
        <v>8113</v>
      </c>
      <c r="KRX1" t="s">
        <v>8114</v>
      </c>
      <c r="KRY1" t="s">
        <v>8115</v>
      </c>
      <c r="KRZ1" t="s">
        <v>8116</v>
      </c>
      <c r="KSA1" t="s">
        <v>8117</v>
      </c>
      <c r="KSB1" t="s">
        <v>8118</v>
      </c>
      <c r="KSC1" t="s">
        <v>8119</v>
      </c>
      <c r="KSD1" t="s">
        <v>8120</v>
      </c>
      <c r="KSE1" t="s">
        <v>8121</v>
      </c>
      <c r="KSF1" t="s">
        <v>8122</v>
      </c>
      <c r="KSG1" t="s">
        <v>8123</v>
      </c>
      <c r="KSH1" t="s">
        <v>8124</v>
      </c>
      <c r="KSI1" t="s">
        <v>8125</v>
      </c>
      <c r="KSJ1" t="s">
        <v>8126</v>
      </c>
      <c r="KSK1" t="s">
        <v>8127</v>
      </c>
      <c r="KSL1" t="s">
        <v>8128</v>
      </c>
      <c r="KSM1" t="s">
        <v>8129</v>
      </c>
      <c r="KSN1" t="s">
        <v>8130</v>
      </c>
      <c r="KSO1" t="s">
        <v>8131</v>
      </c>
      <c r="KSP1" t="s">
        <v>8132</v>
      </c>
      <c r="KSQ1" t="s">
        <v>8133</v>
      </c>
      <c r="KSR1" t="s">
        <v>8134</v>
      </c>
      <c r="KSS1" t="s">
        <v>8135</v>
      </c>
      <c r="KST1" t="s">
        <v>8136</v>
      </c>
      <c r="KSU1" t="s">
        <v>8137</v>
      </c>
      <c r="KSV1" t="s">
        <v>8138</v>
      </c>
      <c r="KSW1" t="s">
        <v>8139</v>
      </c>
      <c r="KSX1" t="s">
        <v>8140</v>
      </c>
      <c r="KSY1" t="s">
        <v>8141</v>
      </c>
      <c r="KSZ1" t="s">
        <v>8142</v>
      </c>
      <c r="KTA1" t="s">
        <v>8143</v>
      </c>
      <c r="KTB1" t="s">
        <v>8144</v>
      </c>
      <c r="KTC1" t="s">
        <v>8145</v>
      </c>
      <c r="KTD1" t="s">
        <v>8146</v>
      </c>
      <c r="KTE1" t="s">
        <v>8147</v>
      </c>
      <c r="KTF1" t="s">
        <v>8148</v>
      </c>
      <c r="KTG1" t="s">
        <v>8149</v>
      </c>
      <c r="KTH1" t="s">
        <v>8150</v>
      </c>
      <c r="KTI1" t="s">
        <v>8151</v>
      </c>
      <c r="KTJ1" t="s">
        <v>8152</v>
      </c>
      <c r="KTK1" t="s">
        <v>8153</v>
      </c>
      <c r="KTL1" t="s">
        <v>8154</v>
      </c>
      <c r="KTM1" t="s">
        <v>8155</v>
      </c>
      <c r="KTN1" t="s">
        <v>8156</v>
      </c>
      <c r="KTO1" t="s">
        <v>8157</v>
      </c>
      <c r="KTP1" t="s">
        <v>8158</v>
      </c>
      <c r="KTQ1" t="s">
        <v>8159</v>
      </c>
      <c r="KTR1" t="s">
        <v>8160</v>
      </c>
      <c r="KTS1" t="s">
        <v>8161</v>
      </c>
      <c r="KTT1" t="s">
        <v>8162</v>
      </c>
      <c r="KTU1" t="s">
        <v>8163</v>
      </c>
      <c r="KTV1" t="s">
        <v>8164</v>
      </c>
      <c r="KTW1" t="s">
        <v>8165</v>
      </c>
      <c r="KTX1" t="s">
        <v>8166</v>
      </c>
      <c r="KTY1" t="s">
        <v>8167</v>
      </c>
      <c r="KTZ1" t="s">
        <v>8168</v>
      </c>
      <c r="KUA1" t="s">
        <v>8169</v>
      </c>
      <c r="KUB1" t="s">
        <v>8170</v>
      </c>
      <c r="KUC1" t="s">
        <v>8171</v>
      </c>
      <c r="KUD1" t="s">
        <v>8172</v>
      </c>
      <c r="KUE1" t="s">
        <v>8173</v>
      </c>
      <c r="KUF1" t="s">
        <v>8174</v>
      </c>
      <c r="KUG1" t="s">
        <v>8175</v>
      </c>
      <c r="KUH1" t="s">
        <v>8176</v>
      </c>
      <c r="KUI1" t="s">
        <v>8177</v>
      </c>
      <c r="KUJ1" t="s">
        <v>8178</v>
      </c>
      <c r="KUK1" t="s">
        <v>8179</v>
      </c>
      <c r="KUL1" t="s">
        <v>8180</v>
      </c>
      <c r="KUM1" t="s">
        <v>8181</v>
      </c>
      <c r="KUN1" t="s">
        <v>8182</v>
      </c>
      <c r="KUO1" t="s">
        <v>8183</v>
      </c>
      <c r="KUP1" t="s">
        <v>8184</v>
      </c>
      <c r="KUQ1" t="s">
        <v>8185</v>
      </c>
      <c r="KUR1" t="s">
        <v>8186</v>
      </c>
      <c r="KUS1" t="s">
        <v>8187</v>
      </c>
      <c r="KUT1" t="s">
        <v>8188</v>
      </c>
      <c r="KUU1" t="s">
        <v>8189</v>
      </c>
      <c r="KUV1" t="s">
        <v>8190</v>
      </c>
      <c r="KUW1" t="s">
        <v>8191</v>
      </c>
      <c r="KUX1" t="s">
        <v>8192</v>
      </c>
      <c r="KUY1" t="s">
        <v>8193</v>
      </c>
      <c r="KUZ1" t="s">
        <v>8194</v>
      </c>
      <c r="KVA1" t="s">
        <v>8195</v>
      </c>
      <c r="KVB1" t="s">
        <v>8196</v>
      </c>
      <c r="KVC1" t="s">
        <v>8197</v>
      </c>
      <c r="KVD1" t="s">
        <v>8198</v>
      </c>
      <c r="KVE1" t="s">
        <v>8199</v>
      </c>
      <c r="KVF1" t="s">
        <v>8200</v>
      </c>
      <c r="KVG1" t="s">
        <v>8201</v>
      </c>
      <c r="KVH1" t="s">
        <v>8202</v>
      </c>
      <c r="KVI1" t="s">
        <v>8203</v>
      </c>
      <c r="KVJ1" t="s">
        <v>8204</v>
      </c>
      <c r="KVK1" t="s">
        <v>8205</v>
      </c>
      <c r="KVL1" t="s">
        <v>8206</v>
      </c>
      <c r="KVM1" t="s">
        <v>8207</v>
      </c>
      <c r="KVN1" t="s">
        <v>8208</v>
      </c>
      <c r="KVO1" t="s">
        <v>8209</v>
      </c>
      <c r="KVP1" t="s">
        <v>8210</v>
      </c>
      <c r="KVQ1" t="s">
        <v>8211</v>
      </c>
      <c r="KVR1" t="s">
        <v>8212</v>
      </c>
      <c r="KVS1" t="s">
        <v>8213</v>
      </c>
      <c r="KVT1" t="s">
        <v>8214</v>
      </c>
      <c r="KVU1" t="s">
        <v>8215</v>
      </c>
      <c r="KVV1" t="s">
        <v>8216</v>
      </c>
      <c r="KVW1" t="s">
        <v>8217</v>
      </c>
      <c r="KVX1" t="s">
        <v>8218</v>
      </c>
      <c r="KVY1" t="s">
        <v>8219</v>
      </c>
      <c r="KVZ1" t="s">
        <v>8220</v>
      </c>
      <c r="KWA1" t="s">
        <v>8221</v>
      </c>
      <c r="KWB1" t="s">
        <v>8222</v>
      </c>
      <c r="KWC1" t="s">
        <v>8223</v>
      </c>
      <c r="KWD1" t="s">
        <v>8224</v>
      </c>
      <c r="KWE1" t="s">
        <v>8225</v>
      </c>
      <c r="KWF1" t="s">
        <v>8226</v>
      </c>
      <c r="KWG1" t="s">
        <v>8227</v>
      </c>
      <c r="KWH1" t="s">
        <v>8228</v>
      </c>
      <c r="KWI1" t="s">
        <v>8229</v>
      </c>
      <c r="KWJ1" t="s">
        <v>8230</v>
      </c>
      <c r="KWK1" t="s">
        <v>8231</v>
      </c>
      <c r="KWL1" t="s">
        <v>8232</v>
      </c>
      <c r="KWM1" t="s">
        <v>8233</v>
      </c>
      <c r="KWN1" t="s">
        <v>8234</v>
      </c>
      <c r="KWO1" t="s">
        <v>8235</v>
      </c>
      <c r="KWP1" t="s">
        <v>8236</v>
      </c>
      <c r="KWQ1" t="s">
        <v>8237</v>
      </c>
      <c r="KWR1" t="s">
        <v>8238</v>
      </c>
      <c r="KWS1" t="s">
        <v>8239</v>
      </c>
      <c r="KWT1" t="s">
        <v>8240</v>
      </c>
      <c r="KWU1" t="s">
        <v>8241</v>
      </c>
      <c r="KWV1" t="s">
        <v>8242</v>
      </c>
      <c r="KWW1" t="s">
        <v>8243</v>
      </c>
      <c r="KWX1" t="s">
        <v>8244</v>
      </c>
      <c r="KWY1" t="s">
        <v>8245</v>
      </c>
      <c r="KWZ1" t="s">
        <v>8246</v>
      </c>
      <c r="KXA1" t="s">
        <v>8247</v>
      </c>
      <c r="KXB1" t="s">
        <v>8248</v>
      </c>
      <c r="KXC1" t="s">
        <v>8249</v>
      </c>
      <c r="KXD1" t="s">
        <v>8250</v>
      </c>
      <c r="KXE1" t="s">
        <v>8251</v>
      </c>
      <c r="KXF1" t="s">
        <v>8252</v>
      </c>
      <c r="KXG1" t="s">
        <v>8253</v>
      </c>
      <c r="KXH1" t="s">
        <v>8254</v>
      </c>
      <c r="KXI1" t="s">
        <v>8255</v>
      </c>
      <c r="KXJ1" t="s">
        <v>8256</v>
      </c>
      <c r="KXK1" t="s">
        <v>8257</v>
      </c>
      <c r="KXL1" t="s">
        <v>8258</v>
      </c>
      <c r="KXM1" t="s">
        <v>8259</v>
      </c>
      <c r="KXN1" t="s">
        <v>8260</v>
      </c>
      <c r="KXO1" t="s">
        <v>8261</v>
      </c>
      <c r="KXP1" t="s">
        <v>8262</v>
      </c>
      <c r="KXQ1" t="s">
        <v>8263</v>
      </c>
      <c r="KXR1" t="s">
        <v>8264</v>
      </c>
      <c r="KXS1" t="s">
        <v>8265</v>
      </c>
      <c r="KXT1" t="s">
        <v>8266</v>
      </c>
      <c r="KXU1" t="s">
        <v>8267</v>
      </c>
      <c r="KXV1" t="s">
        <v>8268</v>
      </c>
      <c r="KXW1" t="s">
        <v>8269</v>
      </c>
      <c r="KXX1" t="s">
        <v>8270</v>
      </c>
      <c r="KXY1" t="s">
        <v>8271</v>
      </c>
      <c r="KXZ1" t="s">
        <v>8272</v>
      </c>
      <c r="KYA1" t="s">
        <v>8273</v>
      </c>
      <c r="KYB1" t="s">
        <v>8274</v>
      </c>
      <c r="KYC1" t="s">
        <v>8275</v>
      </c>
      <c r="KYD1" t="s">
        <v>8276</v>
      </c>
      <c r="KYE1" t="s">
        <v>8277</v>
      </c>
      <c r="KYF1" t="s">
        <v>8278</v>
      </c>
      <c r="KYG1" t="s">
        <v>8279</v>
      </c>
      <c r="KYH1" t="s">
        <v>8280</v>
      </c>
      <c r="KYI1" t="s">
        <v>8281</v>
      </c>
      <c r="KYJ1" t="s">
        <v>8282</v>
      </c>
      <c r="KYK1" t="s">
        <v>8283</v>
      </c>
      <c r="KYL1" t="s">
        <v>8284</v>
      </c>
      <c r="KYM1" t="s">
        <v>8285</v>
      </c>
      <c r="KYN1" t="s">
        <v>8286</v>
      </c>
      <c r="KYO1" t="s">
        <v>8287</v>
      </c>
      <c r="KYP1" t="s">
        <v>8288</v>
      </c>
      <c r="KYQ1" t="s">
        <v>8289</v>
      </c>
      <c r="KYR1" t="s">
        <v>8290</v>
      </c>
      <c r="KYS1" t="s">
        <v>8291</v>
      </c>
      <c r="KYT1" t="s">
        <v>8292</v>
      </c>
      <c r="KYU1" t="s">
        <v>8293</v>
      </c>
      <c r="KYV1" t="s">
        <v>8294</v>
      </c>
      <c r="KYW1" t="s">
        <v>8295</v>
      </c>
      <c r="KYX1" t="s">
        <v>8296</v>
      </c>
      <c r="KYY1" t="s">
        <v>8297</v>
      </c>
      <c r="KYZ1" t="s">
        <v>8298</v>
      </c>
      <c r="KZA1" t="s">
        <v>8299</v>
      </c>
      <c r="KZB1" t="s">
        <v>8300</v>
      </c>
      <c r="KZC1" t="s">
        <v>8301</v>
      </c>
      <c r="KZD1" t="s">
        <v>8302</v>
      </c>
      <c r="KZE1" t="s">
        <v>8303</v>
      </c>
      <c r="KZF1" t="s">
        <v>8304</v>
      </c>
      <c r="KZG1" t="s">
        <v>8305</v>
      </c>
      <c r="KZH1" t="s">
        <v>8306</v>
      </c>
      <c r="KZI1" t="s">
        <v>8307</v>
      </c>
      <c r="KZJ1" t="s">
        <v>8308</v>
      </c>
      <c r="KZK1" t="s">
        <v>8309</v>
      </c>
      <c r="KZL1" t="s">
        <v>8310</v>
      </c>
      <c r="KZM1" t="s">
        <v>8311</v>
      </c>
      <c r="KZN1" t="s">
        <v>8312</v>
      </c>
      <c r="KZO1" t="s">
        <v>8313</v>
      </c>
      <c r="KZP1" t="s">
        <v>8314</v>
      </c>
      <c r="KZQ1" t="s">
        <v>8315</v>
      </c>
      <c r="KZR1" t="s">
        <v>8316</v>
      </c>
      <c r="KZS1" t="s">
        <v>8317</v>
      </c>
      <c r="KZT1" t="s">
        <v>8318</v>
      </c>
      <c r="KZU1" t="s">
        <v>8319</v>
      </c>
      <c r="KZV1" t="s">
        <v>8320</v>
      </c>
      <c r="KZW1" t="s">
        <v>8321</v>
      </c>
      <c r="KZX1" t="s">
        <v>8322</v>
      </c>
      <c r="KZY1" t="s">
        <v>8323</v>
      </c>
      <c r="KZZ1" t="s">
        <v>8324</v>
      </c>
      <c r="LAA1" t="s">
        <v>8325</v>
      </c>
      <c r="LAB1" t="s">
        <v>8326</v>
      </c>
      <c r="LAC1" t="s">
        <v>8327</v>
      </c>
      <c r="LAD1" t="s">
        <v>8328</v>
      </c>
      <c r="LAE1" t="s">
        <v>8329</v>
      </c>
      <c r="LAF1" t="s">
        <v>8330</v>
      </c>
      <c r="LAG1" t="s">
        <v>8331</v>
      </c>
      <c r="LAH1" t="s">
        <v>8332</v>
      </c>
      <c r="LAI1" t="s">
        <v>8333</v>
      </c>
      <c r="LAJ1" t="s">
        <v>8334</v>
      </c>
      <c r="LAK1" t="s">
        <v>8335</v>
      </c>
      <c r="LAL1" t="s">
        <v>8336</v>
      </c>
      <c r="LAM1" t="s">
        <v>8337</v>
      </c>
      <c r="LAN1" t="s">
        <v>8338</v>
      </c>
      <c r="LAO1" t="s">
        <v>8339</v>
      </c>
      <c r="LAP1" t="s">
        <v>8340</v>
      </c>
      <c r="LAQ1" t="s">
        <v>8341</v>
      </c>
      <c r="LAR1" t="s">
        <v>8342</v>
      </c>
      <c r="LAS1" t="s">
        <v>8343</v>
      </c>
      <c r="LAT1" t="s">
        <v>8344</v>
      </c>
      <c r="LAU1" t="s">
        <v>8345</v>
      </c>
      <c r="LAV1" t="s">
        <v>8346</v>
      </c>
      <c r="LAW1" t="s">
        <v>8347</v>
      </c>
      <c r="LAX1" t="s">
        <v>8348</v>
      </c>
      <c r="LAY1" t="s">
        <v>8349</v>
      </c>
      <c r="LAZ1" t="s">
        <v>8350</v>
      </c>
      <c r="LBA1" t="s">
        <v>8351</v>
      </c>
      <c r="LBB1" t="s">
        <v>8352</v>
      </c>
      <c r="LBC1" t="s">
        <v>8353</v>
      </c>
      <c r="LBD1" t="s">
        <v>8354</v>
      </c>
      <c r="LBE1" t="s">
        <v>8355</v>
      </c>
      <c r="LBF1" t="s">
        <v>8356</v>
      </c>
      <c r="LBG1" t="s">
        <v>8357</v>
      </c>
      <c r="LBH1" t="s">
        <v>8358</v>
      </c>
      <c r="LBI1" t="s">
        <v>8359</v>
      </c>
      <c r="LBJ1" t="s">
        <v>8360</v>
      </c>
      <c r="LBK1" t="s">
        <v>8361</v>
      </c>
      <c r="LBL1" t="s">
        <v>8362</v>
      </c>
      <c r="LBM1" t="s">
        <v>8363</v>
      </c>
      <c r="LBN1" t="s">
        <v>8364</v>
      </c>
      <c r="LBO1" t="s">
        <v>8365</v>
      </c>
      <c r="LBP1" t="s">
        <v>8366</v>
      </c>
      <c r="LBQ1" t="s">
        <v>8367</v>
      </c>
      <c r="LBR1" t="s">
        <v>8368</v>
      </c>
      <c r="LBS1" t="s">
        <v>8369</v>
      </c>
      <c r="LBT1" t="s">
        <v>8370</v>
      </c>
      <c r="LBU1" t="s">
        <v>8371</v>
      </c>
      <c r="LBV1" t="s">
        <v>8372</v>
      </c>
      <c r="LBW1" t="s">
        <v>8373</v>
      </c>
      <c r="LBX1" t="s">
        <v>8374</v>
      </c>
      <c r="LBY1" t="s">
        <v>8375</v>
      </c>
      <c r="LBZ1" t="s">
        <v>8376</v>
      </c>
      <c r="LCA1" t="s">
        <v>8377</v>
      </c>
      <c r="LCB1" t="s">
        <v>8378</v>
      </c>
      <c r="LCC1" t="s">
        <v>8379</v>
      </c>
      <c r="LCD1" t="s">
        <v>8380</v>
      </c>
      <c r="LCE1" t="s">
        <v>8381</v>
      </c>
      <c r="LCF1" t="s">
        <v>8382</v>
      </c>
      <c r="LCG1" t="s">
        <v>8383</v>
      </c>
      <c r="LCH1" t="s">
        <v>8384</v>
      </c>
      <c r="LCI1" t="s">
        <v>8385</v>
      </c>
      <c r="LCJ1" t="s">
        <v>8386</v>
      </c>
      <c r="LCK1" t="s">
        <v>8387</v>
      </c>
      <c r="LCL1" t="s">
        <v>8388</v>
      </c>
      <c r="LCM1" t="s">
        <v>8389</v>
      </c>
      <c r="LCN1" t="s">
        <v>8390</v>
      </c>
      <c r="LCO1" t="s">
        <v>8391</v>
      </c>
      <c r="LCP1" t="s">
        <v>8392</v>
      </c>
      <c r="LCQ1" t="s">
        <v>8393</v>
      </c>
      <c r="LCR1" t="s">
        <v>8394</v>
      </c>
      <c r="LCS1" t="s">
        <v>8395</v>
      </c>
      <c r="LCT1" t="s">
        <v>8396</v>
      </c>
      <c r="LCU1" t="s">
        <v>8397</v>
      </c>
      <c r="LCV1" t="s">
        <v>8398</v>
      </c>
      <c r="LCW1" t="s">
        <v>8399</v>
      </c>
      <c r="LCX1" t="s">
        <v>8400</v>
      </c>
      <c r="LCY1" t="s">
        <v>8401</v>
      </c>
      <c r="LCZ1" t="s">
        <v>8402</v>
      </c>
      <c r="LDA1" t="s">
        <v>8403</v>
      </c>
      <c r="LDB1" t="s">
        <v>8404</v>
      </c>
      <c r="LDC1" t="s">
        <v>8405</v>
      </c>
      <c r="LDD1" t="s">
        <v>8406</v>
      </c>
      <c r="LDE1" t="s">
        <v>8407</v>
      </c>
      <c r="LDF1" t="s">
        <v>8408</v>
      </c>
      <c r="LDG1" t="s">
        <v>8409</v>
      </c>
      <c r="LDH1" t="s">
        <v>8410</v>
      </c>
      <c r="LDI1" t="s">
        <v>8411</v>
      </c>
      <c r="LDJ1" t="s">
        <v>8412</v>
      </c>
      <c r="LDK1" t="s">
        <v>8413</v>
      </c>
      <c r="LDL1" t="s">
        <v>8414</v>
      </c>
      <c r="LDM1" t="s">
        <v>8415</v>
      </c>
      <c r="LDN1" t="s">
        <v>8416</v>
      </c>
      <c r="LDO1" t="s">
        <v>8417</v>
      </c>
      <c r="LDP1" t="s">
        <v>8418</v>
      </c>
      <c r="LDQ1" t="s">
        <v>8419</v>
      </c>
      <c r="LDR1" t="s">
        <v>8420</v>
      </c>
      <c r="LDS1" t="s">
        <v>8421</v>
      </c>
      <c r="LDT1" t="s">
        <v>8422</v>
      </c>
      <c r="LDU1" t="s">
        <v>8423</v>
      </c>
      <c r="LDV1" t="s">
        <v>8424</v>
      </c>
      <c r="LDW1" t="s">
        <v>8425</v>
      </c>
      <c r="LDX1" t="s">
        <v>8426</v>
      </c>
      <c r="LDY1" t="s">
        <v>8427</v>
      </c>
      <c r="LDZ1" t="s">
        <v>8428</v>
      </c>
      <c r="LEA1" t="s">
        <v>8429</v>
      </c>
      <c r="LEB1" t="s">
        <v>8430</v>
      </c>
      <c r="LEC1" t="s">
        <v>8431</v>
      </c>
      <c r="LED1" t="s">
        <v>8432</v>
      </c>
      <c r="LEE1" t="s">
        <v>8433</v>
      </c>
      <c r="LEF1" t="s">
        <v>8434</v>
      </c>
      <c r="LEG1" t="s">
        <v>8435</v>
      </c>
      <c r="LEH1" t="s">
        <v>8436</v>
      </c>
      <c r="LEI1" t="s">
        <v>8437</v>
      </c>
      <c r="LEJ1" t="s">
        <v>8438</v>
      </c>
      <c r="LEK1" t="s">
        <v>8439</v>
      </c>
      <c r="LEL1" t="s">
        <v>8440</v>
      </c>
      <c r="LEM1" t="s">
        <v>8441</v>
      </c>
      <c r="LEN1" t="s">
        <v>8442</v>
      </c>
      <c r="LEO1" t="s">
        <v>8443</v>
      </c>
      <c r="LEP1" t="s">
        <v>8444</v>
      </c>
      <c r="LEQ1" t="s">
        <v>8445</v>
      </c>
      <c r="LER1" t="s">
        <v>8446</v>
      </c>
      <c r="LES1" t="s">
        <v>8447</v>
      </c>
      <c r="LET1" t="s">
        <v>8448</v>
      </c>
      <c r="LEU1" t="s">
        <v>8449</v>
      </c>
      <c r="LEV1" t="s">
        <v>8450</v>
      </c>
      <c r="LEW1" t="s">
        <v>8451</v>
      </c>
      <c r="LEX1" t="s">
        <v>8452</v>
      </c>
      <c r="LEY1" t="s">
        <v>8453</v>
      </c>
      <c r="LEZ1" t="s">
        <v>8454</v>
      </c>
      <c r="LFA1" t="s">
        <v>8455</v>
      </c>
      <c r="LFB1" t="s">
        <v>8456</v>
      </c>
      <c r="LFC1" t="s">
        <v>8457</v>
      </c>
      <c r="LFD1" t="s">
        <v>8458</v>
      </c>
      <c r="LFE1" t="s">
        <v>8459</v>
      </c>
      <c r="LFF1" t="s">
        <v>8460</v>
      </c>
      <c r="LFG1" t="s">
        <v>8461</v>
      </c>
      <c r="LFH1" t="s">
        <v>8462</v>
      </c>
      <c r="LFI1" t="s">
        <v>8463</v>
      </c>
      <c r="LFJ1" t="s">
        <v>8464</v>
      </c>
      <c r="LFK1" t="s">
        <v>8465</v>
      </c>
      <c r="LFL1" t="s">
        <v>8466</v>
      </c>
      <c r="LFM1" t="s">
        <v>8467</v>
      </c>
      <c r="LFN1" t="s">
        <v>8468</v>
      </c>
      <c r="LFO1" t="s">
        <v>8469</v>
      </c>
      <c r="LFP1" t="s">
        <v>8470</v>
      </c>
      <c r="LFQ1" t="s">
        <v>8471</v>
      </c>
      <c r="LFR1" t="s">
        <v>8472</v>
      </c>
      <c r="LFS1" t="s">
        <v>8473</v>
      </c>
      <c r="LFT1" t="s">
        <v>8474</v>
      </c>
      <c r="LFU1" t="s">
        <v>8475</v>
      </c>
      <c r="LFV1" t="s">
        <v>8476</v>
      </c>
      <c r="LFW1" t="s">
        <v>8477</v>
      </c>
      <c r="LFX1" t="s">
        <v>8478</v>
      </c>
      <c r="LFY1" t="s">
        <v>8479</v>
      </c>
      <c r="LFZ1" t="s">
        <v>8480</v>
      </c>
      <c r="LGA1" t="s">
        <v>8481</v>
      </c>
      <c r="LGB1" t="s">
        <v>8482</v>
      </c>
      <c r="LGC1" t="s">
        <v>8483</v>
      </c>
      <c r="LGD1" t="s">
        <v>8484</v>
      </c>
      <c r="LGE1" t="s">
        <v>8485</v>
      </c>
      <c r="LGF1" t="s">
        <v>8486</v>
      </c>
      <c r="LGG1" t="s">
        <v>8487</v>
      </c>
      <c r="LGH1" t="s">
        <v>8488</v>
      </c>
      <c r="LGI1" t="s">
        <v>8489</v>
      </c>
      <c r="LGJ1" t="s">
        <v>8490</v>
      </c>
      <c r="LGK1" t="s">
        <v>8491</v>
      </c>
      <c r="LGL1" t="s">
        <v>8492</v>
      </c>
      <c r="LGM1" t="s">
        <v>8493</v>
      </c>
      <c r="LGN1" t="s">
        <v>8494</v>
      </c>
      <c r="LGO1" t="s">
        <v>8495</v>
      </c>
      <c r="LGP1" t="s">
        <v>8496</v>
      </c>
      <c r="LGQ1" t="s">
        <v>8497</v>
      </c>
      <c r="LGR1" t="s">
        <v>8498</v>
      </c>
      <c r="LGS1" t="s">
        <v>8499</v>
      </c>
      <c r="LGT1" t="s">
        <v>8500</v>
      </c>
      <c r="LGU1" t="s">
        <v>8501</v>
      </c>
      <c r="LGV1" t="s">
        <v>8502</v>
      </c>
      <c r="LGW1" t="s">
        <v>8503</v>
      </c>
      <c r="LGX1" t="s">
        <v>8504</v>
      </c>
      <c r="LGY1" t="s">
        <v>8505</v>
      </c>
      <c r="LGZ1" t="s">
        <v>8506</v>
      </c>
      <c r="LHA1" t="s">
        <v>8507</v>
      </c>
      <c r="LHB1" t="s">
        <v>8508</v>
      </c>
      <c r="LHC1" t="s">
        <v>8509</v>
      </c>
      <c r="LHD1" t="s">
        <v>8510</v>
      </c>
      <c r="LHE1" t="s">
        <v>8511</v>
      </c>
      <c r="LHF1" t="s">
        <v>8512</v>
      </c>
      <c r="LHG1" t="s">
        <v>8513</v>
      </c>
      <c r="LHH1" t="s">
        <v>8514</v>
      </c>
      <c r="LHI1" t="s">
        <v>8515</v>
      </c>
      <c r="LHJ1" t="s">
        <v>8516</v>
      </c>
      <c r="LHK1" t="s">
        <v>8517</v>
      </c>
      <c r="LHL1" t="s">
        <v>8518</v>
      </c>
      <c r="LHM1" t="s">
        <v>8519</v>
      </c>
      <c r="LHN1" t="s">
        <v>8520</v>
      </c>
      <c r="LHO1" t="s">
        <v>8521</v>
      </c>
      <c r="LHP1" t="s">
        <v>8522</v>
      </c>
      <c r="LHQ1" t="s">
        <v>8523</v>
      </c>
      <c r="LHR1" t="s">
        <v>8524</v>
      </c>
      <c r="LHS1" t="s">
        <v>8525</v>
      </c>
      <c r="LHT1" t="s">
        <v>8526</v>
      </c>
      <c r="LHU1" t="s">
        <v>8527</v>
      </c>
      <c r="LHV1" t="s">
        <v>8528</v>
      </c>
      <c r="LHW1" t="s">
        <v>8529</v>
      </c>
      <c r="LHX1" t="s">
        <v>8530</v>
      </c>
      <c r="LHY1" t="s">
        <v>8531</v>
      </c>
      <c r="LHZ1" t="s">
        <v>8532</v>
      </c>
      <c r="LIA1" t="s">
        <v>8533</v>
      </c>
      <c r="LIB1" t="s">
        <v>8534</v>
      </c>
      <c r="LIC1" t="s">
        <v>8535</v>
      </c>
      <c r="LID1" t="s">
        <v>8536</v>
      </c>
      <c r="LIE1" t="s">
        <v>8537</v>
      </c>
      <c r="LIF1" t="s">
        <v>8538</v>
      </c>
      <c r="LIG1" t="s">
        <v>8539</v>
      </c>
      <c r="LIH1" t="s">
        <v>8540</v>
      </c>
      <c r="LII1" t="s">
        <v>8541</v>
      </c>
      <c r="LIJ1" t="s">
        <v>8542</v>
      </c>
      <c r="LIK1" t="s">
        <v>8543</v>
      </c>
      <c r="LIL1" t="s">
        <v>8544</v>
      </c>
      <c r="LIM1" t="s">
        <v>8545</v>
      </c>
      <c r="LIN1" t="s">
        <v>8546</v>
      </c>
      <c r="LIO1" t="s">
        <v>8547</v>
      </c>
      <c r="LIP1" t="s">
        <v>8548</v>
      </c>
      <c r="LIQ1" t="s">
        <v>8549</v>
      </c>
      <c r="LIR1" t="s">
        <v>8550</v>
      </c>
      <c r="LIS1" t="s">
        <v>8551</v>
      </c>
      <c r="LIT1" t="s">
        <v>8552</v>
      </c>
      <c r="LIU1" t="s">
        <v>8553</v>
      </c>
      <c r="LIV1" t="s">
        <v>8554</v>
      </c>
      <c r="LIW1" t="s">
        <v>8555</v>
      </c>
      <c r="LIX1" t="s">
        <v>8556</v>
      </c>
      <c r="LIY1" t="s">
        <v>8557</v>
      </c>
      <c r="LIZ1" t="s">
        <v>8558</v>
      </c>
      <c r="LJA1" t="s">
        <v>8559</v>
      </c>
      <c r="LJB1" t="s">
        <v>8560</v>
      </c>
      <c r="LJC1" t="s">
        <v>8561</v>
      </c>
      <c r="LJD1" t="s">
        <v>8562</v>
      </c>
      <c r="LJE1" t="s">
        <v>8563</v>
      </c>
      <c r="LJF1" t="s">
        <v>8564</v>
      </c>
      <c r="LJG1" t="s">
        <v>8565</v>
      </c>
      <c r="LJH1" t="s">
        <v>8566</v>
      </c>
      <c r="LJI1" t="s">
        <v>8567</v>
      </c>
      <c r="LJJ1" t="s">
        <v>8568</v>
      </c>
      <c r="LJK1" t="s">
        <v>8569</v>
      </c>
      <c r="LJL1" t="s">
        <v>8570</v>
      </c>
      <c r="LJM1" t="s">
        <v>8571</v>
      </c>
      <c r="LJN1" t="s">
        <v>8572</v>
      </c>
      <c r="LJO1" t="s">
        <v>8573</v>
      </c>
      <c r="LJP1" t="s">
        <v>8574</v>
      </c>
      <c r="LJQ1" t="s">
        <v>8575</v>
      </c>
      <c r="LJR1" t="s">
        <v>8576</v>
      </c>
      <c r="LJS1" t="s">
        <v>8577</v>
      </c>
      <c r="LJT1" t="s">
        <v>8578</v>
      </c>
      <c r="LJU1" t="s">
        <v>8579</v>
      </c>
      <c r="LJV1" t="s">
        <v>8580</v>
      </c>
      <c r="LJW1" t="s">
        <v>8581</v>
      </c>
      <c r="LJX1" t="s">
        <v>8582</v>
      </c>
      <c r="LJY1" t="s">
        <v>8583</v>
      </c>
      <c r="LJZ1" t="s">
        <v>8584</v>
      </c>
      <c r="LKA1" t="s">
        <v>8585</v>
      </c>
      <c r="LKB1" t="s">
        <v>8586</v>
      </c>
      <c r="LKC1" t="s">
        <v>8587</v>
      </c>
      <c r="LKD1" t="s">
        <v>8588</v>
      </c>
      <c r="LKE1" t="s">
        <v>8589</v>
      </c>
      <c r="LKF1" t="s">
        <v>8590</v>
      </c>
      <c r="LKG1" t="s">
        <v>8591</v>
      </c>
      <c r="LKH1" t="s">
        <v>8592</v>
      </c>
      <c r="LKI1" t="s">
        <v>8593</v>
      </c>
      <c r="LKJ1" t="s">
        <v>8594</v>
      </c>
      <c r="LKK1" t="s">
        <v>8595</v>
      </c>
      <c r="LKL1" t="s">
        <v>8596</v>
      </c>
      <c r="LKM1" t="s">
        <v>8597</v>
      </c>
      <c r="LKN1" t="s">
        <v>8598</v>
      </c>
      <c r="LKO1" t="s">
        <v>8599</v>
      </c>
      <c r="LKP1" t="s">
        <v>8600</v>
      </c>
      <c r="LKQ1" t="s">
        <v>8601</v>
      </c>
      <c r="LKR1" t="s">
        <v>8602</v>
      </c>
      <c r="LKS1" t="s">
        <v>8603</v>
      </c>
      <c r="LKT1" t="s">
        <v>8604</v>
      </c>
      <c r="LKU1" t="s">
        <v>8605</v>
      </c>
      <c r="LKV1" t="s">
        <v>8606</v>
      </c>
      <c r="LKW1" t="s">
        <v>8607</v>
      </c>
      <c r="LKX1" t="s">
        <v>8608</v>
      </c>
      <c r="LKY1" t="s">
        <v>8609</v>
      </c>
      <c r="LKZ1" t="s">
        <v>8610</v>
      </c>
      <c r="LLA1" t="s">
        <v>8611</v>
      </c>
      <c r="LLB1" t="s">
        <v>8612</v>
      </c>
      <c r="LLC1" t="s">
        <v>8613</v>
      </c>
      <c r="LLD1" t="s">
        <v>8614</v>
      </c>
      <c r="LLE1" t="s">
        <v>8615</v>
      </c>
      <c r="LLF1" t="s">
        <v>8616</v>
      </c>
      <c r="LLG1" t="s">
        <v>8617</v>
      </c>
      <c r="LLH1" t="s">
        <v>8618</v>
      </c>
      <c r="LLI1" t="s">
        <v>8619</v>
      </c>
      <c r="LLJ1" t="s">
        <v>8620</v>
      </c>
      <c r="LLK1" t="s">
        <v>8621</v>
      </c>
      <c r="LLL1" t="s">
        <v>8622</v>
      </c>
      <c r="LLM1" t="s">
        <v>8623</v>
      </c>
      <c r="LLN1" t="s">
        <v>8624</v>
      </c>
      <c r="LLO1" t="s">
        <v>8625</v>
      </c>
      <c r="LLP1" t="s">
        <v>8626</v>
      </c>
      <c r="LLQ1" t="s">
        <v>8627</v>
      </c>
      <c r="LLR1" t="s">
        <v>8628</v>
      </c>
      <c r="LLS1" t="s">
        <v>8629</v>
      </c>
      <c r="LLT1" t="s">
        <v>8630</v>
      </c>
      <c r="LLU1" t="s">
        <v>8631</v>
      </c>
      <c r="LLV1" t="s">
        <v>8632</v>
      </c>
      <c r="LLW1" t="s">
        <v>8633</v>
      </c>
      <c r="LLX1" t="s">
        <v>8634</v>
      </c>
      <c r="LLY1" t="s">
        <v>8635</v>
      </c>
      <c r="LLZ1" t="s">
        <v>8636</v>
      </c>
      <c r="LMA1" t="s">
        <v>8637</v>
      </c>
      <c r="LMB1" t="s">
        <v>8638</v>
      </c>
      <c r="LMC1" t="s">
        <v>8639</v>
      </c>
      <c r="LMD1" t="s">
        <v>8640</v>
      </c>
      <c r="LME1" t="s">
        <v>8641</v>
      </c>
      <c r="LMF1" t="s">
        <v>8642</v>
      </c>
      <c r="LMG1" t="s">
        <v>8643</v>
      </c>
      <c r="LMH1" t="s">
        <v>8644</v>
      </c>
      <c r="LMI1" t="s">
        <v>8645</v>
      </c>
      <c r="LMJ1" t="s">
        <v>8646</v>
      </c>
      <c r="LMK1" t="s">
        <v>8647</v>
      </c>
      <c r="LML1" t="s">
        <v>8648</v>
      </c>
      <c r="LMM1" t="s">
        <v>8649</v>
      </c>
      <c r="LMN1" t="s">
        <v>8650</v>
      </c>
      <c r="LMO1" t="s">
        <v>8651</v>
      </c>
      <c r="LMP1" t="s">
        <v>8652</v>
      </c>
      <c r="LMQ1" t="s">
        <v>8653</v>
      </c>
      <c r="LMR1" t="s">
        <v>8654</v>
      </c>
      <c r="LMS1" t="s">
        <v>8655</v>
      </c>
      <c r="LMT1" t="s">
        <v>8656</v>
      </c>
      <c r="LMU1" t="s">
        <v>8657</v>
      </c>
      <c r="LMV1" t="s">
        <v>8658</v>
      </c>
      <c r="LMW1" t="s">
        <v>8659</v>
      </c>
      <c r="LMX1" t="s">
        <v>8660</v>
      </c>
      <c r="LMY1" t="s">
        <v>8661</v>
      </c>
      <c r="LMZ1" t="s">
        <v>8662</v>
      </c>
      <c r="LNA1" t="s">
        <v>8663</v>
      </c>
      <c r="LNB1" t="s">
        <v>8664</v>
      </c>
      <c r="LNC1" t="s">
        <v>8665</v>
      </c>
      <c r="LND1" t="s">
        <v>8666</v>
      </c>
      <c r="LNE1" t="s">
        <v>8667</v>
      </c>
      <c r="LNF1" t="s">
        <v>8668</v>
      </c>
      <c r="LNG1" t="s">
        <v>8669</v>
      </c>
      <c r="LNH1" t="s">
        <v>8670</v>
      </c>
      <c r="LNI1" t="s">
        <v>8671</v>
      </c>
      <c r="LNJ1" t="s">
        <v>8672</v>
      </c>
      <c r="LNK1" t="s">
        <v>8673</v>
      </c>
      <c r="LNL1" t="s">
        <v>8674</v>
      </c>
      <c r="LNM1" t="s">
        <v>8675</v>
      </c>
      <c r="LNN1" t="s">
        <v>8676</v>
      </c>
      <c r="LNO1" t="s">
        <v>8677</v>
      </c>
      <c r="LNP1" t="s">
        <v>8678</v>
      </c>
      <c r="LNQ1" t="s">
        <v>8679</v>
      </c>
      <c r="LNR1" t="s">
        <v>8680</v>
      </c>
      <c r="LNS1" t="s">
        <v>8681</v>
      </c>
      <c r="LNT1" t="s">
        <v>8682</v>
      </c>
      <c r="LNU1" t="s">
        <v>8683</v>
      </c>
      <c r="LNV1" t="s">
        <v>8684</v>
      </c>
      <c r="LNW1" t="s">
        <v>8685</v>
      </c>
      <c r="LNX1" t="s">
        <v>8686</v>
      </c>
      <c r="LNY1" t="s">
        <v>8687</v>
      </c>
      <c r="LNZ1" t="s">
        <v>8688</v>
      </c>
      <c r="LOA1" t="s">
        <v>8689</v>
      </c>
      <c r="LOB1" t="s">
        <v>8690</v>
      </c>
      <c r="LOC1" t="s">
        <v>8691</v>
      </c>
      <c r="LOD1" t="s">
        <v>8692</v>
      </c>
      <c r="LOE1" t="s">
        <v>8693</v>
      </c>
      <c r="LOF1" t="s">
        <v>8694</v>
      </c>
      <c r="LOG1" t="s">
        <v>8695</v>
      </c>
      <c r="LOH1" t="s">
        <v>8696</v>
      </c>
      <c r="LOI1" t="s">
        <v>8697</v>
      </c>
      <c r="LOJ1" t="s">
        <v>8698</v>
      </c>
      <c r="LOK1" t="s">
        <v>8699</v>
      </c>
      <c r="LOL1" t="s">
        <v>8700</v>
      </c>
      <c r="LOM1" t="s">
        <v>8701</v>
      </c>
      <c r="LON1" t="s">
        <v>8702</v>
      </c>
      <c r="LOO1" t="s">
        <v>8703</v>
      </c>
      <c r="LOP1" t="s">
        <v>8704</v>
      </c>
      <c r="LOQ1" t="s">
        <v>8705</v>
      </c>
      <c r="LOR1" t="s">
        <v>8706</v>
      </c>
      <c r="LOS1" t="s">
        <v>8707</v>
      </c>
      <c r="LOT1" t="s">
        <v>8708</v>
      </c>
      <c r="LOU1" t="s">
        <v>8709</v>
      </c>
      <c r="LOV1" t="s">
        <v>8710</v>
      </c>
      <c r="LOW1" t="s">
        <v>8711</v>
      </c>
      <c r="LOX1" t="s">
        <v>8712</v>
      </c>
      <c r="LOY1" t="s">
        <v>8713</v>
      </c>
      <c r="LOZ1" t="s">
        <v>8714</v>
      </c>
      <c r="LPA1" t="s">
        <v>8715</v>
      </c>
      <c r="LPB1" t="s">
        <v>8716</v>
      </c>
      <c r="LPC1" t="s">
        <v>8717</v>
      </c>
      <c r="LPD1" t="s">
        <v>8718</v>
      </c>
      <c r="LPE1" t="s">
        <v>8719</v>
      </c>
      <c r="LPF1" t="s">
        <v>8720</v>
      </c>
      <c r="LPG1" t="s">
        <v>8721</v>
      </c>
      <c r="LPH1" t="s">
        <v>8722</v>
      </c>
      <c r="LPI1" t="s">
        <v>8723</v>
      </c>
      <c r="LPJ1" t="s">
        <v>8724</v>
      </c>
      <c r="LPK1" t="s">
        <v>8725</v>
      </c>
      <c r="LPL1" t="s">
        <v>8726</v>
      </c>
      <c r="LPM1" t="s">
        <v>8727</v>
      </c>
      <c r="LPN1" t="s">
        <v>8728</v>
      </c>
      <c r="LPO1" t="s">
        <v>8729</v>
      </c>
      <c r="LPP1" t="s">
        <v>8730</v>
      </c>
      <c r="LPQ1" t="s">
        <v>8731</v>
      </c>
      <c r="LPR1" t="s">
        <v>8732</v>
      </c>
      <c r="LPS1" t="s">
        <v>8733</v>
      </c>
      <c r="LPT1" t="s">
        <v>8734</v>
      </c>
      <c r="LPU1" t="s">
        <v>8735</v>
      </c>
      <c r="LPV1" t="s">
        <v>8736</v>
      </c>
      <c r="LPW1" t="s">
        <v>8737</v>
      </c>
      <c r="LPX1" t="s">
        <v>8738</v>
      </c>
      <c r="LPY1" t="s">
        <v>8739</v>
      </c>
      <c r="LPZ1" t="s">
        <v>8740</v>
      </c>
      <c r="LQA1" t="s">
        <v>8741</v>
      </c>
      <c r="LQB1" t="s">
        <v>8742</v>
      </c>
      <c r="LQC1" t="s">
        <v>8743</v>
      </c>
      <c r="LQD1" t="s">
        <v>8744</v>
      </c>
      <c r="LQE1" t="s">
        <v>8745</v>
      </c>
      <c r="LQF1" t="s">
        <v>8746</v>
      </c>
      <c r="LQG1" t="s">
        <v>8747</v>
      </c>
      <c r="LQH1" t="s">
        <v>8748</v>
      </c>
      <c r="LQI1" t="s">
        <v>8749</v>
      </c>
      <c r="LQJ1" t="s">
        <v>8750</v>
      </c>
      <c r="LQK1" t="s">
        <v>8751</v>
      </c>
      <c r="LQL1" t="s">
        <v>8752</v>
      </c>
      <c r="LQM1" t="s">
        <v>8753</v>
      </c>
      <c r="LQN1" t="s">
        <v>8754</v>
      </c>
      <c r="LQO1" t="s">
        <v>8755</v>
      </c>
      <c r="LQP1" t="s">
        <v>8756</v>
      </c>
      <c r="LQQ1" t="s">
        <v>8757</v>
      </c>
      <c r="LQR1" t="s">
        <v>8758</v>
      </c>
      <c r="LQS1" t="s">
        <v>8759</v>
      </c>
      <c r="LQT1" t="s">
        <v>8760</v>
      </c>
      <c r="LQU1" t="s">
        <v>8761</v>
      </c>
      <c r="LQV1" t="s">
        <v>8762</v>
      </c>
      <c r="LQW1" t="s">
        <v>8763</v>
      </c>
      <c r="LQX1" t="s">
        <v>8764</v>
      </c>
      <c r="LQY1" t="s">
        <v>8765</v>
      </c>
      <c r="LQZ1" t="s">
        <v>8766</v>
      </c>
      <c r="LRA1" t="s">
        <v>8767</v>
      </c>
      <c r="LRB1" t="s">
        <v>8768</v>
      </c>
      <c r="LRC1" t="s">
        <v>8769</v>
      </c>
      <c r="LRD1" t="s">
        <v>8770</v>
      </c>
      <c r="LRE1" t="s">
        <v>8771</v>
      </c>
      <c r="LRF1" t="s">
        <v>8772</v>
      </c>
      <c r="LRG1" t="s">
        <v>8773</v>
      </c>
      <c r="LRH1" t="s">
        <v>8774</v>
      </c>
      <c r="LRI1" t="s">
        <v>8775</v>
      </c>
      <c r="LRJ1" t="s">
        <v>8776</v>
      </c>
      <c r="LRK1" t="s">
        <v>8777</v>
      </c>
      <c r="LRL1" t="s">
        <v>8778</v>
      </c>
      <c r="LRM1" t="s">
        <v>8779</v>
      </c>
      <c r="LRN1" t="s">
        <v>8780</v>
      </c>
      <c r="LRO1" t="s">
        <v>8781</v>
      </c>
      <c r="LRP1" t="s">
        <v>8782</v>
      </c>
      <c r="LRQ1" t="s">
        <v>8783</v>
      </c>
      <c r="LRR1" t="s">
        <v>8784</v>
      </c>
      <c r="LRS1" t="s">
        <v>8785</v>
      </c>
      <c r="LRT1" t="s">
        <v>8786</v>
      </c>
      <c r="LRU1" t="s">
        <v>8787</v>
      </c>
      <c r="LRV1" t="s">
        <v>8788</v>
      </c>
      <c r="LRW1" t="s">
        <v>8789</v>
      </c>
      <c r="LRX1" t="s">
        <v>8790</v>
      </c>
      <c r="LRY1" t="s">
        <v>8791</v>
      </c>
      <c r="LRZ1" t="s">
        <v>8792</v>
      </c>
      <c r="LSA1" t="s">
        <v>8793</v>
      </c>
      <c r="LSB1" t="s">
        <v>8794</v>
      </c>
      <c r="LSC1" t="s">
        <v>8795</v>
      </c>
      <c r="LSD1" t="s">
        <v>8796</v>
      </c>
      <c r="LSE1" t="s">
        <v>8797</v>
      </c>
      <c r="LSF1" t="s">
        <v>8798</v>
      </c>
      <c r="LSG1" t="s">
        <v>8799</v>
      </c>
      <c r="LSH1" t="s">
        <v>8800</v>
      </c>
      <c r="LSI1" t="s">
        <v>8801</v>
      </c>
      <c r="LSJ1" t="s">
        <v>8802</v>
      </c>
      <c r="LSK1" t="s">
        <v>8803</v>
      </c>
      <c r="LSL1" t="s">
        <v>8804</v>
      </c>
      <c r="LSM1" t="s">
        <v>8805</v>
      </c>
      <c r="LSN1" t="s">
        <v>8806</v>
      </c>
      <c r="LSO1" t="s">
        <v>8807</v>
      </c>
      <c r="LSP1" t="s">
        <v>8808</v>
      </c>
      <c r="LSQ1" t="s">
        <v>8809</v>
      </c>
      <c r="LSR1" t="s">
        <v>8810</v>
      </c>
      <c r="LSS1" t="s">
        <v>8811</v>
      </c>
      <c r="LST1" t="s">
        <v>8812</v>
      </c>
      <c r="LSU1" t="s">
        <v>8813</v>
      </c>
      <c r="LSV1" t="s">
        <v>8814</v>
      </c>
      <c r="LSW1" t="s">
        <v>8815</v>
      </c>
      <c r="LSX1" t="s">
        <v>8816</v>
      </c>
      <c r="LSY1" t="s">
        <v>8817</v>
      </c>
      <c r="LSZ1" t="s">
        <v>8818</v>
      </c>
      <c r="LTA1" t="s">
        <v>8819</v>
      </c>
      <c r="LTB1" t="s">
        <v>8820</v>
      </c>
      <c r="LTC1" t="s">
        <v>8821</v>
      </c>
      <c r="LTD1" t="s">
        <v>8822</v>
      </c>
      <c r="LTE1" t="s">
        <v>8823</v>
      </c>
      <c r="LTF1" t="s">
        <v>8824</v>
      </c>
      <c r="LTG1" t="s">
        <v>8825</v>
      </c>
      <c r="LTH1" t="s">
        <v>8826</v>
      </c>
      <c r="LTI1" t="s">
        <v>8827</v>
      </c>
      <c r="LTJ1" t="s">
        <v>8828</v>
      </c>
      <c r="LTK1" t="s">
        <v>8829</v>
      </c>
      <c r="LTL1" t="s">
        <v>8830</v>
      </c>
      <c r="LTM1" t="s">
        <v>8831</v>
      </c>
      <c r="LTN1" t="s">
        <v>8832</v>
      </c>
      <c r="LTO1" t="s">
        <v>8833</v>
      </c>
      <c r="LTP1" t="s">
        <v>8834</v>
      </c>
      <c r="LTQ1" t="s">
        <v>8835</v>
      </c>
      <c r="LTR1" t="s">
        <v>8836</v>
      </c>
      <c r="LTS1" t="s">
        <v>8837</v>
      </c>
      <c r="LTT1" t="s">
        <v>8838</v>
      </c>
      <c r="LTU1" t="s">
        <v>8839</v>
      </c>
      <c r="LTV1" t="s">
        <v>8840</v>
      </c>
      <c r="LTW1" t="s">
        <v>8841</v>
      </c>
      <c r="LTX1" t="s">
        <v>8842</v>
      </c>
      <c r="LTY1" t="s">
        <v>8843</v>
      </c>
      <c r="LTZ1" t="s">
        <v>8844</v>
      </c>
      <c r="LUA1" t="s">
        <v>8845</v>
      </c>
      <c r="LUB1" t="s">
        <v>8846</v>
      </c>
      <c r="LUC1" t="s">
        <v>8847</v>
      </c>
      <c r="LUD1" t="s">
        <v>8848</v>
      </c>
      <c r="LUE1" t="s">
        <v>8849</v>
      </c>
      <c r="LUF1" t="s">
        <v>8850</v>
      </c>
      <c r="LUG1" t="s">
        <v>8851</v>
      </c>
      <c r="LUH1" t="s">
        <v>8852</v>
      </c>
      <c r="LUI1" t="s">
        <v>8853</v>
      </c>
      <c r="LUJ1" t="s">
        <v>8854</v>
      </c>
      <c r="LUK1" t="s">
        <v>8855</v>
      </c>
      <c r="LUL1" t="s">
        <v>8856</v>
      </c>
      <c r="LUM1" t="s">
        <v>8857</v>
      </c>
      <c r="LUN1" t="s">
        <v>8858</v>
      </c>
      <c r="LUO1" t="s">
        <v>8859</v>
      </c>
      <c r="LUP1" t="s">
        <v>8860</v>
      </c>
      <c r="LUQ1" t="s">
        <v>8861</v>
      </c>
      <c r="LUR1" t="s">
        <v>8862</v>
      </c>
      <c r="LUS1" t="s">
        <v>8863</v>
      </c>
      <c r="LUT1" t="s">
        <v>8864</v>
      </c>
      <c r="LUU1" t="s">
        <v>8865</v>
      </c>
      <c r="LUV1" t="s">
        <v>8866</v>
      </c>
      <c r="LUW1" t="s">
        <v>8867</v>
      </c>
      <c r="LUX1" t="s">
        <v>8868</v>
      </c>
      <c r="LUY1" t="s">
        <v>8869</v>
      </c>
      <c r="LUZ1" t="s">
        <v>8870</v>
      </c>
      <c r="LVA1" t="s">
        <v>8871</v>
      </c>
      <c r="LVB1" t="s">
        <v>8872</v>
      </c>
      <c r="LVC1" t="s">
        <v>8873</v>
      </c>
      <c r="LVD1" t="s">
        <v>8874</v>
      </c>
      <c r="LVE1" t="s">
        <v>8875</v>
      </c>
      <c r="LVF1" t="s">
        <v>8876</v>
      </c>
      <c r="LVG1" t="s">
        <v>8877</v>
      </c>
      <c r="LVH1" t="s">
        <v>8878</v>
      </c>
      <c r="LVI1" t="s">
        <v>8879</v>
      </c>
      <c r="LVJ1" t="s">
        <v>8880</v>
      </c>
      <c r="LVK1" t="s">
        <v>8881</v>
      </c>
      <c r="LVL1" t="s">
        <v>8882</v>
      </c>
      <c r="LVM1" t="s">
        <v>8883</v>
      </c>
      <c r="LVN1" t="s">
        <v>8884</v>
      </c>
      <c r="LVO1" t="s">
        <v>8885</v>
      </c>
      <c r="LVP1" t="s">
        <v>8886</v>
      </c>
      <c r="LVQ1" t="s">
        <v>8887</v>
      </c>
      <c r="LVR1" t="s">
        <v>8888</v>
      </c>
      <c r="LVS1" t="s">
        <v>8889</v>
      </c>
      <c r="LVT1" t="s">
        <v>8890</v>
      </c>
      <c r="LVU1" t="s">
        <v>8891</v>
      </c>
      <c r="LVV1" t="s">
        <v>8892</v>
      </c>
      <c r="LVW1" t="s">
        <v>8893</v>
      </c>
      <c r="LVX1" t="s">
        <v>8894</v>
      </c>
      <c r="LVY1" t="s">
        <v>8895</v>
      </c>
      <c r="LVZ1" t="s">
        <v>8896</v>
      </c>
      <c r="LWA1" t="s">
        <v>8897</v>
      </c>
      <c r="LWB1" t="s">
        <v>8898</v>
      </c>
      <c r="LWC1" t="s">
        <v>8899</v>
      </c>
      <c r="LWD1" t="s">
        <v>8900</v>
      </c>
      <c r="LWE1" t="s">
        <v>8901</v>
      </c>
      <c r="LWF1" t="s">
        <v>8902</v>
      </c>
      <c r="LWG1" t="s">
        <v>8903</v>
      </c>
      <c r="LWH1" t="s">
        <v>8904</v>
      </c>
      <c r="LWI1" t="s">
        <v>8905</v>
      </c>
      <c r="LWJ1" t="s">
        <v>8906</v>
      </c>
      <c r="LWK1" t="s">
        <v>8907</v>
      </c>
      <c r="LWL1" t="s">
        <v>8908</v>
      </c>
      <c r="LWM1" t="s">
        <v>8909</v>
      </c>
      <c r="LWN1" t="s">
        <v>8910</v>
      </c>
      <c r="LWO1" t="s">
        <v>8911</v>
      </c>
      <c r="LWP1" t="s">
        <v>8912</v>
      </c>
      <c r="LWQ1" t="s">
        <v>8913</v>
      </c>
      <c r="LWR1" t="s">
        <v>8914</v>
      </c>
      <c r="LWS1" t="s">
        <v>8915</v>
      </c>
      <c r="LWT1" t="s">
        <v>8916</v>
      </c>
      <c r="LWU1" t="s">
        <v>8917</v>
      </c>
      <c r="LWV1" t="s">
        <v>8918</v>
      </c>
      <c r="LWW1" t="s">
        <v>8919</v>
      </c>
      <c r="LWX1" t="s">
        <v>8920</v>
      </c>
      <c r="LWY1" t="s">
        <v>8921</v>
      </c>
      <c r="LWZ1" t="s">
        <v>8922</v>
      </c>
      <c r="LXA1" t="s">
        <v>8923</v>
      </c>
      <c r="LXB1" t="s">
        <v>8924</v>
      </c>
      <c r="LXC1" t="s">
        <v>8925</v>
      </c>
      <c r="LXD1" t="s">
        <v>8926</v>
      </c>
      <c r="LXE1" t="s">
        <v>8927</v>
      </c>
      <c r="LXF1" t="s">
        <v>8928</v>
      </c>
      <c r="LXG1" t="s">
        <v>8929</v>
      </c>
      <c r="LXH1" t="s">
        <v>8930</v>
      </c>
      <c r="LXI1" t="s">
        <v>8931</v>
      </c>
      <c r="LXJ1" t="s">
        <v>8932</v>
      </c>
      <c r="LXK1" t="s">
        <v>8933</v>
      </c>
      <c r="LXL1" t="s">
        <v>8934</v>
      </c>
      <c r="LXM1" t="s">
        <v>8935</v>
      </c>
      <c r="LXN1" t="s">
        <v>8936</v>
      </c>
      <c r="LXO1" t="s">
        <v>8937</v>
      </c>
      <c r="LXP1" t="s">
        <v>8938</v>
      </c>
      <c r="LXQ1" t="s">
        <v>8939</v>
      </c>
      <c r="LXR1" t="s">
        <v>8940</v>
      </c>
      <c r="LXS1" t="s">
        <v>8941</v>
      </c>
      <c r="LXT1" t="s">
        <v>8942</v>
      </c>
      <c r="LXU1" t="s">
        <v>8943</v>
      </c>
      <c r="LXV1" t="s">
        <v>8944</v>
      </c>
      <c r="LXW1" t="s">
        <v>8945</v>
      </c>
      <c r="LXX1" t="s">
        <v>8946</v>
      </c>
      <c r="LXY1" t="s">
        <v>8947</v>
      </c>
      <c r="LXZ1" t="s">
        <v>8948</v>
      </c>
      <c r="LYA1" t="s">
        <v>8949</v>
      </c>
      <c r="LYB1" t="s">
        <v>8950</v>
      </c>
      <c r="LYC1" t="s">
        <v>8951</v>
      </c>
      <c r="LYD1" t="s">
        <v>8952</v>
      </c>
      <c r="LYE1" t="s">
        <v>8953</v>
      </c>
      <c r="LYF1" t="s">
        <v>8954</v>
      </c>
      <c r="LYG1" t="s">
        <v>8955</v>
      </c>
      <c r="LYH1" t="s">
        <v>8956</v>
      </c>
      <c r="LYI1" t="s">
        <v>8957</v>
      </c>
      <c r="LYJ1" t="s">
        <v>8958</v>
      </c>
      <c r="LYK1" t="s">
        <v>8959</v>
      </c>
      <c r="LYL1" t="s">
        <v>8960</v>
      </c>
      <c r="LYM1" t="s">
        <v>8961</v>
      </c>
      <c r="LYN1" t="s">
        <v>8962</v>
      </c>
      <c r="LYO1" t="s">
        <v>8963</v>
      </c>
      <c r="LYP1" t="s">
        <v>8964</v>
      </c>
      <c r="LYQ1" t="s">
        <v>8965</v>
      </c>
      <c r="LYR1" t="s">
        <v>8966</v>
      </c>
      <c r="LYS1" t="s">
        <v>8967</v>
      </c>
      <c r="LYT1" t="s">
        <v>8968</v>
      </c>
      <c r="LYU1" t="s">
        <v>8969</v>
      </c>
      <c r="LYV1" t="s">
        <v>8970</v>
      </c>
      <c r="LYW1" t="s">
        <v>8971</v>
      </c>
      <c r="LYX1" t="s">
        <v>8972</v>
      </c>
      <c r="LYY1" t="s">
        <v>8973</v>
      </c>
      <c r="LYZ1" t="s">
        <v>8974</v>
      </c>
      <c r="LZA1" t="s">
        <v>8975</v>
      </c>
      <c r="LZB1" t="s">
        <v>8976</v>
      </c>
      <c r="LZC1" t="s">
        <v>8977</v>
      </c>
      <c r="LZD1" t="s">
        <v>8978</v>
      </c>
      <c r="LZE1" t="s">
        <v>8979</v>
      </c>
      <c r="LZF1" t="s">
        <v>8980</v>
      </c>
      <c r="LZG1" t="s">
        <v>8981</v>
      </c>
      <c r="LZH1" t="s">
        <v>8982</v>
      </c>
      <c r="LZI1" t="s">
        <v>8983</v>
      </c>
      <c r="LZJ1" t="s">
        <v>8984</v>
      </c>
      <c r="LZK1" t="s">
        <v>8985</v>
      </c>
      <c r="LZL1" t="s">
        <v>8986</v>
      </c>
      <c r="LZM1" t="s">
        <v>8987</v>
      </c>
      <c r="LZN1" t="s">
        <v>8988</v>
      </c>
      <c r="LZO1" t="s">
        <v>8989</v>
      </c>
      <c r="LZP1" t="s">
        <v>8990</v>
      </c>
      <c r="LZQ1" t="s">
        <v>8991</v>
      </c>
      <c r="LZR1" t="s">
        <v>8992</v>
      </c>
      <c r="LZS1" t="s">
        <v>8993</v>
      </c>
      <c r="LZT1" t="s">
        <v>8994</v>
      </c>
      <c r="LZU1" t="s">
        <v>8995</v>
      </c>
      <c r="LZV1" t="s">
        <v>8996</v>
      </c>
      <c r="LZW1" t="s">
        <v>8997</v>
      </c>
      <c r="LZX1" t="s">
        <v>8998</v>
      </c>
      <c r="LZY1" t="s">
        <v>8999</v>
      </c>
      <c r="LZZ1" t="s">
        <v>9000</v>
      </c>
      <c r="MAA1" t="s">
        <v>9001</v>
      </c>
      <c r="MAB1" t="s">
        <v>9002</v>
      </c>
      <c r="MAC1" t="s">
        <v>9003</v>
      </c>
      <c r="MAD1" t="s">
        <v>9004</v>
      </c>
      <c r="MAE1" t="s">
        <v>9005</v>
      </c>
      <c r="MAF1" t="s">
        <v>9006</v>
      </c>
      <c r="MAG1" t="s">
        <v>9007</v>
      </c>
      <c r="MAH1" t="s">
        <v>9008</v>
      </c>
      <c r="MAI1" t="s">
        <v>9009</v>
      </c>
      <c r="MAJ1" t="s">
        <v>9010</v>
      </c>
      <c r="MAK1" t="s">
        <v>9011</v>
      </c>
      <c r="MAL1" t="s">
        <v>9012</v>
      </c>
      <c r="MAM1" t="s">
        <v>9013</v>
      </c>
      <c r="MAN1" t="s">
        <v>9014</v>
      </c>
      <c r="MAO1" t="s">
        <v>9015</v>
      </c>
      <c r="MAP1" t="s">
        <v>9016</v>
      </c>
      <c r="MAQ1" t="s">
        <v>9017</v>
      </c>
      <c r="MAR1" t="s">
        <v>9018</v>
      </c>
      <c r="MAS1" t="s">
        <v>9019</v>
      </c>
      <c r="MAT1" t="s">
        <v>9020</v>
      </c>
      <c r="MAU1" t="s">
        <v>9021</v>
      </c>
      <c r="MAV1" t="s">
        <v>9022</v>
      </c>
      <c r="MAW1" t="s">
        <v>9023</v>
      </c>
      <c r="MAX1" t="s">
        <v>9024</v>
      </c>
      <c r="MAY1" t="s">
        <v>9025</v>
      </c>
      <c r="MAZ1" t="s">
        <v>9026</v>
      </c>
      <c r="MBA1" t="s">
        <v>9027</v>
      </c>
      <c r="MBB1" t="s">
        <v>9028</v>
      </c>
      <c r="MBC1" t="s">
        <v>9029</v>
      </c>
      <c r="MBD1" t="s">
        <v>9030</v>
      </c>
      <c r="MBE1" t="s">
        <v>9031</v>
      </c>
      <c r="MBF1" t="s">
        <v>9032</v>
      </c>
      <c r="MBG1" t="s">
        <v>9033</v>
      </c>
      <c r="MBH1" t="s">
        <v>9034</v>
      </c>
      <c r="MBI1" t="s">
        <v>9035</v>
      </c>
      <c r="MBJ1" t="s">
        <v>9036</v>
      </c>
      <c r="MBK1" t="s">
        <v>9037</v>
      </c>
      <c r="MBL1" t="s">
        <v>9038</v>
      </c>
      <c r="MBM1" t="s">
        <v>9039</v>
      </c>
      <c r="MBN1" t="s">
        <v>9040</v>
      </c>
      <c r="MBO1" t="s">
        <v>9041</v>
      </c>
      <c r="MBP1" t="s">
        <v>9042</v>
      </c>
      <c r="MBQ1" t="s">
        <v>9043</v>
      </c>
      <c r="MBR1" t="s">
        <v>9044</v>
      </c>
      <c r="MBS1" t="s">
        <v>9045</v>
      </c>
      <c r="MBT1" t="s">
        <v>9046</v>
      </c>
      <c r="MBU1" t="s">
        <v>9047</v>
      </c>
      <c r="MBV1" t="s">
        <v>9048</v>
      </c>
      <c r="MBW1" t="s">
        <v>9049</v>
      </c>
      <c r="MBX1" t="s">
        <v>9050</v>
      </c>
      <c r="MBY1" t="s">
        <v>9051</v>
      </c>
      <c r="MBZ1" t="s">
        <v>9052</v>
      </c>
      <c r="MCA1" t="s">
        <v>9053</v>
      </c>
      <c r="MCB1" t="s">
        <v>9054</v>
      </c>
      <c r="MCC1" t="s">
        <v>9055</v>
      </c>
      <c r="MCD1" t="s">
        <v>9056</v>
      </c>
      <c r="MCE1" t="s">
        <v>9057</v>
      </c>
      <c r="MCF1" t="s">
        <v>9058</v>
      </c>
      <c r="MCG1" t="s">
        <v>9059</v>
      </c>
      <c r="MCH1" t="s">
        <v>9060</v>
      </c>
      <c r="MCI1" t="s">
        <v>9061</v>
      </c>
      <c r="MCJ1" t="s">
        <v>9062</v>
      </c>
      <c r="MCK1" t="s">
        <v>9063</v>
      </c>
      <c r="MCL1" t="s">
        <v>9064</v>
      </c>
      <c r="MCM1" t="s">
        <v>9065</v>
      </c>
      <c r="MCN1" t="s">
        <v>9066</v>
      </c>
      <c r="MCO1" t="s">
        <v>9067</v>
      </c>
      <c r="MCP1" t="s">
        <v>9068</v>
      </c>
      <c r="MCQ1" t="s">
        <v>9069</v>
      </c>
      <c r="MCR1" t="s">
        <v>9070</v>
      </c>
      <c r="MCS1" t="s">
        <v>9071</v>
      </c>
      <c r="MCT1" t="s">
        <v>9072</v>
      </c>
      <c r="MCU1" t="s">
        <v>9073</v>
      </c>
      <c r="MCV1" t="s">
        <v>9074</v>
      </c>
      <c r="MCW1" t="s">
        <v>9075</v>
      </c>
      <c r="MCX1" t="s">
        <v>9076</v>
      </c>
      <c r="MCY1" t="s">
        <v>9077</v>
      </c>
      <c r="MCZ1" t="s">
        <v>9078</v>
      </c>
      <c r="MDA1" t="s">
        <v>9079</v>
      </c>
      <c r="MDB1" t="s">
        <v>9080</v>
      </c>
      <c r="MDC1" t="s">
        <v>9081</v>
      </c>
      <c r="MDD1" t="s">
        <v>9082</v>
      </c>
      <c r="MDE1" t="s">
        <v>9083</v>
      </c>
      <c r="MDF1" t="s">
        <v>9084</v>
      </c>
      <c r="MDG1" t="s">
        <v>9085</v>
      </c>
      <c r="MDH1" t="s">
        <v>9086</v>
      </c>
      <c r="MDI1" t="s">
        <v>9087</v>
      </c>
      <c r="MDJ1" t="s">
        <v>9088</v>
      </c>
      <c r="MDK1" t="s">
        <v>9089</v>
      </c>
      <c r="MDL1" t="s">
        <v>9090</v>
      </c>
      <c r="MDM1" t="s">
        <v>9091</v>
      </c>
      <c r="MDN1" t="s">
        <v>9092</v>
      </c>
      <c r="MDO1" t="s">
        <v>9093</v>
      </c>
      <c r="MDP1" t="s">
        <v>9094</v>
      </c>
      <c r="MDQ1" t="s">
        <v>9095</v>
      </c>
      <c r="MDR1" t="s">
        <v>9096</v>
      </c>
      <c r="MDS1" t="s">
        <v>9097</v>
      </c>
      <c r="MDT1" t="s">
        <v>9098</v>
      </c>
      <c r="MDU1" t="s">
        <v>9099</v>
      </c>
      <c r="MDV1" t="s">
        <v>9100</v>
      </c>
      <c r="MDW1" t="s">
        <v>9101</v>
      </c>
      <c r="MDX1" t="s">
        <v>9102</v>
      </c>
      <c r="MDY1" t="s">
        <v>9103</v>
      </c>
      <c r="MDZ1" t="s">
        <v>9104</v>
      </c>
      <c r="MEA1" t="s">
        <v>9105</v>
      </c>
      <c r="MEB1" t="s">
        <v>9106</v>
      </c>
      <c r="MEC1" t="s">
        <v>9107</v>
      </c>
      <c r="MED1" t="s">
        <v>9108</v>
      </c>
      <c r="MEE1" t="s">
        <v>9109</v>
      </c>
      <c r="MEF1" t="s">
        <v>9110</v>
      </c>
      <c r="MEG1" t="s">
        <v>9111</v>
      </c>
      <c r="MEH1" t="s">
        <v>9112</v>
      </c>
      <c r="MEI1" t="s">
        <v>9113</v>
      </c>
      <c r="MEJ1" t="s">
        <v>9114</v>
      </c>
      <c r="MEK1" t="s">
        <v>9115</v>
      </c>
      <c r="MEL1" t="s">
        <v>9116</v>
      </c>
      <c r="MEM1" t="s">
        <v>9117</v>
      </c>
      <c r="MEN1" t="s">
        <v>9118</v>
      </c>
      <c r="MEO1" t="s">
        <v>9119</v>
      </c>
      <c r="MEP1" t="s">
        <v>9120</v>
      </c>
      <c r="MEQ1" t="s">
        <v>9121</v>
      </c>
      <c r="MER1" t="s">
        <v>9122</v>
      </c>
      <c r="MES1" t="s">
        <v>9123</v>
      </c>
      <c r="MET1" t="s">
        <v>9124</v>
      </c>
      <c r="MEU1" t="s">
        <v>9125</v>
      </c>
      <c r="MEV1" t="s">
        <v>9126</v>
      </c>
      <c r="MEW1" t="s">
        <v>9127</v>
      </c>
      <c r="MEX1" t="s">
        <v>9128</v>
      </c>
      <c r="MEY1" t="s">
        <v>9129</v>
      </c>
      <c r="MEZ1" t="s">
        <v>9130</v>
      </c>
      <c r="MFA1" t="s">
        <v>9131</v>
      </c>
      <c r="MFB1" t="s">
        <v>9132</v>
      </c>
      <c r="MFC1" t="s">
        <v>9133</v>
      </c>
      <c r="MFD1" t="s">
        <v>9134</v>
      </c>
      <c r="MFE1" t="s">
        <v>9135</v>
      </c>
      <c r="MFF1" t="s">
        <v>9136</v>
      </c>
      <c r="MFG1" t="s">
        <v>9137</v>
      </c>
      <c r="MFH1" t="s">
        <v>9138</v>
      </c>
      <c r="MFI1" t="s">
        <v>9139</v>
      </c>
      <c r="MFJ1" t="s">
        <v>9140</v>
      </c>
      <c r="MFK1" t="s">
        <v>9141</v>
      </c>
      <c r="MFL1" t="s">
        <v>9142</v>
      </c>
      <c r="MFM1" t="s">
        <v>9143</v>
      </c>
      <c r="MFN1" t="s">
        <v>9144</v>
      </c>
      <c r="MFO1" t="s">
        <v>9145</v>
      </c>
      <c r="MFP1" t="s">
        <v>9146</v>
      </c>
      <c r="MFQ1" t="s">
        <v>9147</v>
      </c>
      <c r="MFR1" t="s">
        <v>9148</v>
      </c>
      <c r="MFS1" t="s">
        <v>9149</v>
      </c>
      <c r="MFT1" t="s">
        <v>9150</v>
      </c>
      <c r="MFU1" t="s">
        <v>9151</v>
      </c>
      <c r="MFV1" t="s">
        <v>9152</v>
      </c>
      <c r="MFW1" t="s">
        <v>9153</v>
      </c>
      <c r="MFX1" t="s">
        <v>9154</v>
      </c>
      <c r="MFY1" t="s">
        <v>9155</v>
      </c>
      <c r="MFZ1" t="s">
        <v>9156</v>
      </c>
      <c r="MGA1" t="s">
        <v>9157</v>
      </c>
      <c r="MGB1" t="s">
        <v>9158</v>
      </c>
      <c r="MGC1" t="s">
        <v>9159</v>
      </c>
      <c r="MGD1" t="s">
        <v>9160</v>
      </c>
      <c r="MGE1" t="s">
        <v>9161</v>
      </c>
      <c r="MGF1" t="s">
        <v>9162</v>
      </c>
      <c r="MGG1" t="s">
        <v>9163</v>
      </c>
      <c r="MGH1" t="s">
        <v>9164</v>
      </c>
      <c r="MGI1" t="s">
        <v>9165</v>
      </c>
      <c r="MGJ1" t="s">
        <v>9166</v>
      </c>
      <c r="MGK1" t="s">
        <v>9167</v>
      </c>
      <c r="MGL1" t="s">
        <v>9168</v>
      </c>
      <c r="MGM1" t="s">
        <v>9169</v>
      </c>
      <c r="MGN1" t="s">
        <v>9170</v>
      </c>
      <c r="MGO1" t="s">
        <v>9171</v>
      </c>
      <c r="MGP1" t="s">
        <v>9172</v>
      </c>
      <c r="MGQ1" t="s">
        <v>9173</v>
      </c>
      <c r="MGR1" t="s">
        <v>9174</v>
      </c>
      <c r="MGS1" t="s">
        <v>9175</v>
      </c>
      <c r="MGT1" t="s">
        <v>9176</v>
      </c>
      <c r="MGU1" t="s">
        <v>9177</v>
      </c>
      <c r="MGV1" t="s">
        <v>9178</v>
      </c>
      <c r="MGW1" t="s">
        <v>9179</v>
      </c>
      <c r="MGX1" t="s">
        <v>9180</v>
      </c>
      <c r="MGY1" t="s">
        <v>9181</v>
      </c>
      <c r="MGZ1" t="s">
        <v>9182</v>
      </c>
      <c r="MHA1" t="s">
        <v>9183</v>
      </c>
      <c r="MHB1" t="s">
        <v>9184</v>
      </c>
      <c r="MHC1" t="s">
        <v>9185</v>
      </c>
      <c r="MHD1" t="s">
        <v>9186</v>
      </c>
      <c r="MHE1" t="s">
        <v>9187</v>
      </c>
      <c r="MHF1" t="s">
        <v>9188</v>
      </c>
      <c r="MHG1" t="s">
        <v>9189</v>
      </c>
      <c r="MHH1" t="s">
        <v>9190</v>
      </c>
      <c r="MHI1" t="s">
        <v>9191</v>
      </c>
      <c r="MHJ1" t="s">
        <v>9192</v>
      </c>
      <c r="MHK1" t="s">
        <v>9193</v>
      </c>
      <c r="MHL1" t="s">
        <v>9194</v>
      </c>
      <c r="MHM1" t="s">
        <v>9195</v>
      </c>
      <c r="MHN1" t="s">
        <v>9196</v>
      </c>
      <c r="MHO1" t="s">
        <v>9197</v>
      </c>
      <c r="MHP1" t="s">
        <v>9198</v>
      </c>
      <c r="MHQ1" t="s">
        <v>9199</v>
      </c>
      <c r="MHR1" t="s">
        <v>9200</v>
      </c>
      <c r="MHS1" t="s">
        <v>9201</v>
      </c>
      <c r="MHT1" t="s">
        <v>9202</v>
      </c>
      <c r="MHU1" t="s">
        <v>9203</v>
      </c>
      <c r="MHV1" t="s">
        <v>9204</v>
      </c>
      <c r="MHW1" t="s">
        <v>9205</v>
      </c>
      <c r="MHX1" t="s">
        <v>9206</v>
      </c>
      <c r="MHY1" t="s">
        <v>9207</v>
      </c>
      <c r="MHZ1" t="s">
        <v>9208</v>
      </c>
      <c r="MIA1" t="s">
        <v>9209</v>
      </c>
      <c r="MIB1" t="s">
        <v>9210</v>
      </c>
      <c r="MIC1" t="s">
        <v>9211</v>
      </c>
      <c r="MID1" t="s">
        <v>9212</v>
      </c>
      <c r="MIE1" t="s">
        <v>9213</v>
      </c>
      <c r="MIF1" t="s">
        <v>9214</v>
      </c>
      <c r="MIG1" t="s">
        <v>9215</v>
      </c>
      <c r="MIH1" t="s">
        <v>9216</v>
      </c>
      <c r="MII1" t="s">
        <v>9217</v>
      </c>
      <c r="MIJ1" t="s">
        <v>9218</v>
      </c>
      <c r="MIK1" t="s">
        <v>9219</v>
      </c>
      <c r="MIL1" t="s">
        <v>9220</v>
      </c>
      <c r="MIM1" t="s">
        <v>9221</v>
      </c>
      <c r="MIN1" t="s">
        <v>9222</v>
      </c>
      <c r="MIO1" t="s">
        <v>9223</v>
      </c>
      <c r="MIP1" t="s">
        <v>9224</v>
      </c>
      <c r="MIQ1" t="s">
        <v>9225</v>
      </c>
      <c r="MIR1" t="s">
        <v>9226</v>
      </c>
      <c r="MIS1" t="s">
        <v>9227</v>
      </c>
      <c r="MIT1" t="s">
        <v>9228</v>
      </c>
      <c r="MIU1" t="s">
        <v>9229</v>
      </c>
      <c r="MIV1" t="s">
        <v>9230</v>
      </c>
      <c r="MIW1" t="s">
        <v>9231</v>
      </c>
      <c r="MIX1" t="s">
        <v>9232</v>
      </c>
      <c r="MIY1" t="s">
        <v>9233</v>
      </c>
      <c r="MIZ1" t="s">
        <v>9234</v>
      </c>
      <c r="MJA1" t="s">
        <v>9235</v>
      </c>
      <c r="MJB1" t="s">
        <v>9236</v>
      </c>
      <c r="MJC1" t="s">
        <v>9237</v>
      </c>
      <c r="MJD1" t="s">
        <v>9238</v>
      </c>
      <c r="MJE1" t="s">
        <v>9239</v>
      </c>
      <c r="MJF1" t="s">
        <v>9240</v>
      </c>
      <c r="MJG1" t="s">
        <v>9241</v>
      </c>
      <c r="MJH1" t="s">
        <v>9242</v>
      </c>
      <c r="MJI1" t="s">
        <v>9243</v>
      </c>
      <c r="MJJ1" t="s">
        <v>9244</v>
      </c>
      <c r="MJK1" t="s">
        <v>9245</v>
      </c>
      <c r="MJL1" t="s">
        <v>9246</v>
      </c>
      <c r="MJM1" t="s">
        <v>9247</v>
      </c>
      <c r="MJN1" t="s">
        <v>9248</v>
      </c>
      <c r="MJO1" t="s">
        <v>9249</v>
      </c>
      <c r="MJP1" t="s">
        <v>9250</v>
      </c>
      <c r="MJQ1" t="s">
        <v>9251</v>
      </c>
      <c r="MJR1" t="s">
        <v>9252</v>
      </c>
      <c r="MJS1" t="s">
        <v>9253</v>
      </c>
      <c r="MJT1" t="s">
        <v>9254</v>
      </c>
      <c r="MJU1" t="s">
        <v>9255</v>
      </c>
      <c r="MJV1" t="s">
        <v>9256</v>
      </c>
      <c r="MJW1" t="s">
        <v>9257</v>
      </c>
      <c r="MJX1" t="s">
        <v>9258</v>
      </c>
      <c r="MJY1" t="s">
        <v>9259</v>
      </c>
      <c r="MJZ1" t="s">
        <v>9260</v>
      </c>
      <c r="MKA1" t="s">
        <v>9261</v>
      </c>
      <c r="MKB1" t="s">
        <v>9262</v>
      </c>
      <c r="MKC1" t="s">
        <v>9263</v>
      </c>
      <c r="MKD1" t="s">
        <v>9264</v>
      </c>
      <c r="MKE1" t="s">
        <v>9265</v>
      </c>
      <c r="MKF1" t="s">
        <v>9266</v>
      </c>
      <c r="MKG1" t="s">
        <v>9267</v>
      </c>
      <c r="MKH1" t="s">
        <v>9268</v>
      </c>
      <c r="MKI1" t="s">
        <v>9269</v>
      </c>
      <c r="MKJ1" t="s">
        <v>9270</v>
      </c>
      <c r="MKK1" t="s">
        <v>9271</v>
      </c>
      <c r="MKL1" t="s">
        <v>9272</v>
      </c>
      <c r="MKM1" t="s">
        <v>9273</v>
      </c>
      <c r="MKN1" t="s">
        <v>9274</v>
      </c>
      <c r="MKO1" t="s">
        <v>9275</v>
      </c>
      <c r="MKP1" t="s">
        <v>9276</v>
      </c>
      <c r="MKQ1" t="s">
        <v>9277</v>
      </c>
      <c r="MKR1" t="s">
        <v>9278</v>
      </c>
      <c r="MKS1" t="s">
        <v>9279</v>
      </c>
      <c r="MKT1" t="s">
        <v>9280</v>
      </c>
      <c r="MKU1" t="s">
        <v>9281</v>
      </c>
      <c r="MKV1" t="s">
        <v>9282</v>
      </c>
      <c r="MKW1" t="s">
        <v>9283</v>
      </c>
      <c r="MKX1" t="s">
        <v>9284</v>
      </c>
      <c r="MKY1" t="s">
        <v>9285</v>
      </c>
      <c r="MKZ1" t="s">
        <v>9286</v>
      </c>
      <c r="MLA1" t="s">
        <v>9287</v>
      </c>
      <c r="MLB1" t="s">
        <v>9288</v>
      </c>
      <c r="MLC1" t="s">
        <v>9289</v>
      </c>
      <c r="MLD1" t="s">
        <v>9290</v>
      </c>
      <c r="MLE1" t="s">
        <v>9291</v>
      </c>
      <c r="MLF1" t="s">
        <v>9292</v>
      </c>
      <c r="MLG1" t="s">
        <v>9293</v>
      </c>
      <c r="MLH1" t="s">
        <v>9294</v>
      </c>
      <c r="MLI1" t="s">
        <v>9295</v>
      </c>
      <c r="MLJ1" t="s">
        <v>9296</v>
      </c>
      <c r="MLK1" t="s">
        <v>9297</v>
      </c>
      <c r="MLL1" t="s">
        <v>9298</v>
      </c>
      <c r="MLM1" t="s">
        <v>9299</v>
      </c>
      <c r="MLN1" t="s">
        <v>9300</v>
      </c>
      <c r="MLO1" t="s">
        <v>9301</v>
      </c>
      <c r="MLP1" t="s">
        <v>9302</v>
      </c>
      <c r="MLQ1" t="s">
        <v>9303</v>
      </c>
      <c r="MLR1" t="s">
        <v>9304</v>
      </c>
      <c r="MLS1" t="s">
        <v>9305</v>
      </c>
      <c r="MLT1" t="s">
        <v>9306</v>
      </c>
      <c r="MLU1" t="s">
        <v>9307</v>
      </c>
      <c r="MLV1" t="s">
        <v>9308</v>
      </c>
      <c r="MLW1" t="s">
        <v>9309</v>
      </c>
      <c r="MLX1" t="s">
        <v>9310</v>
      </c>
      <c r="MLY1" t="s">
        <v>9311</v>
      </c>
      <c r="MLZ1" t="s">
        <v>9312</v>
      </c>
      <c r="MMA1" t="s">
        <v>9313</v>
      </c>
      <c r="MMB1" t="s">
        <v>9314</v>
      </c>
      <c r="MMC1" t="s">
        <v>9315</v>
      </c>
      <c r="MMD1" t="s">
        <v>9316</v>
      </c>
      <c r="MME1" t="s">
        <v>9317</v>
      </c>
      <c r="MMF1" t="s">
        <v>9318</v>
      </c>
      <c r="MMG1" t="s">
        <v>9319</v>
      </c>
      <c r="MMH1" t="s">
        <v>9320</v>
      </c>
      <c r="MMI1" t="s">
        <v>9321</v>
      </c>
      <c r="MMJ1" t="s">
        <v>9322</v>
      </c>
      <c r="MMK1" t="s">
        <v>9323</v>
      </c>
      <c r="MML1" t="s">
        <v>9324</v>
      </c>
      <c r="MMM1" t="s">
        <v>9325</v>
      </c>
      <c r="MMN1" t="s">
        <v>9326</v>
      </c>
      <c r="MMO1" t="s">
        <v>9327</v>
      </c>
      <c r="MMP1" t="s">
        <v>9328</v>
      </c>
      <c r="MMQ1" t="s">
        <v>9329</v>
      </c>
      <c r="MMR1" t="s">
        <v>9330</v>
      </c>
      <c r="MMS1" t="s">
        <v>9331</v>
      </c>
      <c r="MMT1" t="s">
        <v>9332</v>
      </c>
      <c r="MMU1" t="s">
        <v>9333</v>
      </c>
      <c r="MMV1" t="s">
        <v>9334</v>
      </c>
      <c r="MMW1" t="s">
        <v>9335</v>
      </c>
      <c r="MMX1" t="s">
        <v>9336</v>
      </c>
      <c r="MMY1" t="s">
        <v>9337</v>
      </c>
      <c r="MMZ1" t="s">
        <v>9338</v>
      </c>
      <c r="MNA1" t="s">
        <v>9339</v>
      </c>
      <c r="MNB1" t="s">
        <v>9340</v>
      </c>
      <c r="MNC1" t="s">
        <v>9341</v>
      </c>
      <c r="MND1" t="s">
        <v>9342</v>
      </c>
      <c r="MNE1" t="s">
        <v>9343</v>
      </c>
      <c r="MNF1" t="s">
        <v>9344</v>
      </c>
      <c r="MNG1" t="s">
        <v>9345</v>
      </c>
      <c r="MNH1" t="s">
        <v>9346</v>
      </c>
      <c r="MNI1" t="s">
        <v>9347</v>
      </c>
      <c r="MNJ1" t="s">
        <v>9348</v>
      </c>
      <c r="MNK1" t="s">
        <v>9349</v>
      </c>
      <c r="MNL1" t="s">
        <v>9350</v>
      </c>
      <c r="MNM1" t="s">
        <v>9351</v>
      </c>
      <c r="MNN1" t="s">
        <v>9352</v>
      </c>
      <c r="MNO1" t="s">
        <v>9353</v>
      </c>
      <c r="MNP1" t="s">
        <v>9354</v>
      </c>
      <c r="MNQ1" t="s">
        <v>9355</v>
      </c>
      <c r="MNR1" t="s">
        <v>9356</v>
      </c>
      <c r="MNS1" t="s">
        <v>9357</v>
      </c>
      <c r="MNT1" t="s">
        <v>9358</v>
      </c>
      <c r="MNU1" t="s">
        <v>9359</v>
      </c>
      <c r="MNV1" t="s">
        <v>9360</v>
      </c>
      <c r="MNW1" t="s">
        <v>9361</v>
      </c>
      <c r="MNX1" t="s">
        <v>9362</v>
      </c>
      <c r="MNY1" t="s">
        <v>9363</v>
      </c>
      <c r="MNZ1" t="s">
        <v>9364</v>
      </c>
      <c r="MOA1" t="s">
        <v>9365</v>
      </c>
      <c r="MOB1" t="s">
        <v>9366</v>
      </c>
      <c r="MOC1" t="s">
        <v>9367</v>
      </c>
      <c r="MOD1" t="s">
        <v>9368</v>
      </c>
      <c r="MOE1" t="s">
        <v>9369</v>
      </c>
      <c r="MOF1" t="s">
        <v>9370</v>
      </c>
      <c r="MOG1" t="s">
        <v>9371</v>
      </c>
      <c r="MOH1" t="s">
        <v>9372</v>
      </c>
      <c r="MOI1" t="s">
        <v>9373</v>
      </c>
      <c r="MOJ1" t="s">
        <v>9374</v>
      </c>
      <c r="MOK1" t="s">
        <v>9375</v>
      </c>
      <c r="MOL1" t="s">
        <v>9376</v>
      </c>
      <c r="MOM1" t="s">
        <v>9377</v>
      </c>
      <c r="MON1" t="s">
        <v>9378</v>
      </c>
      <c r="MOO1" t="s">
        <v>9379</v>
      </c>
      <c r="MOP1" t="s">
        <v>9380</v>
      </c>
      <c r="MOQ1" t="s">
        <v>9381</v>
      </c>
      <c r="MOR1" t="s">
        <v>9382</v>
      </c>
      <c r="MOS1" t="s">
        <v>9383</v>
      </c>
      <c r="MOT1" t="s">
        <v>9384</v>
      </c>
      <c r="MOU1" t="s">
        <v>9385</v>
      </c>
      <c r="MOV1" t="s">
        <v>9386</v>
      </c>
      <c r="MOW1" t="s">
        <v>9387</v>
      </c>
      <c r="MOX1" t="s">
        <v>9388</v>
      </c>
      <c r="MOY1" t="s">
        <v>9389</v>
      </c>
      <c r="MOZ1" t="s">
        <v>9390</v>
      </c>
      <c r="MPA1" t="s">
        <v>9391</v>
      </c>
      <c r="MPB1" t="s">
        <v>9392</v>
      </c>
      <c r="MPC1" t="s">
        <v>9393</v>
      </c>
      <c r="MPD1" t="s">
        <v>9394</v>
      </c>
      <c r="MPE1" t="s">
        <v>9395</v>
      </c>
      <c r="MPF1" t="s">
        <v>9396</v>
      </c>
      <c r="MPG1" t="s">
        <v>9397</v>
      </c>
      <c r="MPH1" t="s">
        <v>9398</v>
      </c>
      <c r="MPI1" t="s">
        <v>9399</v>
      </c>
      <c r="MPJ1" t="s">
        <v>9400</v>
      </c>
      <c r="MPK1" t="s">
        <v>9401</v>
      </c>
      <c r="MPL1" t="s">
        <v>9402</v>
      </c>
      <c r="MPM1" t="s">
        <v>9403</v>
      </c>
      <c r="MPN1" t="s">
        <v>9404</v>
      </c>
      <c r="MPO1" t="s">
        <v>9405</v>
      </c>
      <c r="MPP1" t="s">
        <v>9406</v>
      </c>
      <c r="MPQ1" t="s">
        <v>9407</v>
      </c>
      <c r="MPR1" t="s">
        <v>9408</v>
      </c>
      <c r="MPS1" t="s">
        <v>9409</v>
      </c>
      <c r="MPT1" t="s">
        <v>9410</v>
      </c>
      <c r="MPU1" t="s">
        <v>9411</v>
      </c>
      <c r="MPV1" t="s">
        <v>9412</v>
      </c>
      <c r="MPW1" t="s">
        <v>9413</v>
      </c>
      <c r="MPX1" t="s">
        <v>9414</v>
      </c>
      <c r="MPY1" t="s">
        <v>9415</v>
      </c>
      <c r="MPZ1" t="s">
        <v>9416</v>
      </c>
      <c r="MQA1" t="s">
        <v>9417</v>
      </c>
      <c r="MQB1" t="s">
        <v>9418</v>
      </c>
      <c r="MQC1" t="s">
        <v>9419</v>
      </c>
      <c r="MQD1" t="s">
        <v>9420</v>
      </c>
      <c r="MQE1" t="s">
        <v>9421</v>
      </c>
      <c r="MQF1" t="s">
        <v>9422</v>
      </c>
      <c r="MQG1" t="s">
        <v>9423</v>
      </c>
      <c r="MQH1" t="s">
        <v>9424</v>
      </c>
      <c r="MQI1" t="s">
        <v>9425</v>
      </c>
      <c r="MQJ1" t="s">
        <v>9426</v>
      </c>
      <c r="MQK1" t="s">
        <v>9427</v>
      </c>
      <c r="MQL1" t="s">
        <v>9428</v>
      </c>
      <c r="MQM1" t="s">
        <v>9429</v>
      </c>
      <c r="MQN1" t="s">
        <v>9430</v>
      </c>
      <c r="MQO1" t="s">
        <v>9431</v>
      </c>
      <c r="MQP1" t="s">
        <v>9432</v>
      </c>
      <c r="MQQ1" t="s">
        <v>9433</v>
      </c>
      <c r="MQR1" t="s">
        <v>9434</v>
      </c>
      <c r="MQS1" t="s">
        <v>9435</v>
      </c>
      <c r="MQT1" t="s">
        <v>9436</v>
      </c>
      <c r="MQU1" t="s">
        <v>9437</v>
      </c>
      <c r="MQV1" t="s">
        <v>9438</v>
      </c>
      <c r="MQW1" t="s">
        <v>9439</v>
      </c>
      <c r="MQX1" t="s">
        <v>9440</v>
      </c>
      <c r="MQY1" t="s">
        <v>9441</v>
      </c>
      <c r="MQZ1" t="s">
        <v>9442</v>
      </c>
      <c r="MRA1" t="s">
        <v>9443</v>
      </c>
      <c r="MRB1" t="s">
        <v>9444</v>
      </c>
      <c r="MRC1" t="s">
        <v>9445</v>
      </c>
      <c r="MRD1" t="s">
        <v>9446</v>
      </c>
      <c r="MRE1" t="s">
        <v>9447</v>
      </c>
      <c r="MRF1" t="s">
        <v>9448</v>
      </c>
      <c r="MRG1" t="s">
        <v>9449</v>
      </c>
      <c r="MRH1" t="s">
        <v>9450</v>
      </c>
      <c r="MRI1" t="s">
        <v>9451</v>
      </c>
      <c r="MRJ1" t="s">
        <v>9452</v>
      </c>
      <c r="MRK1" t="s">
        <v>9453</v>
      </c>
      <c r="MRL1" t="s">
        <v>9454</v>
      </c>
      <c r="MRM1" t="s">
        <v>9455</v>
      </c>
      <c r="MRN1" t="s">
        <v>9456</v>
      </c>
      <c r="MRO1" t="s">
        <v>9457</v>
      </c>
      <c r="MRP1" t="s">
        <v>9458</v>
      </c>
      <c r="MRQ1" t="s">
        <v>9459</v>
      </c>
      <c r="MRR1" t="s">
        <v>9460</v>
      </c>
      <c r="MRS1" t="s">
        <v>9461</v>
      </c>
      <c r="MRT1" t="s">
        <v>9462</v>
      </c>
      <c r="MRU1" t="s">
        <v>9463</v>
      </c>
      <c r="MRV1" t="s">
        <v>9464</v>
      </c>
      <c r="MRW1" t="s">
        <v>9465</v>
      </c>
      <c r="MRX1" t="s">
        <v>9466</v>
      </c>
      <c r="MRY1" t="s">
        <v>9467</v>
      </c>
      <c r="MRZ1" t="s">
        <v>9468</v>
      </c>
      <c r="MSA1" t="s">
        <v>9469</v>
      </c>
      <c r="MSB1" t="s">
        <v>9470</v>
      </c>
      <c r="MSC1" t="s">
        <v>9471</v>
      </c>
      <c r="MSD1" t="s">
        <v>9472</v>
      </c>
      <c r="MSE1" t="s">
        <v>9473</v>
      </c>
      <c r="MSF1" t="s">
        <v>9474</v>
      </c>
      <c r="MSG1" t="s">
        <v>9475</v>
      </c>
      <c r="MSH1" t="s">
        <v>9476</v>
      </c>
      <c r="MSI1" t="s">
        <v>9477</v>
      </c>
      <c r="MSJ1" t="s">
        <v>9478</v>
      </c>
      <c r="MSK1" t="s">
        <v>9479</v>
      </c>
      <c r="MSL1" t="s">
        <v>9480</v>
      </c>
      <c r="MSM1" t="s">
        <v>9481</v>
      </c>
      <c r="MSN1" t="s">
        <v>9482</v>
      </c>
      <c r="MSO1" t="s">
        <v>9483</v>
      </c>
      <c r="MSP1" t="s">
        <v>9484</v>
      </c>
      <c r="MSQ1" t="s">
        <v>9485</v>
      </c>
      <c r="MSR1" t="s">
        <v>9486</v>
      </c>
      <c r="MSS1" t="s">
        <v>9487</v>
      </c>
      <c r="MST1" t="s">
        <v>9488</v>
      </c>
      <c r="MSU1" t="s">
        <v>9489</v>
      </c>
      <c r="MSV1" t="s">
        <v>9490</v>
      </c>
      <c r="MSW1" t="s">
        <v>9491</v>
      </c>
      <c r="MSX1" t="s">
        <v>9492</v>
      </c>
      <c r="MSY1" t="s">
        <v>9493</v>
      </c>
      <c r="MSZ1" t="s">
        <v>9494</v>
      </c>
      <c r="MTA1" t="s">
        <v>9495</v>
      </c>
      <c r="MTB1" t="s">
        <v>9496</v>
      </c>
      <c r="MTC1" t="s">
        <v>9497</v>
      </c>
      <c r="MTD1" t="s">
        <v>9498</v>
      </c>
      <c r="MTE1" t="s">
        <v>9499</v>
      </c>
      <c r="MTF1" t="s">
        <v>9500</v>
      </c>
      <c r="MTG1" t="s">
        <v>9501</v>
      </c>
      <c r="MTH1" t="s">
        <v>9502</v>
      </c>
      <c r="MTI1" t="s">
        <v>9503</v>
      </c>
      <c r="MTJ1" t="s">
        <v>9504</v>
      </c>
      <c r="MTK1" t="s">
        <v>9505</v>
      </c>
      <c r="MTL1" t="s">
        <v>9506</v>
      </c>
      <c r="MTM1" t="s">
        <v>9507</v>
      </c>
      <c r="MTN1" t="s">
        <v>9508</v>
      </c>
      <c r="MTO1" t="s">
        <v>9509</v>
      </c>
      <c r="MTP1" t="s">
        <v>9510</v>
      </c>
      <c r="MTQ1" t="s">
        <v>9511</v>
      </c>
      <c r="MTR1" t="s">
        <v>9512</v>
      </c>
      <c r="MTS1" t="s">
        <v>9513</v>
      </c>
      <c r="MTT1" t="s">
        <v>9514</v>
      </c>
      <c r="MTU1" t="s">
        <v>9515</v>
      </c>
      <c r="MTV1" t="s">
        <v>9516</v>
      </c>
      <c r="MTW1" t="s">
        <v>9517</v>
      </c>
      <c r="MTX1" t="s">
        <v>9518</v>
      </c>
      <c r="MTY1" t="s">
        <v>9519</v>
      </c>
      <c r="MTZ1" t="s">
        <v>9520</v>
      </c>
      <c r="MUA1" t="s">
        <v>9521</v>
      </c>
      <c r="MUB1" t="s">
        <v>9522</v>
      </c>
      <c r="MUC1" t="s">
        <v>9523</v>
      </c>
      <c r="MUD1" t="s">
        <v>9524</v>
      </c>
      <c r="MUE1" t="s">
        <v>9525</v>
      </c>
      <c r="MUF1" t="s">
        <v>9526</v>
      </c>
      <c r="MUG1" t="s">
        <v>9527</v>
      </c>
      <c r="MUH1" t="s">
        <v>9528</v>
      </c>
      <c r="MUI1" t="s">
        <v>9529</v>
      </c>
      <c r="MUJ1" t="s">
        <v>9530</v>
      </c>
      <c r="MUK1" t="s">
        <v>9531</v>
      </c>
      <c r="MUL1" t="s">
        <v>9532</v>
      </c>
      <c r="MUM1" t="s">
        <v>9533</v>
      </c>
      <c r="MUN1" t="s">
        <v>9534</v>
      </c>
      <c r="MUO1" t="s">
        <v>9535</v>
      </c>
      <c r="MUP1" t="s">
        <v>9536</v>
      </c>
      <c r="MUQ1" t="s">
        <v>9537</v>
      </c>
      <c r="MUR1" t="s">
        <v>9538</v>
      </c>
      <c r="MUS1" t="s">
        <v>9539</v>
      </c>
      <c r="MUT1" t="s">
        <v>9540</v>
      </c>
      <c r="MUU1" t="s">
        <v>9541</v>
      </c>
      <c r="MUV1" t="s">
        <v>9542</v>
      </c>
      <c r="MUW1" t="s">
        <v>9543</v>
      </c>
      <c r="MUX1" t="s">
        <v>9544</v>
      </c>
      <c r="MUY1" t="s">
        <v>9545</v>
      </c>
      <c r="MUZ1" t="s">
        <v>9546</v>
      </c>
      <c r="MVA1" t="s">
        <v>9547</v>
      </c>
      <c r="MVB1" t="s">
        <v>9548</v>
      </c>
      <c r="MVC1" t="s">
        <v>9549</v>
      </c>
      <c r="MVD1" t="s">
        <v>9550</v>
      </c>
      <c r="MVE1" t="s">
        <v>9551</v>
      </c>
      <c r="MVF1" t="s">
        <v>9552</v>
      </c>
      <c r="MVG1" t="s">
        <v>9553</v>
      </c>
      <c r="MVH1" t="s">
        <v>9554</v>
      </c>
      <c r="MVI1" t="s">
        <v>9555</v>
      </c>
      <c r="MVJ1" t="s">
        <v>9556</v>
      </c>
      <c r="MVK1" t="s">
        <v>9557</v>
      </c>
      <c r="MVL1" t="s">
        <v>9558</v>
      </c>
      <c r="MVM1" t="s">
        <v>9559</v>
      </c>
      <c r="MVN1" t="s">
        <v>9560</v>
      </c>
      <c r="MVO1" t="s">
        <v>9561</v>
      </c>
      <c r="MVP1" t="s">
        <v>9562</v>
      </c>
      <c r="MVQ1" t="s">
        <v>9563</v>
      </c>
      <c r="MVR1" t="s">
        <v>9564</v>
      </c>
      <c r="MVS1" t="s">
        <v>9565</v>
      </c>
      <c r="MVT1" t="s">
        <v>9566</v>
      </c>
      <c r="MVU1" t="s">
        <v>9567</v>
      </c>
      <c r="MVV1" t="s">
        <v>9568</v>
      </c>
      <c r="MVW1" t="s">
        <v>9569</v>
      </c>
      <c r="MVX1" t="s">
        <v>9570</v>
      </c>
      <c r="MVY1" t="s">
        <v>9571</v>
      </c>
      <c r="MVZ1" t="s">
        <v>9572</v>
      </c>
      <c r="MWA1" t="s">
        <v>9573</v>
      </c>
      <c r="MWB1" t="s">
        <v>9574</v>
      </c>
      <c r="MWC1" t="s">
        <v>9575</v>
      </c>
      <c r="MWD1" t="s">
        <v>9576</v>
      </c>
      <c r="MWE1" t="s">
        <v>9577</v>
      </c>
      <c r="MWF1" t="s">
        <v>9578</v>
      </c>
      <c r="MWG1" t="s">
        <v>9579</v>
      </c>
      <c r="MWH1" t="s">
        <v>9580</v>
      </c>
      <c r="MWI1" t="s">
        <v>9581</v>
      </c>
      <c r="MWJ1" t="s">
        <v>9582</v>
      </c>
      <c r="MWK1" t="s">
        <v>9583</v>
      </c>
      <c r="MWL1" t="s">
        <v>9584</v>
      </c>
      <c r="MWM1" t="s">
        <v>9585</v>
      </c>
      <c r="MWN1" t="s">
        <v>9586</v>
      </c>
      <c r="MWO1" t="s">
        <v>9587</v>
      </c>
      <c r="MWP1" t="s">
        <v>9588</v>
      </c>
      <c r="MWQ1" t="s">
        <v>9589</v>
      </c>
      <c r="MWR1" t="s">
        <v>9590</v>
      </c>
      <c r="MWS1" t="s">
        <v>9591</v>
      </c>
      <c r="MWT1" t="s">
        <v>9592</v>
      </c>
      <c r="MWU1" t="s">
        <v>9593</v>
      </c>
      <c r="MWV1" t="s">
        <v>9594</v>
      </c>
      <c r="MWW1" t="s">
        <v>9595</v>
      </c>
      <c r="MWX1" t="s">
        <v>9596</v>
      </c>
      <c r="MWY1" t="s">
        <v>9597</v>
      </c>
      <c r="MWZ1" t="s">
        <v>9598</v>
      </c>
      <c r="MXA1" t="s">
        <v>9599</v>
      </c>
      <c r="MXB1" t="s">
        <v>9600</v>
      </c>
      <c r="MXC1" t="s">
        <v>9601</v>
      </c>
      <c r="MXD1" t="s">
        <v>9602</v>
      </c>
      <c r="MXE1" t="s">
        <v>9603</v>
      </c>
      <c r="MXF1" t="s">
        <v>9604</v>
      </c>
      <c r="MXG1" t="s">
        <v>9605</v>
      </c>
      <c r="MXH1" t="s">
        <v>9606</v>
      </c>
      <c r="MXI1" t="s">
        <v>9607</v>
      </c>
      <c r="MXJ1" t="s">
        <v>9608</v>
      </c>
      <c r="MXK1" t="s">
        <v>9609</v>
      </c>
      <c r="MXL1" t="s">
        <v>9610</v>
      </c>
      <c r="MXM1" t="s">
        <v>9611</v>
      </c>
      <c r="MXN1" t="s">
        <v>9612</v>
      </c>
      <c r="MXO1" t="s">
        <v>9613</v>
      </c>
      <c r="MXP1" t="s">
        <v>9614</v>
      </c>
      <c r="MXQ1" t="s">
        <v>9615</v>
      </c>
      <c r="MXR1" t="s">
        <v>9616</v>
      </c>
      <c r="MXS1" t="s">
        <v>9617</v>
      </c>
      <c r="MXT1" t="s">
        <v>9618</v>
      </c>
      <c r="MXU1" t="s">
        <v>9619</v>
      </c>
      <c r="MXV1" t="s">
        <v>9620</v>
      </c>
      <c r="MXW1" t="s">
        <v>9621</v>
      </c>
      <c r="MXX1" t="s">
        <v>9622</v>
      </c>
      <c r="MXY1" t="s">
        <v>9623</v>
      </c>
      <c r="MXZ1" t="s">
        <v>9624</v>
      </c>
      <c r="MYA1" t="s">
        <v>9625</v>
      </c>
      <c r="MYB1" t="s">
        <v>9626</v>
      </c>
      <c r="MYC1" t="s">
        <v>9627</v>
      </c>
      <c r="MYD1" t="s">
        <v>9628</v>
      </c>
      <c r="MYE1" t="s">
        <v>9629</v>
      </c>
      <c r="MYF1" t="s">
        <v>9630</v>
      </c>
      <c r="MYG1" t="s">
        <v>9631</v>
      </c>
      <c r="MYH1" t="s">
        <v>9632</v>
      </c>
      <c r="MYI1" t="s">
        <v>9633</v>
      </c>
      <c r="MYJ1" t="s">
        <v>9634</v>
      </c>
      <c r="MYK1" t="s">
        <v>9635</v>
      </c>
      <c r="MYL1" t="s">
        <v>9636</v>
      </c>
      <c r="MYM1" t="s">
        <v>9637</v>
      </c>
      <c r="MYN1" t="s">
        <v>9638</v>
      </c>
      <c r="MYO1" t="s">
        <v>9639</v>
      </c>
      <c r="MYP1" t="s">
        <v>9640</v>
      </c>
      <c r="MYQ1" t="s">
        <v>9641</v>
      </c>
      <c r="MYR1" t="s">
        <v>9642</v>
      </c>
      <c r="MYS1" t="s">
        <v>9643</v>
      </c>
      <c r="MYT1" t="s">
        <v>9644</v>
      </c>
      <c r="MYU1" t="s">
        <v>9645</v>
      </c>
      <c r="MYV1" t="s">
        <v>9646</v>
      </c>
      <c r="MYW1" t="s">
        <v>9647</v>
      </c>
      <c r="MYX1" t="s">
        <v>9648</v>
      </c>
      <c r="MYY1" t="s">
        <v>9649</v>
      </c>
      <c r="MYZ1" t="s">
        <v>9650</v>
      </c>
      <c r="MZA1" t="s">
        <v>9651</v>
      </c>
      <c r="MZB1" t="s">
        <v>9652</v>
      </c>
      <c r="MZC1" t="s">
        <v>9653</v>
      </c>
      <c r="MZD1" t="s">
        <v>9654</v>
      </c>
      <c r="MZE1" t="s">
        <v>9655</v>
      </c>
      <c r="MZF1" t="s">
        <v>9656</v>
      </c>
      <c r="MZG1" t="s">
        <v>9657</v>
      </c>
      <c r="MZH1" t="s">
        <v>9658</v>
      </c>
      <c r="MZI1" t="s">
        <v>9659</v>
      </c>
      <c r="MZJ1" t="s">
        <v>9660</v>
      </c>
      <c r="MZK1" t="s">
        <v>9661</v>
      </c>
      <c r="MZL1" t="s">
        <v>9662</v>
      </c>
      <c r="MZM1" t="s">
        <v>9663</v>
      </c>
      <c r="MZN1" t="s">
        <v>9664</v>
      </c>
      <c r="MZO1" t="s">
        <v>9665</v>
      </c>
      <c r="MZP1" t="s">
        <v>9666</v>
      </c>
      <c r="MZQ1" t="s">
        <v>9667</v>
      </c>
      <c r="MZR1" t="s">
        <v>9668</v>
      </c>
      <c r="MZS1" t="s">
        <v>9669</v>
      </c>
      <c r="MZT1" t="s">
        <v>9670</v>
      </c>
      <c r="MZU1" t="s">
        <v>9671</v>
      </c>
      <c r="MZV1" t="s">
        <v>9672</v>
      </c>
      <c r="MZW1" t="s">
        <v>9673</v>
      </c>
      <c r="MZX1" t="s">
        <v>9674</v>
      </c>
      <c r="MZY1" t="s">
        <v>9675</v>
      </c>
      <c r="MZZ1" t="s">
        <v>9676</v>
      </c>
      <c r="NAA1" t="s">
        <v>9677</v>
      </c>
      <c r="NAB1" t="s">
        <v>9678</v>
      </c>
      <c r="NAC1" t="s">
        <v>9679</v>
      </c>
      <c r="NAD1" t="s">
        <v>9680</v>
      </c>
      <c r="NAE1" t="s">
        <v>9681</v>
      </c>
      <c r="NAF1" t="s">
        <v>9682</v>
      </c>
      <c r="NAG1" t="s">
        <v>9683</v>
      </c>
      <c r="NAH1" t="s">
        <v>9684</v>
      </c>
      <c r="NAI1" t="s">
        <v>9685</v>
      </c>
      <c r="NAJ1" t="s">
        <v>9686</v>
      </c>
      <c r="NAK1" t="s">
        <v>9687</v>
      </c>
      <c r="NAL1" t="s">
        <v>9688</v>
      </c>
      <c r="NAM1" t="s">
        <v>9689</v>
      </c>
      <c r="NAN1" t="s">
        <v>9690</v>
      </c>
      <c r="NAO1" t="s">
        <v>9691</v>
      </c>
      <c r="NAP1" t="s">
        <v>9692</v>
      </c>
      <c r="NAQ1" t="s">
        <v>9693</v>
      </c>
      <c r="NAR1" t="s">
        <v>9694</v>
      </c>
      <c r="NAS1" t="s">
        <v>9695</v>
      </c>
      <c r="NAT1" t="s">
        <v>9696</v>
      </c>
      <c r="NAU1" t="s">
        <v>9697</v>
      </c>
      <c r="NAV1" t="s">
        <v>9698</v>
      </c>
      <c r="NAW1" t="s">
        <v>9699</v>
      </c>
      <c r="NAX1" t="s">
        <v>9700</v>
      </c>
      <c r="NAY1" t="s">
        <v>9701</v>
      </c>
      <c r="NAZ1" t="s">
        <v>9702</v>
      </c>
      <c r="NBA1" t="s">
        <v>9703</v>
      </c>
      <c r="NBB1" t="s">
        <v>9704</v>
      </c>
      <c r="NBC1" t="s">
        <v>9705</v>
      </c>
      <c r="NBD1" t="s">
        <v>9706</v>
      </c>
      <c r="NBE1" t="s">
        <v>9707</v>
      </c>
      <c r="NBF1" t="s">
        <v>9708</v>
      </c>
      <c r="NBG1" t="s">
        <v>9709</v>
      </c>
      <c r="NBH1" t="s">
        <v>9710</v>
      </c>
      <c r="NBI1" t="s">
        <v>9711</v>
      </c>
      <c r="NBJ1" t="s">
        <v>9712</v>
      </c>
      <c r="NBK1" t="s">
        <v>9713</v>
      </c>
      <c r="NBL1" t="s">
        <v>9714</v>
      </c>
      <c r="NBM1" t="s">
        <v>9715</v>
      </c>
      <c r="NBN1" t="s">
        <v>9716</v>
      </c>
      <c r="NBO1" t="s">
        <v>9717</v>
      </c>
      <c r="NBP1" t="s">
        <v>9718</v>
      </c>
      <c r="NBQ1" t="s">
        <v>9719</v>
      </c>
      <c r="NBR1" t="s">
        <v>9720</v>
      </c>
      <c r="NBS1" t="s">
        <v>9721</v>
      </c>
      <c r="NBT1" t="s">
        <v>9722</v>
      </c>
      <c r="NBU1" t="s">
        <v>9723</v>
      </c>
      <c r="NBV1" t="s">
        <v>9724</v>
      </c>
      <c r="NBW1" t="s">
        <v>9725</v>
      </c>
      <c r="NBX1" t="s">
        <v>9726</v>
      </c>
      <c r="NBY1" t="s">
        <v>9727</v>
      </c>
      <c r="NBZ1" t="s">
        <v>9728</v>
      </c>
      <c r="NCA1" t="s">
        <v>9729</v>
      </c>
      <c r="NCB1" t="s">
        <v>9730</v>
      </c>
      <c r="NCC1" t="s">
        <v>9731</v>
      </c>
      <c r="NCD1" t="s">
        <v>9732</v>
      </c>
      <c r="NCE1" t="s">
        <v>9733</v>
      </c>
      <c r="NCF1" t="s">
        <v>9734</v>
      </c>
      <c r="NCG1" t="s">
        <v>9735</v>
      </c>
      <c r="NCH1" t="s">
        <v>9736</v>
      </c>
      <c r="NCI1" t="s">
        <v>9737</v>
      </c>
      <c r="NCJ1" t="s">
        <v>9738</v>
      </c>
      <c r="NCK1" t="s">
        <v>9739</v>
      </c>
      <c r="NCL1" t="s">
        <v>9740</v>
      </c>
      <c r="NCM1" t="s">
        <v>9741</v>
      </c>
      <c r="NCN1" t="s">
        <v>9742</v>
      </c>
      <c r="NCO1" t="s">
        <v>9743</v>
      </c>
      <c r="NCP1" t="s">
        <v>9744</v>
      </c>
      <c r="NCQ1" t="s">
        <v>9745</v>
      </c>
      <c r="NCR1" t="s">
        <v>9746</v>
      </c>
      <c r="NCS1" t="s">
        <v>9747</v>
      </c>
      <c r="NCT1" t="s">
        <v>9748</v>
      </c>
      <c r="NCU1" t="s">
        <v>9749</v>
      </c>
      <c r="NCV1" t="s">
        <v>9750</v>
      </c>
      <c r="NCW1" t="s">
        <v>9751</v>
      </c>
      <c r="NCX1" t="s">
        <v>9752</v>
      </c>
      <c r="NCY1" t="s">
        <v>9753</v>
      </c>
      <c r="NCZ1" t="s">
        <v>9754</v>
      </c>
      <c r="NDA1" t="s">
        <v>9755</v>
      </c>
      <c r="NDB1" t="s">
        <v>9756</v>
      </c>
      <c r="NDC1" t="s">
        <v>9757</v>
      </c>
      <c r="NDD1" t="s">
        <v>9758</v>
      </c>
      <c r="NDE1" t="s">
        <v>9759</v>
      </c>
      <c r="NDF1" t="s">
        <v>9760</v>
      </c>
      <c r="NDG1" t="s">
        <v>9761</v>
      </c>
      <c r="NDH1" t="s">
        <v>9762</v>
      </c>
      <c r="NDI1" t="s">
        <v>9763</v>
      </c>
      <c r="NDJ1" t="s">
        <v>9764</v>
      </c>
      <c r="NDK1" t="s">
        <v>9765</v>
      </c>
      <c r="NDL1" t="s">
        <v>9766</v>
      </c>
      <c r="NDM1" t="s">
        <v>9767</v>
      </c>
      <c r="NDN1" t="s">
        <v>9768</v>
      </c>
      <c r="NDO1" t="s">
        <v>9769</v>
      </c>
      <c r="NDP1" t="s">
        <v>9770</v>
      </c>
      <c r="NDQ1" t="s">
        <v>9771</v>
      </c>
      <c r="NDR1" t="s">
        <v>9772</v>
      </c>
      <c r="NDS1" t="s">
        <v>9773</v>
      </c>
      <c r="NDT1" t="s">
        <v>9774</v>
      </c>
      <c r="NDU1" t="s">
        <v>9775</v>
      </c>
      <c r="NDV1" t="s">
        <v>9776</v>
      </c>
      <c r="NDW1" t="s">
        <v>9777</v>
      </c>
      <c r="NDX1" t="s">
        <v>9778</v>
      </c>
      <c r="NDY1" t="s">
        <v>9779</v>
      </c>
      <c r="NDZ1" t="s">
        <v>9780</v>
      </c>
      <c r="NEA1" t="s">
        <v>9781</v>
      </c>
      <c r="NEB1" t="s">
        <v>9782</v>
      </c>
      <c r="NEC1" t="s">
        <v>9783</v>
      </c>
      <c r="NED1" t="s">
        <v>9784</v>
      </c>
      <c r="NEE1" t="s">
        <v>9785</v>
      </c>
      <c r="NEF1" t="s">
        <v>9786</v>
      </c>
      <c r="NEG1" t="s">
        <v>9787</v>
      </c>
      <c r="NEH1" t="s">
        <v>9788</v>
      </c>
      <c r="NEI1" t="s">
        <v>9789</v>
      </c>
      <c r="NEJ1" t="s">
        <v>9790</v>
      </c>
      <c r="NEK1" t="s">
        <v>9791</v>
      </c>
      <c r="NEL1" t="s">
        <v>9792</v>
      </c>
      <c r="NEM1" t="s">
        <v>9793</v>
      </c>
      <c r="NEN1" t="s">
        <v>9794</v>
      </c>
      <c r="NEO1" t="s">
        <v>9795</v>
      </c>
      <c r="NEP1" t="s">
        <v>9796</v>
      </c>
      <c r="NEQ1" t="s">
        <v>9797</v>
      </c>
      <c r="NER1" t="s">
        <v>9798</v>
      </c>
      <c r="NES1" t="s">
        <v>9799</v>
      </c>
      <c r="NET1" t="s">
        <v>9800</v>
      </c>
      <c r="NEU1" t="s">
        <v>9801</v>
      </c>
      <c r="NEV1" t="s">
        <v>9802</v>
      </c>
      <c r="NEW1" t="s">
        <v>9803</v>
      </c>
      <c r="NEX1" t="s">
        <v>9804</v>
      </c>
      <c r="NEY1" t="s">
        <v>9805</v>
      </c>
      <c r="NEZ1" t="s">
        <v>9806</v>
      </c>
      <c r="NFA1" t="s">
        <v>9807</v>
      </c>
      <c r="NFB1" t="s">
        <v>9808</v>
      </c>
      <c r="NFC1" t="s">
        <v>9809</v>
      </c>
      <c r="NFD1" t="s">
        <v>9810</v>
      </c>
      <c r="NFE1" t="s">
        <v>9811</v>
      </c>
      <c r="NFF1" t="s">
        <v>9812</v>
      </c>
      <c r="NFG1" t="s">
        <v>9813</v>
      </c>
      <c r="NFH1" t="s">
        <v>9814</v>
      </c>
      <c r="NFI1" t="s">
        <v>9815</v>
      </c>
      <c r="NFJ1" t="s">
        <v>9816</v>
      </c>
      <c r="NFK1" t="s">
        <v>9817</v>
      </c>
      <c r="NFL1" t="s">
        <v>9818</v>
      </c>
      <c r="NFM1" t="s">
        <v>9819</v>
      </c>
      <c r="NFN1" t="s">
        <v>9820</v>
      </c>
      <c r="NFO1" t="s">
        <v>9821</v>
      </c>
      <c r="NFP1" t="s">
        <v>9822</v>
      </c>
      <c r="NFQ1" t="s">
        <v>9823</v>
      </c>
      <c r="NFR1" t="s">
        <v>9824</v>
      </c>
      <c r="NFS1" t="s">
        <v>9825</v>
      </c>
      <c r="NFT1" t="s">
        <v>9826</v>
      </c>
      <c r="NFU1" t="s">
        <v>9827</v>
      </c>
      <c r="NFV1" t="s">
        <v>9828</v>
      </c>
      <c r="NFW1" t="s">
        <v>9829</v>
      </c>
      <c r="NFX1" t="s">
        <v>9830</v>
      </c>
      <c r="NFY1" t="s">
        <v>9831</v>
      </c>
      <c r="NFZ1" t="s">
        <v>9832</v>
      </c>
      <c r="NGA1" t="s">
        <v>9833</v>
      </c>
      <c r="NGB1" t="s">
        <v>9834</v>
      </c>
      <c r="NGC1" t="s">
        <v>9835</v>
      </c>
      <c r="NGD1" t="s">
        <v>9836</v>
      </c>
      <c r="NGE1" t="s">
        <v>9837</v>
      </c>
      <c r="NGF1" t="s">
        <v>9838</v>
      </c>
      <c r="NGG1" t="s">
        <v>9839</v>
      </c>
      <c r="NGH1" t="s">
        <v>9840</v>
      </c>
      <c r="NGI1" t="s">
        <v>9841</v>
      </c>
      <c r="NGJ1" t="s">
        <v>9842</v>
      </c>
      <c r="NGK1" t="s">
        <v>9843</v>
      </c>
      <c r="NGL1" t="s">
        <v>9844</v>
      </c>
      <c r="NGM1" t="s">
        <v>9845</v>
      </c>
      <c r="NGN1" t="s">
        <v>9846</v>
      </c>
      <c r="NGO1" t="s">
        <v>9847</v>
      </c>
      <c r="NGP1" t="s">
        <v>9848</v>
      </c>
      <c r="NGQ1" t="s">
        <v>9849</v>
      </c>
      <c r="NGR1" t="s">
        <v>9850</v>
      </c>
      <c r="NGS1" t="s">
        <v>9851</v>
      </c>
      <c r="NGT1" t="s">
        <v>9852</v>
      </c>
      <c r="NGU1" t="s">
        <v>9853</v>
      </c>
      <c r="NGV1" t="s">
        <v>9854</v>
      </c>
      <c r="NGW1" t="s">
        <v>9855</v>
      </c>
      <c r="NGX1" t="s">
        <v>9856</v>
      </c>
      <c r="NGY1" t="s">
        <v>9857</v>
      </c>
      <c r="NGZ1" t="s">
        <v>9858</v>
      </c>
      <c r="NHA1" t="s">
        <v>9859</v>
      </c>
      <c r="NHB1" t="s">
        <v>9860</v>
      </c>
      <c r="NHC1" t="s">
        <v>9861</v>
      </c>
      <c r="NHD1" t="s">
        <v>9862</v>
      </c>
      <c r="NHE1" t="s">
        <v>9863</v>
      </c>
      <c r="NHF1" t="s">
        <v>9864</v>
      </c>
      <c r="NHG1" t="s">
        <v>9865</v>
      </c>
      <c r="NHH1" t="s">
        <v>9866</v>
      </c>
      <c r="NHI1" t="s">
        <v>9867</v>
      </c>
      <c r="NHJ1" t="s">
        <v>9868</v>
      </c>
      <c r="NHK1" t="s">
        <v>9869</v>
      </c>
      <c r="NHL1" t="s">
        <v>9870</v>
      </c>
      <c r="NHM1" t="s">
        <v>9871</v>
      </c>
      <c r="NHN1" t="s">
        <v>9872</v>
      </c>
      <c r="NHO1" t="s">
        <v>9873</v>
      </c>
      <c r="NHP1" t="s">
        <v>9874</v>
      </c>
      <c r="NHQ1" t="s">
        <v>9875</v>
      </c>
      <c r="NHR1" t="s">
        <v>9876</v>
      </c>
      <c r="NHS1" t="s">
        <v>9877</v>
      </c>
      <c r="NHT1" t="s">
        <v>9878</v>
      </c>
      <c r="NHU1" t="s">
        <v>9879</v>
      </c>
      <c r="NHV1" t="s">
        <v>9880</v>
      </c>
      <c r="NHW1" t="s">
        <v>9881</v>
      </c>
      <c r="NHX1" t="s">
        <v>9882</v>
      </c>
      <c r="NHY1" t="s">
        <v>9883</v>
      </c>
      <c r="NHZ1" t="s">
        <v>9884</v>
      </c>
      <c r="NIA1" t="s">
        <v>9885</v>
      </c>
      <c r="NIB1" t="s">
        <v>9886</v>
      </c>
      <c r="NIC1" t="s">
        <v>9887</v>
      </c>
      <c r="NID1" t="s">
        <v>9888</v>
      </c>
      <c r="NIE1" t="s">
        <v>9889</v>
      </c>
      <c r="NIF1" t="s">
        <v>9890</v>
      </c>
      <c r="NIG1" t="s">
        <v>9891</v>
      </c>
      <c r="NIH1" t="s">
        <v>9892</v>
      </c>
      <c r="NII1" t="s">
        <v>9893</v>
      </c>
      <c r="NIJ1" t="s">
        <v>9894</v>
      </c>
      <c r="NIK1" t="s">
        <v>9895</v>
      </c>
      <c r="NIL1" t="s">
        <v>9896</v>
      </c>
      <c r="NIM1" t="s">
        <v>9897</v>
      </c>
      <c r="NIN1" t="s">
        <v>9898</v>
      </c>
      <c r="NIO1" t="s">
        <v>9899</v>
      </c>
      <c r="NIP1" t="s">
        <v>9900</v>
      </c>
      <c r="NIQ1" t="s">
        <v>9901</v>
      </c>
      <c r="NIR1" t="s">
        <v>9902</v>
      </c>
      <c r="NIS1" t="s">
        <v>9903</v>
      </c>
      <c r="NIT1" t="s">
        <v>9904</v>
      </c>
      <c r="NIU1" t="s">
        <v>9905</v>
      </c>
      <c r="NIV1" t="s">
        <v>9906</v>
      </c>
      <c r="NIW1" t="s">
        <v>9907</v>
      </c>
      <c r="NIX1" t="s">
        <v>9908</v>
      </c>
      <c r="NIY1" t="s">
        <v>9909</v>
      </c>
      <c r="NIZ1" t="s">
        <v>9910</v>
      </c>
      <c r="NJA1" t="s">
        <v>9911</v>
      </c>
      <c r="NJB1" t="s">
        <v>9912</v>
      </c>
      <c r="NJC1" t="s">
        <v>9913</v>
      </c>
      <c r="NJD1" t="s">
        <v>9914</v>
      </c>
      <c r="NJE1" t="s">
        <v>9915</v>
      </c>
      <c r="NJF1" t="s">
        <v>9916</v>
      </c>
      <c r="NJG1" t="s">
        <v>9917</v>
      </c>
      <c r="NJH1" t="s">
        <v>9918</v>
      </c>
      <c r="NJI1" t="s">
        <v>9919</v>
      </c>
      <c r="NJJ1" t="s">
        <v>9920</v>
      </c>
      <c r="NJK1" t="s">
        <v>9921</v>
      </c>
      <c r="NJL1" t="s">
        <v>9922</v>
      </c>
      <c r="NJM1" t="s">
        <v>9923</v>
      </c>
      <c r="NJN1" t="s">
        <v>9924</v>
      </c>
      <c r="NJO1" t="s">
        <v>9925</v>
      </c>
      <c r="NJP1" t="s">
        <v>9926</v>
      </c>
      <c r="NJQ1" t="s">
        <v>9927</v>
      </c>
      <c r="NJR1" t="s">
        <v>9928</v>
      </c>
      <c r="NJS1" t="s">
        <v>9929</v>
      </c>
      <c r="NJT1" t="s">
        <v>9930</v>
      </c>
      <c r="NJU1" t="s">
        <v>9931</v>
      </c>
      <c r="NJV1" t="s">
        <v>9932</v>
      </c>
      <c r="NJW1" t="s">
        <v>9933</v>
      </c>
      <c r="NJX1" t="s">
        <v>9934</v>
      </c>
      <c r="NJY1" t="s">
        <v>9935</v>
      </c>
      <c r="NJZ1" t="s">
        <v>9936</v>
      </c>
      <c r="NKA1" t="s">
        <v>9937</v>
      </c>
      <c r="NKB1" t="s">
        <v>9938</v>
      </c>
      <c r="NKC1" t="s">
        <v>9939</v>
      </c>
      <c r="NKD1" t="s">
        <v>9940</v>
      </c>
      <c r="NKE1" t="s">
        <v>9941</v>
      </c>
      <c r="NKF1" t="s">
        <v>9942</v>
      </c>
      <c r="NKG1" t="s">
        <v>9943</v>
      </c>
      <c r="NKH1" t="s">
        <v>9944</v>
      </c>
      <c r="NKI1" t="s">
        <v>9945</v>
      </c>
      <c r="NKJ1" t="s">
        <v>9946</v>
      </c>
      <c r="NKK1" t="s">
        <v>9947</v>
      </c>
      <c r="NKL1" t="s">
        <v>9948</v>
      </c>
      <c r="NKM1" t="s">
        <v>9949</v>
      </c>
      <c r="NKN1" t="s">
        <v>9950</v>
      </c>
      <c r="NKO1" t="s">
        <v>9951</v>
      </c>
      <c r="NKP1" t="s">
        <v>9952</v>
      </c>
      <c r="NKQ1" t="s">
        <v>9953</v>
      </c>
      <c r="NKR1" t="s">
        <v>9954</v>
      </c>
      <c r="NKS1" t="s">
        <v>9955</v>
      </c>
      <c r="NKT1" t="s">
        <v>9956</v>
      </c>
      <c r="NKU1" t="s">
        <v>9957</v>
      </c>
      <c r="NKV1" t="s">
        <v>9958</v>
      </c>
      <c r="NKW1" t="s">
        <v>9959</v>
      </c>
      <c r="NKX1" t="s">
        <v>9960</v>
      </c>
      <c r="NKY1" t="s">
        <v>9961</v>
      </c>
      <c r="NKZ1" t="s">
        <v>9962</v>
      </c>
      <c r="NLA1" t="s">
        <v>9963</v>
      </c>
      <c r="NLB1" t="s">
        <v>9964</v>
      </c>
      <c r="NLC1" t="s">
        <v>9965</v>
      </c>
      <c r="NLD1" t="s">
        <v>9966</v>
      </c>
      <c r="NLE1" t="s">
        <v>9967</v>
      </c>
      <c r="NLF1" t="s">
        <v>9968</v>
      </c>
      <c r="NLG1" t="s">
        <v>9969</v>
      </c>
      <c r="NLH1" t="s">
        <v>9970</v>
      </c>
      <c r="NLI1" t="s">
        <v>9971</v>
      </c>
      <c r="NLJ1" t="s">
        <v>9972</v>
      </c>
      <c r="NLK1" t="s">
        <v>9973</v>
      </c>
      <c r="NLL1" t="s">
        <v>9974</v>
      </c>
      <c r="NLM1" t="s">
        <v>9975</v>
      </c>
      <c r="NLN1" t="s">
        <v>9976</v>
      </c>
      <c r="NLO1" t="s">
        <v>9977</v>
      </c>
      <c r="NLP1" t="s">
        <v>9978</v>
      </c>
      <c r="NLQ1" t="s">
        <v>9979</v>
      </c>
      <c r="NLR1" t="s">
        <v>9980</v>
      </c>
      <c r="NLS1" t="s">
        <v>9981</v>
      </c>
      <c r="NLT1" t="s">
        <v>9982</v>
      </c>
      <c r="NLU1" t="s">
        <v>9983</v>
      </c>
      <c r="NLV1" t="s">
        <v>9984</v>
      </c>
      <c r="NLW1" t="s">
        <v>9985</v>
      </c>
      <c r="NLX1" t="s">
        <v>9986</v>
      </c>
      <c r="NLY1" t="s">
        <v>9987</v>
      </c>
      <c r="NLZ1" t="s">
        <v>9988</v>
      </c>
      <c r="NMA1" t="s">
        <v>9989</v>
      </c>
      <c r="NMB1" t="s">
        <v>9990</v>
      </c>
      <c r="NMC1" t="s">
        <v>9991</v>
      </c>
      <c r="NMD1" t="s">
        <v>9992</v>
      </c>
      <c r="NME1" t="s">
        <v>9993</v>
      </c>
      <c r="NMF1" t="s">
        <v>9994</v>
      </c>
      <c r="NMG1" t="s">
        <v>9995</v>
      </c>
      <c r="NMH1" t="s">
        <v>9996</v>
      </c>
      <c r="NMI1" t="s">
        <v>9997</v>
      </c>
      <c r="NMJ1" t="s">
        <v>9998</v>
      </c>
      <c r="NMK1" t="s">
        <v>9999</v>
      </c>
      <c r="NML1" t="s">
        <v>10000</v>
      </c>
      <c r="NMM1" t="s">
        <v>10001</v>
      </c>
      <c r="NMN1" t="s">
        <v>10002</v>
      </c>
      <c r="NMO1" t="s">
        <v>10003</v>
      </c>
      <c r="NMP1" t="s">
        <v>10004</v>
      </c>
      <c r="NMQ1" t="s">
        <v>10005</v>
      </c>
      <c r="NMR1" t="s">
        <v>10006</v>
      </c>
      <c r="NMS1" t="s">
        <v>10007</v>
      </c>
      <c r="NMT1" t="s">
        <v>10008</v>
      </c>
      <c r="NMU1" t="s">
        <v>10009</v>
      </c>
      <c r="NMV1" t="s">
        <v>10010</v>
      </c>
      <c r="NMW1" t="s">
        <v>10011</v>
      </c>
      <c r="NMX1" t="s">
        <v>10012</v>
      </c>
      <c r="NMY1" t="s">
        <v>10013</v>
      </c>
      <c r="NMZ1" t="s">
        <v>10014</v>
      </c>
      <c r="NNA1" t="s">
        <v>10015</v>
      </c>
      <c r="NNB1" t="s">
        <v>10016</v>
      </c>
      <c r="NNC1" t="s">
        <v>10017</v>
      </c>
      <c r="NND1" t="s">
        <v>10018</v>
      </c>
      <c r="NNE1" t="s">
        <v>10019</v>
      </c>
      <c r="NNF1" t="s">
        <v>10020</v>
      </c>
      <c r="NNG1" t="s">
        <v>10021</v>
      </c>
      <c r="NNH1" t="s">
        <v>10022</v>
      </c>
      <c r="NNI1" t="s">
        <v>10023</v>
      </c>
      <c r="NNJ1" t="s">
        <v>10024</v>
      </c>
      <c r="NNK1" t="s">
        <v>10025</v>
      </c>
      <c r="NNL1" t="s">
        <v>10026</v>
      </c>
      <c r="NNM1" t="s">
        <v>10027</v>
      </c>
      <c r="NNN1" t="s">
        <v>10028</v>
      </c>
      <c r="NNO1" t="s">
        <v>10029</v>
      </c>
      <c r="NNP1" t="s">
        <v>10030</v>
      </c>
      <c r="NNQ1" t="s">
        <v>10031</v>
      </c>
      <c r="NNR1" t="s">
        <v>10032</v>
      </c>
      <c r="NNS1" t="s">
        <v>10033</v>
      </c>
      <c r="NNT1" t="s">
        <v>10034</v>
      </c>
      <c r="NNU1" t="s">
        <v>10035</v>
      </c>
      <c r="NNV1" t="s">
        <v>10036</v>
      </c>
      <c r="NNW1" t="s">
        <v>10037</v>
      </c>
      <c r="NNX1" t="s">
        <v>10038</v>
      </c>
      <c r="NNY1" t="s">
        <v>10039</v>
      </c>
      <c r="NNZ1" t="s">
        <v>10040</v>
      </c>
      <c r="NOA1" t="s">
        <v>10041</v>
      </c>
      <c r="NOB1" t="s">
        <v>10042</v>
      </c>
      <c r="NOC1" t="s">
        <v>10043</v>
      </c>
      <c r="NOD1" t="s">
        <v>10044</v>
      </c>
      <c r="NOE1" t="s">
        <v>10045</v>
      </c>
      <c r="NOF1" t="s">
        <v>10046</v>
      </c>
      <c r="NOG1" t="s">
        <v>10047</v>
      </c>
      <c r="NOH1" t="s">
        <v>10048</v>
      </c>
      <c r="NOI1" t="s">
        <v>10049</v>
      </c>
      <c r="NOJ1" t="s">
        <v>10050</v>
      </c>
      <c r="NOK1" t="s">
        <v>10051</v>
      </c>
      <c r="NOL1" t="s">
        <v>10052</v>
      </c>
      <c r="NOM1" t="s">
        <v>10053</v>
      </c>
      <c r="NON1" t="s">
        <v>10054</v>
      </c>
      <c r="NOO1" t="s">
        <v>10055</v>
      </c>
      <c r="NOP1" t="s">
        <v>10056</v>
      </c>
      <c r="NOQ1" t="s">
        <v>10057</v>
      </c>
      <c r="NOR1" t="s">
        <v>10058</v>
      </c>
      <c r="NOS1" t="s">
        <v>10059</v>
      </c>
      <c r="NOT1" t="s">
        <v>10060</v>
      </c>
      <c r="NOU1" t="s">
        <v>10061</v>
      </c>
      <c r="NOV1" t="s">
        <v>10062</v>
      </c>
      <c r="NOW1" t="s">
        <v>10063</v>
      </c>
      <c r="NOX1" t="s">
        <v>10064</v>
      </c>
      <c r="NOY1" t="s">
        <v>10065</v>
      </c>
      <c r="NOZ1" t="s">
        <v>10066</v>
      </c>
      <c r="NPA1" t="s">
        <v>10067</v>
      </c>
      <c r="NPB1" t="s">
        <v>10068</v>
      </c>
      <c r="NPC1" t="s">
        <v>10069</v>
      </c>
      <c r="NPD1" t="s">
        <v>10070</v>
      </c>
      <c r="NPE1" t="s">
        <v>10071</v>
      </c>
      <c r="NPF1" t="s">
        <v>10072</v>
      </c>
      <c r="NPG1" t="s">
        <v>10073</v>
      </c>
      <c r="NPH1" t="s">
        <v>10074</v>
      </c>
      <c r="NPI1" t="s">
        <v>10075</v>
      </c>
      <c r="NPJ1" t="s">
        <v>10076</v>
      </c>
      <c r="NPK1" t="s">
        <v>10077</v>
      </c>
      <c r="NPL1" t="s">
        <v>10078</v>
      </c>
      <c r="NPM1" t="s">
        <v>10079</v>
      </c>
      <c r="NPN1" t="s">
        <v>10080</v>
      </c>
      <c r="NPO1" t="s">
        <v>10081</v>
      </c>
      <c r="NPP1" t="s">
        <v>10082</v>
      </c>
      <c r="NPQ1" t="s">
        <v>10083</v>
      </c>
      <c r="NPR1" t="s">
        <v>10084</v>
      </c>
      <c r="NPS1" t="s">
        <v>10085</v>
      </c>
      <c r="NPT1" t="s">
        <v>10086</v>
      </c>
      <c r="NPU1" t="s">
        <v>10087</v>
      </c>
      <c r="NPV1" t="s">
        <v>10088</v>
      </c>
      <c r="NPW1" t="s">
        <v>10089</v>
      </c>
      <c r="NPX1" t="s">
        <v>10090</v>
      </c>
      <c r="NPY1" t="s">
        <v>10091</v>
      </c>
      <c r="NPZ1" t="s">
        <v>10092</v>
      </c>
      <c r="NQA1" t="s">
        <v>10093</v>
      </c>
      <c r="NQB1" t="s">
        <v>10094</v>
      </c>
      <c r="NQC1" t="s">
        <v>10095</v>
      </c>
      <c r="NQD1" t="s">
        <v>10096</v>
      </c>
      <c r="NQE1" t="s">
        <v>10097</v>
      </c>
      <c r="NQF1" t="s">
        <v>10098</v>
      </c>
      <c r="NQG1" t="s">
        <v>10099</v>
      </c>
      <c r="NQH1" t="s">
        <v>10100</v>
      </c>
      <c r="NQI1" t="s">
        <v>10101</v>
      </c>
      <c r="NQJ1" t="s">
        <v>10102</v>
      </c>
      <c r="NQK1" t="s">
        <v>10103</v>
      </c>
      <c r="NQL1" t="s">
        <v>10104</v>
      </c>
      <c r="NQM1" t="s">
        <v>10105</v>
      </c>
      <c r="NQN1" t="s">
        <v>10106</v>
      </c>
      <c r="NQO1" t="s">
        <v>10107</v>
      </c>
      <c r="NQP1" t="s">
        <v>10108</v>
      </c>
      <c r="NQQ1" t="s">
        <v>10109</v>
      </c>
      <c r="NQR1" t="s">
        <v>10110</v>
      </c>
      <c r="NQS1" t="s">
        <v>10111</v>
      </c>
      <c r="NQT1" t="s">
        <v>10112</v>
      </c>
      <c r="NQU1" t="s">
        <v>10113</v>
      </c>
      <c r="NQV1" t="s">
        <v>10114</v>
      </c>
      <c r="NQW1" t="s">
        <v>10115</v>
      </c>
      <c r="NQX1" t="s">
        <v>10116</v>
      </c>
      <c r="NQY1" t="s">
        <v>10117</v>
      </c>
      <c r="NQZ1" t="s">
        <v>10118</v>
      </c>
      <c r="NRA1" t="s">
        <v>10119</v>
      </c>
      <c r="NRB1" t="s">
        <v>10120</v>
      </c>
      <c r="NRC1" t="s">
        <v>10121</v>
      </c>
      <c r="NRD1" t="s">
        <v>10122</v>
      </c>
      <c r="NRE1" t="s">
        <v>10123</v>
      </c>
      <c r="NRF1" t="s">
        <v>10124</v>
      </c>
      <c r="NRG1" t="s">
        <v>10125</v>
      </c>
      <c r="NRH1" t="s">
        <v>10126</v>
      </c>
      <c r="NRI1" t="s">
        <v>10127</v>
      </c>
      <c r="NRJ1" t="s">
        <v>10128</v>
      </c>
      <c r="NRK1" t="s">
        <v>10129</v>
      </c>
      <c r="NRL1" t="s">
        <v>10130</v>
      </c>
      <c r="NRM1" t="s">
        <v>10131</v>
      </c>
      <c r="NRN1" t="s">
        <v>10132</v>
      </c>
      <c r="NRO1" t="s">
        <v>10133</v>
      </c>
      <c r="NRP1" t="s">
        <v>10134</v>
      </c>
      <c r="NRQ1" t="s">
        <v>10135</v>
      </c>
      <c r="NRR1" t="s">
        <v>10136</v>
      </c>
      <c r="NRS1" t="s">
        <v>10137</v>
      </c>
      <c r="NRT1" t="s">
        <v>10138</v>
      </c>
      <c r="NRU1" t="s">
        <v>10139</v>
      </c>
      <c r="NRV1" t="s">
        <v>10140</v>
      </c>
      <c r="NRW1" t="s">
        <v>10141</v>
      </c>
      <c r="NRX1" t="s">
        <v>10142</v>
      </c>
      <c r="NRY1" t="s">
        <v>10143</v>
      </c>
      <c r="NRZ1" t="s">
        <v>10144</v>
      </c>
      <c r="NSA1" t="s">
        <v>10145</v>
      </c>
      <c r="NSB1" t="s">
        <v>10146</v>
      </c>
      <c r="NSC1" t="s">
        <v>10147</v>
      </c>
      <c r="NSD1" t="s">
        <v>10148</v>
      </c>
      <c r="NSE1" t="s">
        <v>10149</v>
      </c>
      <c r="NSF1" t="s">
        <v>10150</v>
      </c>
      <c r="NSG1" t="s">
        <v>10151</v>
      </c>
      <c r="NSH1" t="s">
        <v>10152</v>
      </c>
      <c r="NSI1" t="s">
        <v>10153</v>
      </c>
      <c r="NSJ1" t="s">
        <v>10154</v>
      </c>
      <c r="NSK1" t="s">
        <v>10155</v>
      </c>
      <c r="NSL1" t="s">
        <v>10156</v>
      </c>
      <c r="NSM1" t="s">
        <v>10157</v>
      </c>
      <c r="NSN1" t="s">
        <v>10158</v>
      </c>
      <c r="NSO1" t="s">
        <v>10159</v>
      </c>
      <c r="NSP1" t="s">
        <v>10160</v>
      </c>
      <c r="NSQ1" t="s">
        <v>10161</v>
      </c>
      <c r="NSR1" t="s">
        <v>10162</v>
      </c>
      <c r="NSS1" t="s">
        <v>10163</v>
      </c>
      <c r="NST1" t="s">
        <v>10164</v>
      </c>
      <c r="NSU1" t="s">
        <v>10165</v>
      </c>
      <c r="NSV1" t="s">
        <v>10166</v>
      </c>
      <c r="NSW1" t="s">
        <v>10167</v>
      </c>
      <c r="NSX1" t="s">
        <v>10168</v>
      </c>
      <c r="NSY1" t="s">
        <v>10169</v>
      </c>
      <c r="NSZ1" t="s">
        <v>10170</v>
      </c>
      <c r="NTA1" t="s">
        <v>10171</v>
      </c>
      <c r="NTB1" t="s">
        <v>10172</v>
      </c>
      <c r="NTC1" t="s">
        <v>10173</v>
      </c>
      <c r="NTD1" t="s">
        <v>10174</v>
      </c>
      <c r="NTE1" t="s">
        <v>10175</v>
      </c>
      <c r="NTF1" t="s">
        <v>10176</v>
      </c>
      <c r="NTG1" t="s">
        <v>10177</v>
      </c>
      <c r="NTH1" t="s">
        <v>10178</v>
      </c>
      <c r="NTI1" t="s">
        <v>10179</v>
      </c>
      <c r="NTJ1" t="s">
        <v>10180</v>
      </c>
      <c r="NTK1" t="s">
        <v>10181</v>
      </c>
      <c r="NTL1" t="s">
        <v>10182</v>
      </c>
      <c r="NTM1" t="s">
        <v>10183</v>
      </c>
      <c r="NTN1" t="s">
        <v>10184</v>
      </c>
      <c r="NTO1" t="s">
        <v>10185</v>
      </c>
      <c r="NTP1" t="s">
        <v>10186</v>
      </c>
      <c r="NTQ1" t="s">
        <v>10187</v>
      </c>
      <c r="NTR1" t="s">
        <v>10188</v>
      </c>
      <c r="NTS1" t="s">
        <v>10189</v>
      </c>
      <c r="NTT1" t="s">
        <v>10190</v>
      </c>
      <c r="NTU1" t="s">
        <v>10191</v>
      </c>
      <c r="NTV1" t="s">
        <v>10192</v>
      </c>
      <c r="NTW1" t="s">
        <v>10193</v>
      </c>
      <c r="NTX1" t="s">
        <v>10194</v>
      </c>
      <c r="NTY1" t="s">
        <v>10195</v>
      </c>
      <c r="NTZ1" t="s">
        <v>10196</v>
      </c>
      <c r="NUA1" t="s">
        <v>10197</v>
      </c>
      <c r="NUB1" t="s">
        <v>10198</v>
      </c>
      <c r="NUC1" t="s">
        <v>10199</v>
      </c>
      <c r="NUD1" t="s">
        <v>10200</v>
      </c>
      <c r="NUE1" t="s">
        <v>10201</v>
      </c>
      <c r="NUF1" t="s">
        <v>10202</v>
      </c>
      <c r="NUG1" t="s">
        <v>10203</v>
      </c>
      <c r="NUH1" t="s">
        <v>10204</v>
      </c>
      <c r="NUI1" t="s">
        <v>10205</v>
      </c>
      <c r="NUJ1" t="s">
        <v>10206</v>
      </c>
      <c r="NUK1" t="s">
        <v>10207</v>
      </c>
      <c r="NUL1" t="s">
        <v>10208</v>
      </c>
      <c r="NUM1" t="s">
        <v>10209</v>
      </c>
      <c r="NUN1" t="s">
        <v>10210</v>
      </c>
      <c r="NUO1" t="s">
        <v>10211</v>
      </c>
      <c r="NUP1" t="s">
        <v>10212</v>
      </c>
      <c r="NUQ1" t="s">
        <v>10213</v>
      </c>
      <c r="NUR1" t="s">
        <v>10214</v>
      </c>
      <c r="NUS1" t="s">
        <v>10215</v>
      </c>
      <c r="NUT1" t="s">
        <v>10216</v>
      </c>
      <c r="NUU1" t="s">
        <v>10217</v>
      </c>
      <c r="NUV1" t="s">
        <v>10218</v>
      </c>
      <c r="NUW1" t="s">
        <v>10219</v>
      </c>
      <c r="NUX1" t="s">
        <v>10220</v>
      </c>
      <c r="NUY1" t="s">
        <v>10221</v>
      </c>
      <c r="NUZ1" t="s">
        <v>10222</v>
      </c>
      <c r="NVA1" t="s">
        <v>10223</v>
      </c>
      <c r="NVB1" t="s">
        <v>10224</v>
      </c>
      <c r="NVC1" t="s">
        <v>10225</v>
      </c>
      <c r="NVD1" t="s">
        <v>10226</v>
      </c>
      <c r="NVE1" t="s">
        <v>10227</v>
      </c>
      <c r="NVF1" t="s">
        <v>10228</v>
      </c>
      <c r="NVG1" t="s">
        <v>10229</v>
      </c>
      <c r="NVH1" t="s">
        <v>10230</v>
      </c>
      <c r="NVI1" t="s">
        <v>10231</v>
      </c>
      <c r="NVJ1" t="s">
        <v>10232</v>
      </c>
      <c r="NVK1" t="s">
        <v>10233</v>
      </c>
      <c r="NVL1" t="s">
        <v>10234</v>
      </c>
      <c r="NVM1" t="s">
        <v>10235</v>
      </c>
      <c r="NVN1" t="s">
        <v>10236</v>
      </c>
      <c r="NVO1" t="s">
        <v>10237</v>
      </c>
      <c r="NVP1" t="s">
        <v>10238</v>
      </c>
      <c r="NVQ1" t="s">
        <v>10239</v>
      </c>
      <c r="NVR1" t="s">
        <v>10240</v>
      </c>
      <c r="NVS1" t="s">
        <v>10241</v>
      </c>
      <c r="NVT1" t="s">
        <v>10242</v>
      </c>
      <c r="NVU1" t="s">
        <v>10243</v>
      </c>
      <c r="NVV1" t="s">
        <v>10244</v>
      </c>
      <c r="NVW1" t="s">
        <v>10245</v>
      </c>
      <c r="NVX1" t="s">
        <v>10246</v>
      </c>
      <c r="NVY1" t="s">
        <v>10247</v>
      </c>
      <c r="NVZ1" t="s">
        <v>10248</v>
      </c>
      <c r="NWA1" t="s">
        <v>10249</v>
      </c>
      <c r="NWB1" t="s">
        <v>10250</v>
      </c>
      <c r="NWC1" t="s">
        <v>10251</v>
      </c>
      <c r="NWD1" t="s">
        <v>10252</v>
      </c>
      <c r="NWE1" t="s">
        <v>10253</v>
      </c>
      <c r="NWF1" t="s">
        <v>10254</v>
      </c>
      <c r="NWG1" t="s">
        <v>10255</v>
      </c>
      <c r="NWH1" t="s">
        <v>10256</v>
      </c>
      <c r="NWI1" t="s">
        <v>10257</v>
      </c>
      <c r="NWJ1" t="s">
        <v>10258</v>
      </c>
      <c r="NWK1" t="s">
        <v>10259</v>
      </c>
      <c r="NWL1" t="s">
        <v>10260</v>
      </c>
      <c r="NWM1" t="s">
        <v>10261</v>
      </c>
      <c r="NWN1" t="s">
        <v>10262</v>
      </c>
      <c r="NWO1" t="s">
        <v>10263</v>
      </c>
      <c r="NWP1" t="s">
        <v>10264</v>
      </c>
      <c r="NWQ1" t="s">
        <v>10265</v>
      </c>
      <c r="NWR1" t="s">
        <v>10266</v>
      </c>
      <c r="NWS1" t="s">
        <v>10267</v>
      </c>
      <c r="NWT1" t="s">
        <v>10268</v>
      </c>
      <c r="NWU1" t="s">
        <v>10269</v>
      </c>
      <c r="NWV1" t="s">
        <v>10270</v>
      </c>
      <c r="NWW1" t="s">
        <v>10271</v>
      </c>
      <c r="NWX1" t="s">
        <v>10272</v>
      </c>
      <c r="NWY1" t="s">
        <v>10273</v>
      </c>
      <c r="NWZ1" t="s">
        <v>10274</v>
      </c>
      <c r="NXA1" t="s">
        <v>10275</v>
      </c>
      <c r="NXB1" t="s">
        <v>10276</v>
      </c>
      <c r="NXC1" t="s">
        <v>10277</v>
      </c>
      <c r="NXD1" t="s">
        <v>10278</v>
      </c>
      <c r="NXE1" t="s">
        <v>10279</v>
      </c>
      <c r="NXF1" t="s">
        <v>10280</v>
      </c>
      <c r="NXG1" t="s">
        <v>10281</v>
      </c>
      <c r="NXH1" t="s">
        <v>10282</v>
      </c>
      <c r="NXI1" t="s">
        <v>10283</v>
      </c>
      <c r="NXJ1" t="s">
        <v>10284</v>
      </c>
      <c r="NXK1" t="s">
        <v>10285</v>
      </c>
      <c r="NXL1" t="s">
        <v>10286</v>
      </c>
      <c r="NXM1" t="s">
        <v>10287</v>
      </c>
      <c r="NXN1" t="s">
        <v>10288</v>
      </c>
      <c r="NXO1" t="s">
        <v>10289</v>
      </c>
      <c r="NXP1" t="s">
        <v>10290</v>
      </c>
      <c r="NXQ1" t="s">
        <v>10291</v>
      </c>
      <c r="NXR1" t="s">
        <v>10292</v>
      </c>
      <c r="NXS1" t="s">
        <v>10293</v>
      </c>
      <c r="NXT1" t="s">
        <v>10294</v>
      </c>
      <c r="NXU1" t="s">
        <v>10295</v>
      </c>
      <c r="NXV1" t="s">
        <v>10296</v>
      </c>
      <c r="NXW1" t="s">
        <v>10297</v>
      </c>
      <c r="NXX1" t="s">
        <v>10298</v>
      </c>
      <c r="NXY1" t="s">
        <v>10299</v>
      </c>
      <c r="NXZ1" t="s">
        <v>10300</v>
      </c>
      <c r="NYA1" t="s">
        <v>10301</v>
      </c>
      <c r="NYB1" t="s">
        <v>10302</v>
      </c>
      <c r="NYC1" t="s">
        <v>10303</v>
      </c>
      <c r="NYD1" t="s">
        <v>10304</v>
      </c>
      <c r="NYE1" t="s">
        <v>10305</v>
      </c>
      <c r="NYF1" t="s">
        <v>10306</v>
      </c>
      <c r="NYG1" t="s">
        <v>10307</v>
      </c>
      <c r="NYH1" t="s">
        <v>10308</v>
      </c>
      <c r="NYI1" t="s">
        <v>10309</v>
      </c>
      <c r="NYJ1" t="s">
        <v>10310</v>
      </c>
      <c r="NYK1" t="s">
        <v>10311</v>
      </c>
      <c r="NYL1" t="s">
        <v>10312</v>
      </c>
      <c r="NYM1" t="s">
        <v>10313</v>
      </c>
      <c r="NYN1" t="s">
        <v>10314</v>
      </c>
      <c r="NYO1" t="s">
        <v>10315</v>
      </c>
      <c r="NYP1" t="s">
        <v>10316</v>
      </c>
      <c r="NYQ1" t="s">
        <v>10317</v>
      </c>
      <c r="NYR1" t="s">
        <v>10318</v>
      </c>
      <c r="NYS1" t="s">
        <v>10319</v>
      </c>
      <c r="NYT1" t="s">
        <v>10320</v>
      </c>
      <c r="NYU1" t="s">
        <v>10321</v>
      </c>
      <c r="NYV1" t="s">
        <v>10322</v>
      </c>
      <c r="NYW1" t="s">
        <v>10323</v>
      </c>
      <c r="NYX1" t="s">
        <v>10324</v>
      </c>
      <c r="NYY1" t="s">
        <v>10325</v>
      </c>
      <c r="NYZ1" t="s">
        <v>10326</v>
      </c>
      <c r="NZA1" t="s">
        <v>10327</v>
      </c>
      <c r="NZB1" t="s">
        <v>10328</v>
      </c>
      <c r="NZC1" t="s">
        <v>10329</v>
      </c>
      <c r="NZD1" t="s">
        <v>10330</v>
      </c>
      <c r="NZE1" t="s">
        <v>10331</v>
      </c>
      <c r="NZF1" t="s">
        <v>10332</v>
      </c>
      <c r="NZG1" t="s">
        <v>10333</v>
      </c>
      <c r="NZH1" t="s">
        <v>10334</v>
      </c>
      <c r="NZI1" t="s">
        <v>10335</v>
      </c>
      <c r="NZJ1" t="s">
        <v>10336</v>
      </c>
      <c r="NZK1" t="s">
        <v>10337</v>
      </c>
      <c r="NZL1" t="s">
        <v>10338</v>
      </c>
      <c r="NZM1" t="s">
        <v>10339</v>
      </c>
      <c r="NZN1" t="s">
        <v>10340</v>
      </c>
      <c r="NZO1" t="s">
        <v>10341</v>
      </c>
      <c r="NZP1" t="s">
        <v>10342</v>
      </c>
      <c r="NZQ1" t="s">
        <v>10343</v>
      </c>
      <c r="NZR1" t="s">
        <v>10344</v>
      </c>
      <c r="NZS1" t="s">
        <v>10345</v>
      </c>
      <c r="NZT1" t="s">
        <v>10346</v>
      </c>
      <c r="NZU1" t="s">
        <v>10347</v>
      </c>
      <c r="NZV1" t="s">
        <v>10348</v>
      </c>
      <c r="NZW1" t="s">
        <v>10349</v>
      </c>
      <c r="NZX1" t="s">
        <v>10350</v>
      </c>
      <c r="NZY1" t="s">
        <v>10351</v>
      </c>
      <c r="NZZ1" t="s">
        <v>10352</v>
      </c>
      <c r="OAA1" t="s">
        <v>10353</v>
      </c>
      <c r="OAB1" t="s">
        <v>10354</v>
      </c>
      <c r="OAC1" t="s">
        <v>10355</v>
      </c>
      <c r="OAD1" t="s">
        <v>10356</v>
      </c>
      <c r="OAE1" t="s">
        <v>10357</v>
      </c>
      <c r="OAF1" t="s">
        <v>10358</v>
      </c>
      <c r="OAG1" t="s">
        <v>10359</v>
      </c>
      <c r="OAH1" t="s">
        <v>10360</v>
      </c>
      <c r="OAI1" t="s">
        <v>10361</v>
      </c>
      <c r="OAJ1" t="s">
        <v>10362</v>
      </c>
      <c r="OAK1" t="s">
        <v>10363</v>
      </c>
      <c r="OAL1" t="s">
        <v>10364</v>
      </c>
      <c r="OAM1" t="s">
        <v>10365</v>
      </c>
      <c r="OAN1" t="s">
        <v>10366</v>
      </c>
      <c r="OAO1" t="s">
        <v>10367</v>
      </c>
      <c r="OAP1" t="s">
        <v>10368</v>
      </c>
      <c r="OAQ1" t="s">
        <v>10369</v>
      </c>
      <c r="OAR1" t="s">
        <v>10370</v>
      </c>
      <c r="OAS1" t="s">
        <v>10371</v>
      </c>
      <c r="OAT1" t="s">
        <v>10372</v>
      </c>
      <c r="OAU1" t="s">
        <v>10373</v>
      </c>
      <c r="OAV1" t="s">
        <v>10374</v>
      </c>
      <c r="OAW1" t="s">
        <v>10375</v>
      </c>
      <c r="OAX1" t="s">
        <v>10376</v>
      </c>
      <c r="OAY1" t="s">
        <v>10377</v>
      </c>
      <c r="OAZ1" t="s">
        <v>10378</v>
      </c>
      <c r="OBA1" t="s">
        <v>10379</v>
      </c>
      <c r="OBB1" t="s">
        <v>10380</v>
      </c>
      <c r="OBC1" t="s">
        <v>10381</v>
      </c>
      <c r="OBD1" t="s">
        <v>10382</v>
      </c>
      <c r="OBE1" t="s">
        <v>10383</v>
      </c>
      <c r="OBF1" t="s">
        <v>10384</v>
      </c>
      <c r="OBG1" t="s">
        <v>10385</v>
      </c>
      <c r="OBH1" t="s">
        <v>10386</v>
      </c>
      <c r="OBI1" t="s">
        <v>10387</v>
      </c>
      <c r="OBJ1" t="s">
        <v>10388</v>
      </c>
      <c r="OBK1" t="s">
        <v>10389</v>
      </c>
      <c r="OBL1" t="s">
        <v>10390</v>
      </c>
      <c r="OBM1" t="s">
        <v>10391</v>
      </c>
      <c r="OBN1" t="s">
        <v>10392</v>
      </c>
      <c r="OBO1" t="s">
        <v>10393</v>
      </c>
      <c r="OBP1" t="s">
        <v>10394</v>
      </c>
      <c r="OBQ1" t="s">
        <v>10395</v>
      </c>
      <c r="OBR1" t="s">
        <v>10396</v>
      </c>
      <c r="OBS1" t="s">
        <v>10397</v>
      </c>
      <c r="OBT1" t="s">
        <v>10398</v>
      </c>
      <c r="OBU1" t="s">
        <v>10399</v>
      </c>
      <c r="OBV1" t="s">
        <v>10400</v>
      </c>
      <c r="OBW1" t="s">
        <v>10401</v>
      </c>
      <c r="OBX1" t="s">
        <v>10402</v>
      </c>
      <c r="OBY1" t="s">
        <v>10403</v>
      </c>
      <c r="OBZ1" t="s">
        <v>10404</v>
      </c>
      <c r="OCA1" t="s">
        <v>10405</v>
      </c>
      <c r="OCB1" t="s">
        <v>10406</v>
      </c>
      <c r="OCC1" t="s">
        <v>10407</v>
      </c>
      <c r="OCD1" t="s">
        <v>10408</v>
      </c>
      <c r="OCE1" t="s">
        <v>10409</v>
      </c>
      <c r="OCF1" t="s">
        <v>10410</v>
      </c>
      <c r="OCG1" t="s">
        <v>10411</v>
      </c>
      <c r="OCH1" t="s">
        <v>10412</v>
      </c>
      <c r="OCI1" t="s">
        <v>10413</v>
      </c>
      <c r="OCJ1" t="s">
        <v>10414</v>
      </c>
      <c r="OCK1" t="s">
        <v>10415</v>
      </c>
      <c r="OCL1" t="s">
        <v>10416</v>
      </c>
      <c r="OCM1" t="s">
        <v>10417</v>
      </c>
      <c r="OCN1" t="s">
        <v>10418</v>
      </c>
      <c r="OCO1" t="s">
        <v>10419</v>
      </c>
      <c r="OCP1" t="s">
        <v>10420</v>
      </c>
      <c r="OCQ1" t="s">
        <v>10421</v>
      </c>
      <c r="OCR1" t="s">
        <v>10422</v>
      </c>
      <c r="OCS1" t="s">
        <v>10423</v>
      </c>
      <c r="OCT1" t="s">
        <v>10424</v>
      </c>
      <c r="OCU1" t="s">
        <v>10425</v>
      </c>
      <c r="OCV1" t="s">
        <v>10426</v>
      </c>
      <c r="OCW1" t="s">
        <v>10427</v>
      </c>
      <c r="OCX1" t="s">
        <v>10428</v>
      </c>
      <c r="OCY1" t="s">
        <v>10429</v>
      </c>
      <c r="OCZ1" t="s">
        <v>10430</v>
      </c>
      <c r="ODA1" t="s">
        <v>10431</v>
      </c>
      <c r="ODB1" t="s">
        <v>10432</v>
      </c>
      <c r="ODC1" t="s">
        <v>10433</v>
      </c>
      <c r="ODD1" t="s">
        <v>10434</v>
      </c>
      <c r="ODE1" t="s">
        <v>10435</v>
      </c>
      <c r="ODF1" t="s">
        <v>10436</v>
      </c>
      <c r="ODG1" t="s">
        <v>10437</v>
      </c>
      <c r="ODH1" t="s">
        <v>10438</v>
      </c>
      <c r="ODI1" t="s">
        <v>10439</v>
      </c>
      <c r="ODJ1" t="s">
        <v>10440</v>
      </c>
      <c r="ODK1" t="s">
        <v>10441</v>
      </c>
      <c r="ODL1" t="s">
        <v>10442</v>
      </c>
      <c r="ODM1" t="s">
        <v>10443</v>
      </c>
      <c r="ODN1" t="s">
        <v>10444</v>
      </c>
      <c r="ODO1" t="s">
        <v>10445</v>
      </c>
      <c r="ODP1" t="s">
        <v>10446</v>
      </c>
      <c r="ODQ1" t="s">
        <v>10447</v>
      </c>
      <c r="ODR1" t="s">
        <v>10448</v>
      </c>
      <c r="ODS1" t="s">
        <v>10449</v>
      </c>
      <c r="ODT1" t="s">
        <v>10450</v>
      </c>
      <c r="ODU1" t="s">
        <v>10451</v>
      </c>
      <c r="ODV1" t="s">
        <v>10452</v>
      </c>
      <c r="ODW1" t="s">
        <v>10453</v>
      </c>
      <c r="ODX1" t="s">
        <v>10454</v>
      </c>
      <c r="ODY1" t="s">
        <v>10455</v>
      </c>
      <c r="ODZ1" t="s">
        <v>10456</v>
      </c>
      <c r="OEA1" t="s">
        <v>10457</v>
      </c>
      <c r="OEB1" t="s">
        <v>10458</v>
      </c>
      <c r="OEC1" t="s">
        <v>10459</v>
      </c>
      <c r="OED1" t="s">
        <v>10460</v>
      </c>
      <c r="OEE1" t="s">
        <v>10461</v>
      </c>
      <c r="OEF1" t="s">
        <v>10462</v>
      </c>
      <c r="OEG1" t="s">
        <v>10463</v>
      </c>
      <c r="OEH1" t="s">
        <v>10464</v>
      </c>
      <c r="OEI1" t="s">
        <v>10465</v>
      </c>
      <c r="OEJ1" t="s">
        <v>10466</v>
      </c>
      <c r="OEK1" t="s">
        <v>10467</v>
      </c>
      <c r="OEL1" t="s">
        <v>10468</v>
      </c>
      <c r="OEM1" t="s">
        <v>10469</v>
      </c>
      <c r="OEN1" t="s">
        <v>10470</v>
      </c>
      <c r="OEO1" t="s">
        <v>10471</v>
      </c>
      <c r="OEP1" t="s">
        <v>10472</v>
      </c>
      <c r="OEQ1" t="s">
        <v>10473</v>
      </c>
      <c r="OER1" t="s">
        <v>10474</v>
      </c>
      <c r="OES1" t="s">
        <v>10475</v>
      </c>
      <c r="OET1" t="s">
        <v>10476</v>
      </c>
      <c r="OEU1" t="s">
        <v>10477</v>
      </c>
      <c r="OEV1" t="s">
        <v>10478</v>
      </c>
      <c r="OEW1" t="s">
        <v>10479</v>
      </c>
      <c r="OEX1" t="s">
        <v>10480</v>
      </c>
      <c r="OEY1" t="s">
        <v>10481</v>
      </c>
      <c r="OEZ1" t="s">
        <v>10482</v>
      </c>
      <c r="OFA1" t="s">
        <v>10483</v>
      </c>
      <c r="OFB1" t="s">
        <v>10484</v>
      </c>
      <c r="OFC1" t="s">
        <v>10485</v>
      </c>
      <c r="OFD1" t="s">
        <v>10486</v>
      </c>
      <c r="OFE1" t="s">
        <v>10487</v>
      </c>
      <c r="OFF1" t="s">
        <v>10488</v>
      </c>
      <c r="OFG1" t="s">
        <v>10489</v>
      </c>
      <c r="OFH1" t="s">
        <v>10490</v>
      </c>
      <c r="OFI1" t="s">
        <v>10491</v>
      </c>
      <c r="OFJ1" t="s">
        <v>10492</v>
      </c>
      <c r="OFK1" t="s">
        <v>10493</v>
      </c>
      <c r="OFL1" t="s">
        <v>10494</v>
      </c>
      <c r="OFM1" t="s">
        <v>10495</v>
      </c>
      <c r="OFN1" t="s">
        <v>10496</v>
      </c>
      <c r="OFO1" t="s">
        <v>10497</v>
      </c>
      <c r="OFP1" t="s">
        <v>10498</v>
      </c>
      <c r="OFQ1" t="s">
        <v>10499</v>
      </c>
      <c r="OFR1" t="s">
        <v>10500</v>
      </c>
      <c r="OFS1" t="s">
        <v>10501</v>
      </c>
      <c r="OFT1" t="s">
        <v>10502</v>
      </c>
      <c r="OFU1" t="s">
        <v>10503</v>
      </c>
      <c r="OFV1" t="s">
        <v>10504</v>
      </c>
      <c r="OFW1" t="s">
        <v>10505</v>
      </c>
      <c r="OFX1" t="s">
        <v>10506</v>
      </c>
      <c r="OFY1" t="s">
        <v>10507</v>
      </c>
      <c r="OFZ1" t="s">
        <v>10508</v>
      </c>
      <c r="OGA1" t="s">
        <v>10509</v>
      </c>
      <c r="OGB1" t="s">
        <v>10510</v>
      </c>
      <c r="OGC1" t="s">
        <v>10511</v>
      </c>
      <c r="OGD1" t="s">
        <v>10512</v>
      </c>
      <c r="OGE1" t="s">
        <v>10513</v>
      </c>
      <c r="OGF1" t="s">
        <v>10514</v>
      </c>
      <c r="OGG1" t="s">
        <v>10515</v>
      </c>
      <c r="OGH1" t="s">
        <v>10516</v>
      </c>
      <c r="OGI1" t="s">
        <v>10517</v>
      </c>
      <c r="OGJ1" t="s">
        <v>10518</v>
      </c>
      <c r="OGK1" t="s">
        <v>10519</v>
      </c>
      <c r="OGL1" t="s">
        <v>10520</v>
      </c>
      <c r="OGM1" t="s">
        <v>10521</v>
      </c>
      <c r="OGN1" t="s">
        <v>10522</v>
      </c>
      <c r="OGO1" t="s">
        <v>10523</v>
      </c>
      <c r="OGP1" t="s">
        <v>10524</v>
      </c>
      <c r="OGQ1" t="s">
        <v>10525</v>
      </c>
      <c r="OGR1" t="s">
        <v>10526</v>
      </c>
      <c r="OGS1" t="s">
        <v>10527</v>
      </c>
      <c r="OGT1" t="s">
        <v>10528</v>
      </c>
      <c r="OGU1" t="s">
        <v>10529</v>
      </c>
      <c r="OGV1" t="s">
        <v>10530</v>
      </c>
      <c r="OGW1" t="s">
        <v>10531</v>
      </c>
      <c r="OGX1" t="s">
        <v>10532</v>
      </c>
      <c r="OGY1" t="s">
        <v>10533</v>
      </c>
      <c r="OGZ1" t="s">
        <v>10534</v>
      </c>
      <c r="OHA1" t="s">
        <v>10535</v>
      </c>
      <c r="OHB1" t="s">
        <v>10536</v>
      </c>
      <c r="OHC1" t="s">
        <v>10537</v>
      </c>
      <c r="OHD1" t="s">
        <v>10538</v>
      </c>
      <c r="OHE1" t="s">
        <v>10539</v>
      </c>
      <c r="OHF1" t="s">
        <v>10540</v>
      </c>
      <c r="OHG1" t="s">
        <v>10541</v>
      </c>
      <c r="OHH1" t="s">
        <v>10542</v>
      </c>
      <c r="OHI1" t="s">
        <v>10543</v>
      </c>
      <c r="OHJ1" t="s">
        <v>10544</v>
      </c>
      <c r="OHK1" t="s">
        <v>10545</v>
      </c>
      <c r="OHL1" t="s">
        <v>10546</v>
      </c>
      <c r="OHM1" t="s">
        <v>10547</v>
      </c>
      <c r="OHN1" t="s">
        <v>10548</v>
      </c>
      <c r="OHO1" t="s">
        <v>10549</v>
      </c>
      <c r="OHP1" t="s">
        <v>10550</v>
      </c>
      <c r="OHQ1" t="s">
        <v>10551</v>
      </c>
      <c r="OHR1" t="s">
        <v>10552</v>
      </c>
      <c r="OHS1" t="s">
        <v>10553</v>
      </c>
      <c r="OHT1" t="s">
        <v>10554</v>
      </c>
      <c r="OHU1" t="s">
        <v>10555</v>
      </c>
      <c r="OHV1" t="s">
        <v>10556</v>
      </c>
      <c r="OHW1" t="s">
        <v>10557</v>
      </c>
      <c r="OHX1" t="s">
        <v>10558</v>
      </c>
      <c r="OHY1" t="s">
        <v>10559</v>
      </c>
      <c r="OHZ1" t="s">
        <v>10560</v>
      </c>
      <c r="OIA1" t="s">
        <v>10561</v>
      </c>
      <c r="OIB1" t="s">
        <v>10562</v>
      </c>
      <c r="OIC1" t="s">
        <v>10563</v>
      </c>
      <c r="OID1" t="s">
        <v>10564</v>
      </c>
      <c r="OIE1" t="s">
        <v>10565</v>
      </c>
      <c r="OIF1" t="s">
        <v>10566</v>
      </c>
      <c r="OIG1" t="s">
        <v>10567</v>
      </c>
      <c r="OIH1" t="s">
        <v>10568</v>
      </c>
      <c r="OII1" t="s">
        <v>10569</v>
      </c>
      <c r="OIJ1" t="s">
        <v>10570</v>
      </c>
      <c r="OIK1" t="s">
        <v>10571</v>
      </c>
      <c r="OIL1" t="s">
        <v>10572</v>
      </c>
      <c r="OIM1" t="s">
        <v>10573</v>
      </c>
      <c r="OIN1" t="s">
        <v>10574</v>
      </c>
      <c r="OIO1" t="s">
        <v>10575</v>
      </c>
      <c r="OIP1" t="s">
        <v>10576</v>
      </c>
      <c r="OIQ1" t="s">
        <v>10577</v>
      </c>
      <c r="OIR1" t="s">
        <v>10578</v>
      </c>
      <c r="OIS1" t="s">
        <v>10579</v>
      </c>
      <c r="OIT1" t="s">
        <v>10580</v>
      </c>
      <c r="OIU1" t="s">
        <v>10581</v>
      </c>
      <c r="OIV1" t="s">
        <v>10582</v>
      </c>
      <c r="OIW1" t="s">
        <v>10583</v>
      </c>
      <c r="OIX1" t="s">
        <v>10584</v>
      </c>
      <c r="OIY1" t="s">
        <v>10585</v>
      </c>
      <c r="OIZ1" t="s">
        <v>10586</v>
      </c>
      <c r="OJA1" t="s">
        <v>10587</v>
      </c>
      <c r="OJB1" t="s">
        <v>10588</v>
      </c>
      <c r="OJC1" t="s">
        <v>10589</v>
      </c>
      <c r="OJD1" t="s">
        <v>10590</v>
      </c>
      <c r="OJE1" t="s">
        <v>10591</v>
      </c>
      <c r="OJF1" t="s">
        <v>10592</v>
      </c>
      <c r="OJG1" t="s">
        <v>10593</v>
      </c>
      <c r="OJH1" t="s">
        <v>10594</v>
      </c>
      <c r="OJI1" t="s">
        <v>10595</v>
      </c>
      <c r="OJJ1" t="s">
        <v>10596</v>
      </c>
      <c r="OJK1" t="s">
        <v>10597</v>
      </c>
      <c r="OJL1" t="s">
        <v>10598</v>
      </c>
      <c r="OJM1" t="s">
        <v>10599</v>
      </c>
      <c r="OJN1" t="s">
        <v>10600</v>
      </c>
      <c r="OJO1" t="s">
        <v>10601</v>
      </c>
      <c r="OJP1" t="s">
        <v>10602</v>
      </c>
      <c r="OJQ1" t="s">
        <v>10603</v>
      </c>
      <c r="OJR1" t="s">
        <v>10604</v>
      </c>
      <c r="OJS1" t="s">
        <v>10605</v>
      </c>
      <c r="OJT1" t="s">
        <v>10606</v>
      </c>
      <c r="OJU1" t="s">
        <v>10607</v>
      </c>
      <c r="OJV1" t="s">
        <v>10608</v>
      </c>
      <c r="OJW1" t="s">
        <v>10609</v>
      </c>
      <c r="OJX1" t="s">
        <v>10610</v>
      </c>
      <c r="OJY1" t="s">
        <v>10611</v>
      </c>
      <c r="OJZ1" t="s">
        <v>10612</v>
      </c>
      <c r="OKA1" t="s">
        <v>10613</v>
      </c>
      <c r="OKB1" t="s">
        <v>10614</v>
      </c>
      <c r="OKC1" t="s">
        <v>10615</v>
      </c>
      <c r="OKD1" t="s">
        <v>10616</v>
      </c>
      <c r="OKE1" t="s">
        <v>10617</v>
      </c>
      <c r="OKF1" t="s">
        <v>10618</v>
      </c>
      <c r="OKG1" t="s">
        <v>10619</v>
      </c>
      <c r="OKH1" t="s">
        <v>10620</v>
      </c>
      <c r="OKI1" t="s">
        <v>10621</v>
      </c>
      <c r="OKJ1" t="s">
        <v>10622</v>
      </c>
      <c r="OKK1" t="s">
        <v>10623</v>
      </c>
      <c r="OKL1" t="s">
        <v>10624</v>
      </c>
      <c r="OKM1" t="s">
        <v>10625</v>
      </c>
      <c r="OKN1" t="s">
        <v>10626</v>
      </c>
      <c r="OKO1" t="s">
        <v>10627</v>
      </c>
      <c r="OKP1" t="s">
        <v>10628</v>
      </c>
      <c r="OKQ1" t="s">
        <v>10629</v>
      </c>
      <c r="OKR1" t="s">
        <v>10630</v>
      </c>
      <c r="OKS1" t="s">
        <v>10631</v>
      </c>
      <c r="OKT1" t="s">
        <v>10632</v>
      </c>
      <c r="OKU1" t="s">
        <v>10633</v>
      </c>
      <c r="OKV1" t="s">
        <v>10634</v>
      </c>
      <c r="OKW1" t="s">
        <v>10635</v>
      </c>
      <c r="OKX1" t="s">
        <v>10636</v>
      </c>
      <c r="OKY1" t="s">
        <v>10637</v>
      </c>
      <c r="OKZ1" t="s">
        <v>10638</v>
      </c>
      <c r="OLA1" t="s">
        <v>10639</v>
      </c>
      <c r="OLB1" t="s">
        <v>10640</v>
      </c>
      <c r="OLC1" t="s">
        <v>10641</v>
      </c>
      <c r="OLD1" t="s">
        <v>10642</v>
      </c>
      <c r="OLE1" t="s">
        <v>10643</v>
      </c>
      <c r="OLF1" t="s">
        <v>10644</v>
      </c>
      <c r="OLG1" t="s">
        <v>10645</v>
      </c>
      <c r="OLH1" t="s">
        <v>10646</v>
      </c>
      <c r="OLI1" t="s">
        <v>10647</v>
      </c>
      <c r="OLJ1" t="s">
        <v>10648</v>
      </c>
      <c r="OLK1" t="s">
        <v>10649</v>
      </c>
      <c r="OLL1" t="s">
        <v>10650</v>
      </c>
      <c r="OLM1" t="s">
        <v>10651</v>
      </c>
      <c r="OLN1" t="s">
        <v>10652</v>
      </c>
      <c r="OLO1" t="s">
        <v>10653</v>
      </c>
      <c r="OLP1" t="s">
        <v>10654</v>
      </c>
      <c r="OLQ1" t="s">
        <v>10655</v>
      </c>
      <c r="OLR1" t="s">
        <v>10656</v>
      </c>
      <c r="OLS1" t="s">
        <v>10657</v>
      </c>
      <c r="OLT1" t="s">
        <v>10658</v>
      </c>
      <c r="OLU1" t="s">
        <v>10659</v>
      </c>
      <c r="OLV1" t="s">
        <v>10660</v>
      </c>
      <c r="OLW1" t="s">
        <v>10661</v>
      </c>
      <c r="OLX1" t="s">
        <v>10662</v>
      </c>
      <c r="OLY1" t="s">
        <v>10663</v>
      </c>
      <c r="OLZ1" t="s">
        <v>10664</v>
      </c>
      <c r="OMA1" t="s">
        <v>10665</v>
      </c>
      <c r="OMB1" t="s">
        <v>10666</v>
      </c>
      <c r="OMC1" t="s">
        <v>10667</v>
      </c>
      <c r="OMD1" t="s">
        <v>10668</v>
      </c>
      <c r="OME1" t="s">
        <v>10669</v>
      </c>
      <c r="OMF1" t="s">
        <v>10670</v>
      </c>
      <c r="OMG1" t="s">
        <v>10671</v>
      </c>
      <c r="OMH1" t="s">
        <v>10672</v>
      </c>
      <c r="OMI1" t="s">
        <v>10673</v>
      </c>
      <c r="OMJ1" t="s">
        <v>10674</v>
      </c>
      <c r="OMK1" t="s">
        <v>10675</v>
      </c>
      <c r="OML1" t="s">
        <v>10676</v>
      </c>
      <c r="OMM1" t="s">
        <v>10677</v>
      </c>
      <c r="OMN1" t="s">
        <v>10678</v>
      </c>
      <c r="OMO1" t="s">
        <v>10679</v>
      </c>
      <c r="OMP1" t="s">
        <v>10680</v>
      </c>
      <c r="OMQ1" t="s">
        <v>10681</v>
      </c>
      <c r="OMR1" t="s">
        <v>10682</v>
      </c>
      <c r="OMS1" t="s">
        <v>10683</v>
      </c>
      <c r="OMT1" t="s">
        <v>10684</v>
      </c>
      <c r="OMU1" t="s">
        <v>10685</v>
      </c>
      <c r="OMV1" t="s">
        <v>10686</v>
      </c>
      <c r="OMW1" t="s">
        <v>10687</v>
      </c>
      <c r="OMX1" t="s">
        <v>10688</v>
      </c>
      <c r="OMY1" t="s">
        <v>10689</v>
      </c>
      <c r="OMZ1" t="s">
        <v>10690</v>
      </c>
      <c r="ONA1" t="s">
        <v>10691</v>
      </c>
      <c r="ONB1" t="s">
        <v>10692</v>
      </c>
      <c r="ONC1" t="s">
        <v>10693</v>
      </c>
      <c r="OND1" t="s">
        <v>10694</v>
      </c>
      <c r="ONE1" t="s">
        <v>10695</v>
      </c>
      <c r="ONF1" t="s">
        <v>10696</v>
      </c>
      <c r="ONG1" t="s">
        <v>10697</v>
      </c>
      <c r="ONH1" t="s">
        <v>10698</v>
      </c>
      <c r="ONI1" t="s">
        <v>10699</v>
      </c>
      <c r="ONJ1" t="s">
        <v>10700</v>
      </c>
      <c r="ONK1" t="s">
        <v>10701</v>
      </c>
      <c r="ONL1" t="s">
        <v>10702</v>
      </c>
      <c r="ONM1" t="s">
        <v>10703</v>
      </c>
      <c r="ONN1" t="s">
        <v>10704</v>
      </c>
      <c r="ONO1" t="s">
        <v>10705</v>
      </c>
      <c r="ONP1" t="s">
        <v>10706</v>
      </c>
      <c r="ONQ1" t="s">
        <v>10707</v>
      </c>
      <c r="ONR1" t="s">
        <v>10708</v>
      </c>
      <c r="ONS1" t="s">
        <v>10709</v>
      </c>
      <c r="ONT1" t="s">
        <v>10710</v>
      </c>
      <c r="ONU1" t="s">
        <v>10711</v>
      </c>
      <c r="ONV1" t="s">
        <v>10712</v>
      </c>
      <c r="ONW1" t="s">
        <v>10713</v>
      </c>
      <c r="ONX1" t="s">
        <v>10714</v>
      </c>
      <c r="ONY1" t="s">
        <v>10715</v>
      </c>
      <c r="ONZ1" t="s">
        <v>10716</v>
      </c>
      <c r="OOA1" t="s">
        <v>10717</v>
      </c>
      <c r="OOB1" t="s">
        <v>10718</v>
      </c>
      <c r="OOC1" t="s">
        <v>10719</v>
      </c>
      <c r="OOD1" t="s">
        <v>10720</v>
      </c>
      <c r="OOE1" t="s">
        <v>10721</v>
      </c>
      <c r="OOF1" t="s">
        <v>10722</v>
      </c>
      <c r="OOG1" t="s">
        <v>10723</v>
      </c>
      <c r="OOH1" t="s">
        <v>10724</v>
      </c>
      <c r="OOI1" t="s">
        <v>10725</v>
      </c>
      <c r="OOJ1" t="s">
        <v>10726</v>
      </c>
      <c r="OOK1" t="s">
        <v>10727</v>
      </c>
      <c r="OOL1" t="s">
        <v>10728</v>
      </c>
      <c r="OOM1" t="s">
        <v>10729</v>
      </c>
      <c r="OON1" t="s">
        <v>10730</v>
      </c>
      <c r="OOO1" t="s">
        <v>10731</v>
      </c>
      <c r="OOP1" t="s">
        <v>10732</v>
      </c>
      <c r="OOQ1" t="s">
        <v>10733</v>
      </c>
      <c r="OOR1" t="s">
        <v>10734</v>
      </c>
      <c r="OOS1" t="s">
        <v>10735</v>
      </c>
      <c r="OOT1" t="s">
        <v>10736</v>
      </c>
      <c r="OOU1" t="s">
        <v>10737</v>
      </c>
      <c r="OOV1" t="s">
        <v>10738</v>
      </c>
      <c r="OOW1" t="s">
        <v>10739</v>
      </c>
      <c r="OOX1" t="s">
        <v>10740</v>
      </c>
      <c r="OOY1" t="s">
        <v>10741</v>
      </c>
      <c r="OOZ1" t="s">
        <v>10742</v>
      </c>
      <c r="OPA1" t="s">
        <v>10743</v>
      </c>
      <c r="OPB1" t="s">
        <v>10744</v>
      </c>
      <c r="OPC1" t="s">
        <v>10745</v>
      </c>
      <c r="OPD1" t="s">
        <v>10746</v>
      </c>
      <c r="OPE1" t="s">
        <v>10747</v>
      </c>
      <c r="OPF1" t="s">
        <v>10748</v>
      </c>
      <c r="OPG1" t="s">
        <v>10749</v>
      </c>
      <c r="OPH1" t="s">
        <v>10750</v>
      </c>
      <c r="OPI1" t="s">
        <v>10751</v>
      </c>
      <c r="OPJ1" t="s">
        <v>10752</v>
      </c>
      <c r="OPK1" t="s">
        <v>10753</v>
      </c>
      <c r="OPL1" t="s">
        <v>10754</v>
      </c>
      <c r="OPM1" t="s">
        <v>10755</v>
      </c>
      <c r="OPN1" t="s">
        <v>10756</v>
      </c>
      <c r="OPO1" t="s">
        <v>10757</v>
      </c>
      <c r="OPP1" t="s">
        <v>10758</v>
      </c>
      <c r="OPQ1" t="s">
        <v>10759</v>
      </c>
      <c r="OPR1" t="s">
        <v>10760</v>
      </c>
      <c r="OPS1" t="s">
        <v>10761</v>
      </c>
      <c r="OPT1" t="s">
        <v>10762</v>
      </c>
      <c r="OPU1" t="s">
        <v>10763</v>
      </c>
      <c r="OPV1" t="s">
        <v>10764</v>
      </c>
      <c r="OPW1" t="s">
        <v>10765</v>
      </c>
      <c r="OPX1" t="s">
        <v>10766</v>
      </c>
      <c r="OPY1" t="s">
        <v>10767</v>
      </c>
      <c r="OPZ1" t="s">
        <v>10768</v>
      </c>
      <c r="OQA1" t="s">
        <v>10769</v>
      </c>
      <c r="OQB1" t="s">
        <v>10770</v>
      </c>
      <c r="OQC1" t="s">
        <v>10771</v>
      </c>
      <c r="OQD1" t="s">
        <v>10772</v>
      </c>
      <c r="OQE1" t="s">
        <v>10773</v>
      </c>
      <c r="OQF1" t="s">
        <v>10774</v>
      </c>
      <c r="OQG1" t="s">
        <v>10775</v>
      </c>
      <c r="OQH1" t="s">
        <v>10776</v>
      </c>
      <c r="OQI1" t="s">
        <v>10777</v>
      </c>
      <c r="OQJ1" t="s">
        <v>10778</v>
      </c>
      <c r="OQK1" t="s">
        <v>10779</v>
      </c>
      <c r="OQL1" t="s">
        <v>10780</v>
      </c>
      <c r="OQM1" t="s">
        <v>10781</v>
      </c>
      <c r="OQN1" t="s">
        <v>10782</v>
      </c>
      <c r="OQO1" t="s">
        <v>10783</v>
      </c>
      <c r="OQP1" t="s">
        <v>10784</v>
      </c>
      <c r="OQQ1" t="s">
        <v>10785</v>
      </c>
      <c r="OQR1" t="s">
        <v>10786</v>
      </c>
      <c r="OQS1" t="s">
        <v>10787</v>
      </c>
      <c r="OQT1" t="s">
        <v>10788</v>
      </c>
      <c r="OQU1" t="s">
        <v>10789</v>
      </c>
      <c r="OQV1" t="s">
        <v>10790</v>
      </c>
      <c r="OQW1" t="s">
        <v>10791</v>
      </c>
      <c r="OQX1" t="s">
        <v>10792</v>
      </c>
      <c r="OQY1" t="s">
        <v>10793</v>
      </c>
      <c r="OQZ1" t="s">
        <v>10794</v>
      </c>
      <c r="ORA1" t="s">
        <v>10795</v>
      </c>
      <c r="ORB1" t="s">
        <v>10796</v>
      </c>
      <c r="ORC1" t="s">
        <v>10797</v>
      </c>
      <c r="ORD1" t="s">
        <v>10798</v>
      </c>
      <c r="ORE1" t="s">
        <v>10799</v>
      </c>
      <c r="ORF1" t="s">
        <v>10800</v>
      </c>
      <c r="ORG1" t="s">
        <v>10801</v>
      </c>
      <c r="ORH1" t="s">
        <v>10802</v>
      </c>
      <c r="ORI1" t="s">
        <v>10803</v>
      </c>
      <c r="ORJ1" t="s">
        <v>10804</v>
      </c>
      <c r="ORK1" t="s">
        <v>10805</v>
      </c>
      <c r="ORL1" t="s">
        <v>10806</v>
      </c>
      <c r="ORM1" t="s">
        <v>10807</v>
      </c>
      <c r="ORN1" t="s">
        <v>10808</v>
      </c>
      <c r="ORO1" t="s">
        <v>10809</v>
      </c>
      <c r="ORP1" t="s">
        <v>10810</v>
      </c>
      <c r="ORQ1" t="s">
        <v>10811</v>
      </c>
      <c r="ORR1" t="s">
        <v>10812</v>
      </c>
      <c r="ORS1" t="s">
        <v>10813</v>
      </c>
      <c r="ORT1" t="s">
        <v>10814</v>
      </c>
      <c r="ORU1" t="s">
        <v>10815</v>
      </c>
      <c r="ORV1" t="s">
        <v>10816</v>
      </c>
      <c r="ORW1" t="s">
        <v>10817</v>
      </c>
      <c r="ORX1" t="s">
        <v>10818</v>
      </c>
      <c r="ORY1" t="s">
        <v>10819</v>
      </c>
      <c r="ORZ1" t="s">
        <v>10820</v>
      </c>
      <c r="OSA1" t="s">
        <v>10821</v>
      </c>
      <c r="OSB1" t="s">
        <v>10822</v>
      </c>
      <c r="OSC1" t="s">
        <v>10823</v>
      </c>
      <c r="OSD1" t="s">
        <v>10824</v>
      </c>
      <c r="OSE1" t="s">
        <v>10825</v>
      </c>
      <c r="OSF1" t="s">
        <v>10826</v>
      </c>
      <c r="OSG1" t="s">
        <v>10827</v>
      </c>
      <c r="OSH1" t="s">
        <v>10828</v>
      </c>
      <c r="OSI1" t="s">
        <v>10829</v>
      </c>
      <c r="OSJ1" t="s">
        <v>10830</v>
      </c>
      <c r="OSK1" t="s">
        <v>10831</v>
      </c>
      <c r="OSL1" t="s">
        <v>10832</v>
      </c>
      <c r="OSM1" t="s">
        <v>10833</v>
      </c>
      <c r="OSN1" t="s">
        <v>10834</v>
      </c>
      <c r="OSO1" t="s">
        <v>10835</v>
      </c>
      <c r="OSP1" t="s">
        <v>10836</v>
      </c>
      <c r="OSQ1" t="s">
        <v>10837</v>
      </c>
      <c r="OSR1" t="s">
        <v>10838</v>
      </c>
      <c r="OSS1" t="s">
        <v>10839</v>
      </c>
      <c r="OST1" t="s">
        <v>10840</v>
      </c>
      <c r="OSU1" t="s">
        <v>10841</v>
      </c>
      <c r="OSV1" t="s">
        <v>10842</v>
      </c>
      <c r="OSW1" t="s">
        <v>10843</v>
      </c>
      <c r="OSX1" t="s">
        <v>10844</v>
      </c>
      <c r="OSY1" t="s">
        <v>10845</v>
      </c>
      <c r="OSZ1" t="s">
        <v>10846</v>
      </c>
      <c r="OTA1" t="s">
        <v>10847</v>
      </c>
      <c r="OTB1" t="s">
        <v>10848</v>
      </c>
      <c r="OTC1" t="s">
        <v>10849</v>
      </c>
      <c r="OTD1" t="s">
        <v>10850</v>
      </c>
      <c r="OTE1" t="s">
        <v>10851</v>
      </c>
      <c r="OTF1" t="s">
        <v>10852</v>
      </c>
      <c r="OTG1" t="s">
        <v>10853</v>
      </c>
      <c r="OTH1" t="s">
        <v>10854</v>
      </c>
      <c r="OTI1" t="s">
        <v>10855</v>
      </c>
      <c r="OTJ1" t="s">
        <v>10856</v>
      </c>
      <c r="OTK1" t="s">
        <v>10857</v>
      </c>
      <c r="OTL1" t="s">
        <v>10858</v>
      </c>
      <c r="OTM1" t="s">
        <v>10859</v>
      </c>
      <c r="OTN1" t="s">
        <v>10860</v>
      </c>
      <c r="OTO1" t="s">
        <v>10861</v>
      </c>
      <c r="OTP1" t="s">
        <v>10862</v>
      </c>
      <c r="OTQ1" t="s">
        <v>10863</v>
      </c>
      <c r="OTR1" t="s">
        <v>10864</v>
      </c>
      <c r="OTS1" t="s">
        <v>10865</v>
      </c>
      <c r="OTT1" t="s">
        <v>10866</v>
      </c>
      <c r="OTU1" t="s">
        <v>10867</v>
      </c>
      <c r="OTV1" t="s">
        <v>10868</v>
      </c>
      <c r="OTW1" t="s">
        <v>10869</v>
      </c>
      <c r="OTX1" t="s">
        <v>10870</v>
      </c>
      <c r="OTY1" t="s">
        <v>10871</v>
      </c>
      <c r="OTZ1" t="s">
        <v>10872</v>
      </c>
      <c r="OUA1" t="s">
        <v>10873</v>
      </c>
      <c r="OUB1" t="s">
        <v>10874</v>
      </c>
      <c r="OUC1" t="s">
        <v>10875</v>
      </c>
      <c r="OUD1" t="s">
        <v>10876</v>
      </c>
      <c r="OUE1" t="s">
        <v>10877</v>
      </c>
      <c r="OUF1" t="s">
        <v>10878</v>
      </c>
      <c r="OUG1" t="s">
        <v>10879</v>
      </c>
      <c r="OUH1" t="s">
        <v>10880</v>
      </c>
      <c r="OUI1" t="s">
        <v>10881</v>
      </c>
      <c r="OUJ1" t="s">
        <v>10882</v>
      </c>
      <c r="OUK1" t="s">
        <v>10883</v>
      </c>
      <c r="OUL1" t="s">
        <v>10884</v>
      </c>
      <c r="OUM1" t="s">
        <v>10885</v>
      </c>
      <c r="OUN1" t="s">
        <v>10886</v>
      </c>
      <c r="OUO1" t="s">
        <v>10887</v>
      </c>
      <c r="OUP1" t="s">
        <v>10888</v>
      </c>
      <c r="OUQ1" t="s">
        <v>10889</v>
      </c>
      <c r="OUR1" t="s">
        <v>10890</v>
      </c>
      <c r="OUS1" t="s">
        <v>10891</v>
      </c>
      <c r="OUT1" t="s">
        <v>10892</v>
      </c>
      <c r="OUU1" t="s">
        <v>10893</v>
      </c>
      <c r="OUV1" t="s">
        <v>10894</v>
      </c>
      <c r="OUW1" t="s">
        <v>10895</v>
      </c>
      <c r="OUX1" t="s">
        <v>10896</v>
      </c>
      <c r="OUY1" t="s">
        <v>10897</v>
      </c>
      <c r="OUZ1" t="s">
        <v>10898</v>
      </c>
      <c r="OVA1" t="s">
        <v>10899</v>
      </c>
      <c r="OVB1" t="s">
        <v>10900</v>
      </c>
      <c r="OVC1" t="s">
        <v>10901</v>
      </c>
      <c r="OVD1" t="s">
        <v>10902</v>
      </c>
      <c r="OVE1" t="s">
        <v>10903</v>
      </c>
      <c r="OVF1" t="s">
        <v>10904</v>
      </c>
      <c r="OVG1" t="s">
        <v>10905</v>
      </c>
      <c r="OVH1" t="s">
        <v>10906</v>
      </c>
      <c r="OVI1" t="s">
        <v>10907</v>
      </c>
      <c r="OVJ1" t="s">
        <v>10908</v>
      </c>
      <c r="OVK1" t="s">
        <v>10909</v>
      </c>
      <c r="OVL1" t="s">
        <v>10910</v>
      </c>
      <c r="OVM1" t="s">
        <v>10911</v>
      </c>
      <c r="OVN1" t="s">
        <v>10912</v>
      </c>
      <c r="OVO1" t="s">
        <v>10913</v>
      </c>
      <c r="OVP1" t="s">
        <v>10914</v>
      </c>
      <c r="OVQ1" t="s">
        <v>10915</v>
      </c>
      <c r="OVR1" t="s">
        <v>10916</v>
      </c>
      <c r="OVS1" t="s">
        <v>10917</v>
      </c>
      <c r="OVT1" t="s">
        <v>10918</v>
      </c>
      <c r="OVU1" t="s">
        <v>10919</v>
      </c>
      <c r="OVV1" t="s">
        <v>10920</v>
      </c>
      <c r="OVW1" t="s">
        <v>10921</v>
      </c>
      <c r="OVX1" t="s">
        <v>10922</v>
      </c>
      <c r="OVY1" t="s">
        <v>10923</v>
      </c>
      <c r="OVZ1" t="s">
        <v>10924</v>
      </c>
      <c r="OWA1" t="s">
        <v>10925</v>
      </c>
      <c r="OWB1" t="s">
        <v>10926</v>
      </c>
      <c r="OWC1" t="s">
        <v>10927</v>
      </c>
      <c r="OWD1" t="s">
        <v>10928</v>
      </c>
      <c r="OWE1" t="s">
        <v>10929</v>
      </c>
      <c r="OWF1" t="s">
        <v>10930</v>
      </c>
      <c r="OWG1" t="s">
        <v>10931</v>
      </c>
      <c r="OWH1" t="s">
        <v>10932</v>
      </c>
      <c r="OWI1" t="s">
        <v>10933</v>
      </c>
      <c r="OWJ1" t="s">
        <v>10934</v>
      </c>
      <c r="OWK1" t="s">
        <v>10935</v>
      </c>
      <c r="OWL1" t="s">
        <v>10936</v>
      </c>
      <c r="OWM1" t="s">
        <v>10937</v>
      </c>
      <c r="OWN1" t="s">
        <v>10938</v>
      </c>
      <c r="OWO1" t="s">
        <v>10939</v>
      </c>
      <c r="OWP1" t="s">
        <v>10940</v>
      </c>
      <c r="OWQ1" t="s">
        <v>10941</v>
      </c>
      <c r="OWR1" t="s">
        <v>10942</v>
      </c>
      <c r="OWS1" t="s">
        <v>10943</v>
      </c>
      <c r="OWT1" t="s">
        <v>10944</v>
      </c>
      <c r="OWU1" t="s">
        <v>10945</v>
      </c>
      <c r="OWV1" t="s">
        <v>10946</v>
      </c>
      <c r="OWW1" t="s">
        <v>10947</v>
      </c>
      <c r="OWX1" t="s">
        <v>10948</v>
      </c>
      <c r="OWY1" t="s">
        <v>10949</v>
      </c>
      <c r="OWZ1" t="s">
        <v>10950</v>
      </c>
      <c r="OXA1" t="s">
        <v>10951</v>
      </c>
      <c r="OXB1" t="s">
        <v>10952</v>
      </c>
      <c r="OXC1" t="s">
        <v>10953</v>
      </c>
      <c r="OXD1" t="s">
        <v>10954</v>
      </c>
      <c r="OXE1" t="s">
        <v>10955</v>
      </c>
      <c r="OXF1" t="s">
        <v>10956</v>
      </c>
      <c r="OXG1" t="s">
        <v>10957</v>
      </c>
      <c r="OXH1" t="s">
        <v>10958</v>
      </c>
      <c r="OXI1" t="s">
        <v>10959</v>
      </c>
      <c r="OXJ1" t="s">
        <v>10960</v>
      </c>
      <c r="OXK1" t="s">
        <v>10961</v>
      </c>
      <c r="OXL1" t="s">
        <v>10962</v>
      </c>
      <c r="OXM1" t="s">
        <v>10963</v>
      </c>
      <c r="OXN1" t="s">
        <v>10964</v>
      </c>
      <c r="OXO1" t="s">
        <v>10965</v>
      </c>
      <c r="OXP1" t="s">
        <v>10966</v>
      </c>
      <c r="OXQ1" t="s">
        <v>10967</v>
      </c>
      <c r="OXR1" t="s">
        <v>10968</v>
      </c>
      <c r="OXS1" t="s">
        <v>10969</v>
      </c>
      <c r="OXT1" t="s">
        <v>10970</v>
      </c>
      <c r="OXU1" t="s">
        <v>10971</v>
      </c>
      <c r="OXV1" t="s">
        <v>10972</v>
      </c>
      <c r="OXW1" t="s">
        <v>10973</v>
      </c>
      <c r="OXX1" t="s">
        <v>10974</v>
      </c>
      <c r="OXY1" t="s">
        <v>10975</v>
      </c>
      <c r="OXZ1" t="s">
        <v>10976</v>
      </c>
      <c r="OYA1" t="s">
        <v>10977</v>
      </c>
      <c r="OYB1" t="s">
        <v>10978</v>
      </c>
      <c r="OYC1" t="s">
        <v>10979</v>
      </c>
      <c r="OYD1" t="s">
        <v>10980</v>
      </c>
      <c r="OYE1" t="s">
        <v>10981</v>
      </c>
      <c r="OYF1" t="s">
        <v>10982</v>
      </c>
      <c r="OYG1" t="s">
        <v>10983</v>
      </c>
      <c r="OYH1" t="s">
        <v>10984</v>
      </c>
      <c r="OYI1" t="s">
        <v>10985</v>
      </c>
      <c r="OYJ1" t="s">
        <v>10986</v>
      </c>
      <c r="OYK1" t="s">
        <v>10987</v>
      </c>
      <c r="OYL1" t="s">
        <v>10988</v>
      </c>
      <c r="OYM1" t="s">
        <v>10989</v>
      </c>
      <c r="OYN1" t="s">
        <v>10990</v>
      </c>
      <c r="OYO1" t="s">
        <v>10991</v>
      </c>
      <c r="OYP1" t="s">
        <v>10992</v>
      </c>
      <c r="OYQ1" t="s">
        <v>10993</v>
      </c>
      <c r="OYR1" t="s">
        <v>10994</v>
      </c>
      <c r="OYS1" t="s">
        <v>10995</v>
      </c>
      <c r="OYT1" t="s">
        <v>10996</v>
      </c>
      <c r="OYU1" t="s">
        <v>10997</v>
      </c>
      <c r="OYV1" t="s">
        <v>10998</v>
      </c>
      <c r="OYW1" t="s">
        <v>10999</v>
      </c>
      <c r="OYX1" t="s">
        <v>11000</v>
      </c>
      <c r="OYY1" t="s">
        <v>11001</v>
      </c>
      <c r="OYZ1" t="s">
        <v>11002</v>
      </c>
      <c r="OZA1" t="s">
        <v>11003</v>
      </c>
      <c r="OZB1" t="s">
        <v>11004</v>
      </c>
      <c r="OZC1" t="s">
        <v>11005</v>
      </c>
      <c r="OZD1" t="s">
        <v>11006</v>
      </c>
      <c r="OZE1" t="s">
        <v>11007</v>
      </c>
      <c r="OZF1" t="s">
        <v>11008</v>
      </c>
      <c r="OZG1" t="s">
        <v>11009</v>
      </c>
      <c r="OZH1" t="s">
        <v>11010</v>
      </c>
      <c r="OZI1" t="s">
        <v>11011</v>
      </c>
      <c r="OZJ1" t="s">
        <v>11012</v>
      </c>
      <c r="OZK1" t="s">
        <v>11013</v>
      </c>
      <c r="OZL1" t="s">
        <v>11014</v>
      </c>
      <c r="OZM1" t="s">
        <v>11015</v>
      </c>
      <c r="OZN1" t="s">
        <v>11016</v>
      </c>
      <c r="OZO1" t="s">
        <v>11017</v>
      </c>
      <c r="OZP1" t="s">
        <v>11018</v>
      </c>
      <c r="OZQ1" t="s">
        <v>11019</v>
      </c>
      <c r="OZR1" t="s">
        <v>11020</v>
      </c>
      <c r="OZS1" t="s">
        <v>11021</v>
      </c>
      <c r="OZT1" t="s">
        <v>11022</v>
      </c>
      <c r="OZU1" t="s">
        <v>11023</v>
      </c>
      <c r="OZV1" t="s">
        <v>11024</v>
      </c>
      <c r="OZW1" t="s">
        <v>11025</v>
      </c>
      <c r="OZX1" t="s">
        <v>11026</v>
      </c>
      <c r="OZY1" t="s">
        <v>11027</v>
      </c>
      <c r="OZZ1" t="s">
        <v>11028</v>
      </c>
      <c r="PAA1" t="s">
        <v>11029</v>
      </c>
      <c r="PAB1" t="s">
        <v>11030</v>
      </c>
      <c r="PAC1" t="s">
        <v>11031</v>
      </c>
      <c r="PAD1" t="s">
        <v>11032</v>
      </c>
      <c r="PAE1" t="s">
        <v>11033</v>
      </c>
      <c r="PAF1" t="s">
        <v>11034</v>
      </c>
      <c r="PAG1" t="s">
        <v>11035</v>
      </c>
      <c r="PAH1" t="s">
        <v>11036</v>
      </c>
      <c r="PAI1" t="s">
        <v>11037</v>
      </c>
      <c r="PAJ1" t="s">
        <v>11038</v>
      </c>
      <c r="PAK1" t="s">
        <v>11039</v>
      </c>
      <c r="PAL1" t="s">
        <v>11040</v>
      </c>
      <c r="PAM1" t="s">
        <v>11041</v>
      </c>
      <c r="PAN1" t="s">
        <v>11042</v>
      </c>
      <c r="PAO1" t="s">
        <v>11043</v>
      </c>
      <c r="PAP1" t="s">
        <v>11044</v>
      </c>
      <c r="PAQ1" t="s">
        <v>11045</v>
      </c>
      <c r="PAR1" t="s">
        <v>11046</v>
      </c>
      <c r="PAS1" t="s">
        <v>11047</v>
      </c>
      <c r="PAT1" t="s">
        <v>11048</v>
      </c>
      <c r="PAU1" t="s">
        <v>11049</v>
      </c>
      <c r="PAV1" t="s">
        <v>11050</v>
      </c>
      <c r="PAW1" t="s">
        <v>11051</v>
      </c>
      <c r="PAX1" t="s">
        <v>11052</v>
      </c>
      <c r="PAY1" t="s">
        <v>11053</v>
      </c>
      <c r="PAZ1" t="s">
        <v>11054</v>
      </c>
      <c r="PBA1" t="s">
        <v>11055</v>
      </c>
      <c r="PBB1" t="s">
        <v>11056</v>
      </c>
      <c r="PBC1" t="s">
        <v>11057</v>
      </c>
      <c r="PBD1" t="s">
        <v>11058</v>
      </c>
      <c r="PBE1" t="s">
        <v>11059</v>
      </c>
      <c r="PBF1" t="s">
        <v>11060</v>
      </c>
      <c r="PBG1" t="s">
        <v>11061</v>
      </c>
      <c r="PBH1" t="s">
        <v>11062</v>
      </c>
      <c r="PBI1" t="s">
        <v>11063</v>
      </c>
      <c r="PBJ1" t="s">
        <v>11064</v>
      </c>
      <c r="PBK1" t="s">
        <v>11065</v>
      </c>
      <c r="PBL1" t="s">
        <v>11066</v>
      </c>
      <c r="PBM1" t="s">
        <v>11067</v>
      </c>
      <c r="PBN1" t="s">
        <v>11068</v>
      </c>
      <c r="PBO1" t="s">
        <v>11069</v>
      </c>
      <c r="PBP1" t="s">
        <v>11070</v>
      </c>
      <c r="PBQ1" t="s">
        <v>11071</v>
      </c>
      <c r="PBR1" t="s">
        <v>11072</v>
      </c>
      <c r="PBS1" t="s">
        <v>11073</v>
      </c>
      <c r="PBT1" t="s">
        <v>11074</v>
      </c>
      <c r="PBU1" t="s">
        <v>11075</v>
      </c>
      <c r="PBV1" t="s">
        <v>11076</v>
      </c>
      <c r="PBW1" t="s">
        <v>11077</v>
      </c>
      <c r="PBX1" t="s">
        <v>11078</v>
      </c>
      <c r="PBY1" t="s">
        <v>11079</v>
      </c>
      <c r="PBZ1" t="s">
        <v>11080</v>
      </c>
      <c r="PCA1" t="s">
        <v>11081</v>
      </c>
      <c r="PCB1" t="s">
        <v>11082</v>
      </c>
      <c r="PCC1" t="s">
        <v>11083</v>
      </c>
      <c r="PCD1" t="s">
        <v>11084</v>
      </c>
      <c r="PCE1" t="s">
        <v>11085</v>
      </c>
      <c r="PCF1" t="s">
        <v>11086</v>
      </c>
      <c r="PCG1" t="s">
        <v>11087</v>
      </c>
      <c r="PCH1" t="s">
        <v>11088</v>
      </c>
      <c r="PCI1" t="s">
        <v>11089</v>
      </c>
      <c r="PCJ1" t="s">
        <v>11090</v>
      </c>
      <c r="PCK1" t="s">
        <v>11091</v>
      </c>
      <c r="PCL1" t="s">
        <v>11092</v>
      </c>
      <c r="PCM1" t="s">
        <v>11093</v>
      </c>
      <c r="PCN1" t="s">
        <v>11094</v>
      </c>
      <c r="PCO1" t="s">
        <v>11095</v>
      </c>
      <c r="PCP1" t="s">
        <v>11096</v>
      </c>
      <c r="PCQ1" t="s">
        <v>11097</v>
      </c>
      <c r="PCR1" t="s">
        <v>11098</v>
      </c>
      <c r="PCS1" t="s">
        <v>11099</v>
      </c>
      <c r="PCT1" t="s">
        <v>11100</v>
      </c>
      <c r="PCU1" t="s">
        <v>11101</v>
      </c>
      <c r="PCV1" t="s">
        <v>11102</v>
      </c>
      <c r="PCW1" t="s">
        <v>11103</v>
      </c>
      <c r="PCX1" t="s">
        <v>11104</v>
      </c>
      <c r="PCY1" t="s">
        <v>11105</v>
      </c>
      <c r="PCZ1" t="s">
        <v>11106</v>
      </c>
      <c r="PDA1" t="s">
        <v>11107</v>
      </c>
      <c r="PDB1" t="s">
        <v>11108</v>
      </c>
      <c r="PDC1" t="s">
        <v>11109</v>
      </c>
      <c r="PDD1" t="s">
        <v>11110</v>
      </c>
      <c r="PDE1" t="s">
        <v>11111</v>
      </c>
      <c r="PDF1" t="s">
        <v>11112</v>
      </c>
      <c r="PDG1" t="s">
        <v>11113</v>
      </c>
      <c r="PDH1" t="s">
        <v>11114</v>
      </c>
      <c r="PDI1" t="s">
        <v>11115</v>
      </c>
      <c r="PDJ1" t="s">
        <v>11116</v>
      </c>
      <c r="PDK1" t="s">
        <v>11117</v>
      </c>
      <c r="PDL1" t="s">
        <v>11118</v>
      </c>
      <c r="PDM1" t="s">
        <v>11119</v>
      </c>
      <c r="PDN1" t="s">
        <v>11120</v>
      </c>
      <c r="PDO1" t="s">
        <v>11121</v>
      </c>
      <c r="PDP1" t="s">
        <v>11122</v>
      </c>
      <c r="PDQ1" t="s">
        <v>11123</v>
      </c>
      <c r="PDR1" t="s">
        <v>11124</v>
      </c>
      <c r="PDS1" t="s">
        <v>11125</v>
      </c>
      <c r="PDT1" t="s">
        <v>11126</v>
      </c>
      <c r="PDU1" t="s">
        <v>11127</v>
      </c>
      <c r="PDV1" t="s">
        <v>11128</v>
      </c>
      <c r="PDW1" t="s">
        <v>11129</v>
      </c>
      <c r="PDX1" t="s">
        <v>11130</v>
      </c>
      <c r="PDY1" t="s">
        <v>11131</v>
      </c>
      <c r="PDZ1" t="s">
        <v>11132</v>
      </c>
      <c r="PEA1" t="s">
        <v>11133</v>
      </c>
      <c r="PEB1" t="s">
        <v>11134</v>
      </c>
      <c r="PEC1" t="s">
        <v>11135</v>
      </c>
      <c r="PED1" t="s">
        <v>11136</v>
      </c>
      <c r="PEE1" t="s">
        <v>11137</v>
      </c>
      <c r="PEF1" t="s">
        <v>11138</v>
      </c>
      <c r="PEG1" t="s">
        <v>11139</v>
      </c>
      <c r="PEH1" t="s">
        <v>11140</v>
      </c>
      <c r="PEI1" t="s">
        <v>11141</v>
      </c>
      <c r="PEJ1" t="s">
        <v>11142</v>
      </c>
      <c r="PEK1" t="s">
        <v>11143</v>
      </c>
      <c r="PEL1" t="s">
        <v>11144</v>
      </c>
      <c r="PEM1" t="s">
        <v>11145</v>
      </c>
      <c r="PEN1" t="s">
        <v>11146</v>
      </c>
      <c r="PEO1" t="s">
        <v>11147</v>
      </c>
      <c r="PEP1" t="s">
        <v>11148</v>
      </c>
      <c r="PEQ1" t="s">
        <v>11149</v>
      </c>
      <c r="PER1" t="s">
        <v>11150</v>
      </c>
      <c r="PES1" t="s">
        <v>11151</v>
      </c>
      <c r="PET1" t="s">
        <v>11152</v>
      </c>
      <c r="PEU1" t="s">
        <v>11153</v>
      </c>
      <c r="PEV1" t="s">
        <v>11154</v>
      </c>
      <c r="PEW1" t="s">
        <v>11155</v>
      </c>
      <c r="PEX1" t="s">
        <v>11156</v>
      </c>
      <c r="PEY1" t="s">
        <v>11157</v>
      </c>
      <c r="PEZ1" t="s">
        <v>11158</v>
      </c>
      <c r="PFA1" t="s">
        <v>11159</v>
      </c>
      <c r="PFB1" t="s">
        <v>11160</v>
      </c>
      <c r="PFC1" t="s">
        <v>11161</v>
      </c>
      <c r="PFD1" t="s">
        <v>11162</v>
      </c>
      <c r="PFE1" t="s">
        <v>11163</v>
      </c>
      <c r="PFF1" t="s">
        <v>11164</v>
      </c>
      <c r="PFG1" t="s">
        <v>11165</v>
      </c>
      <c r="PFH1" t="s">
        <v>11166</v>
      </c>
      <c r="PFI1" t="s">
        <v>11167</v>
      </c>
      <c r="PFJ1" t="s">
        <v>11168</v>
      </c>
      <c r="PFK1" t="s">
        <v>11169</v>
      </c>
      <c r="PFL1" t="s">
        <v>11170</v>
      </c>
      <c r="PFM1" t="s">
        <v>11171</v>
      </c>
      <c r="PFN1" t="s">
        <v>11172</v>
      </c>
      <c r="PFO1" t="s">
        <v>11173</v>
      </c>
      <c r="PFP1" t="s">
        <v>11174</v>
      </c>
      <c r="PFQ1" t="s">
        <v>11175</v>
      </c>
      <c r="PFR1" t="s">
        <v>11176</v>
      </c>
      <c r="PFS1" t="s">
        <v>11177</v>
      </c>
      <c r="PFT1" t="s">
        <v>11178</v>
      </c>
      <c r="PFU1" t="s">
        <v>11179</v>
      </c>
      <c r="PFV1" t="s">
        <v>11180</v>
      </c>
      <c r="PFW1" t="s">
        <v>11181</v>
      </c>
      <c r="PFX1" t="s">
        <v>11182</v>
      </c>
      <c r="PFY1" t="s">
        <v>11183</v>
      </c>
      <c r="PFZ1" t="s">
        <v>11184</v>
      </c>
      <c r="PGA1" t="s">
        <v>11185</v>
      </c>
      <c r="PGB1" t="s">
        <v>11186</v>
      </c>
      <c r="PGC1" t="s">
        <v>11187</v>
      </c>
      <c r="PGD1" t="s">
        <v>11188</v>
      </c>
      <c r="PGE1" t="s">
        <v>11189</v>
      </c>
      <c r="PGF1" t="s">
        <v>11190</v>
      </c>
      <c r="PGG1" t="s">
        <v>11191</v>
      </c>
      <c r="PGH1" t="s">
        <v>11192</v>
      </c>
      <c r="PGI1" t="s">
        <v>11193</v>
      </c>
      <c r="PGJ1" t="s">
        <v>11194</v>
      </c>
      <c r="PGK1" t="s">
        <v>11195</v>
      </c>
      <c r="PGL1" t="s">
        <v>11196</v>
      </c>
      <c r="PGM1" t="s">
        <v>11197</v>
      </c>
      <c r="PGN1" t="s">
        <v>11198</v>
      </c>
      <c r="PGO1" t="s">
        <v>11199</v>
      </c>
      <c r="PGP1" t="s">
        <v>11200</v>
      </c>
      <c r="PGQ1" t="s">
        <v>11201</v>
      </c>
      <c r="PGR1" t="s">
        <v>11202</v>
      </c>
      <c r="PGS1" t="s">
        <v>11203</v>
      </c>
      <c r="PGT1" t="s">
        <v>11204</v>
      </c>
      <c r="PGU1" t="s">
        <v>11205</v>
      </c>
      <c r="PGV1" t="s">
        <v>11206</v>
      </c>
      <c r="PGW1" t="s">
        <v>11207</v>
      </c>
      <c r="PGX1" t="s">
        <v>11208</v>
      </c>
      <c r="PGY1" t="s">
        <v>11209</v>
      </c>
      <c r="PGZ1" t="s">
        <v>11210</v>
      </c>
      <c r="PHA1" t="s">
        <v>11211</v>
      </c>
      <c r="PHB1" t="s">
        <v>11212</v>
      </c>
      <c r="PHC1" t="s">
        <v>11213</v>
      </c>
      <c r="PHD1" t="s">
        <v>11214</v>
      </c>
      <c r="PHE1" t="s">
        <v>11215</v>
      </c>
      <c r="PHF1" t="s">
        <v>11216</v>
      </c>
      <c r="PHG1" t="s">
        <v>11217</v>
      </c>
      <c r="PHH1" t="s">
        <v>11218</v>
      </c>
      <c r="PHI1" t="s">
        <v>11219</v>
      </c>
      <c r="PHJ1" t="s">
        <v>11220</v>
      </c>
      <c r="PHK1" t="s">
        <v>11221</v>
      </c>
      <c r="PHL1" t="s">
        <v>11222</v>
      </c>
      <c r="PHM1" t="s">
        <v>11223</v>
      </c>
      <c r="PHN1" t="s">
        <v>11224</v>
      </c>
      <c r="PHO1" t="s">
        <v>11225</v>
      </c>
      <c r="PHP1" t="s">
        <v>11226</v>
      </c>
      <c r="PHQ1" t="s">
        <v>11227</v>
      </c>
      <c r="PHR1" t="s">
        <v>11228</v>
      </c>
      <c r="PHS1" t="s">
        <v>11229</v>
      </c>
      <c r="PHT1" t="s">
        <v>11230</v>
      </c>
      <c r="PHU1" t="s">
        <v>11231</v>
      </c>
      <c r="PHV1" t="s">
        <v>11232</v>
      </c>
      <c r="PHW1" t="s">
        <v>11233</v>
      </c>
      <c r="PHX1" t="s">
        <v>11234</v>
      </c>
      <c r="PHY1" t="s">
        <v>11235</v>
      </c>
      <c r="PHZ1" t="s">
        <v>11236</v>
      </c>
      <c r="PIA1" t="s">
        <v>11237</v>
      </c>
      <c r="PIB1" t="s">
        <v>11238</v>
      </c>
      <c r="PIC1" t="s">
        <v>11239</v>
      </c>
      <c r="PID1" t="s">
        <v>11240</v>
      </c>
      <c r="PIE1" t="s">
        <v>11241</v>
      </c>
      <c r="PIF1" t="s">
        <v>11242</v>
      </c>
      <c r="PIG1" t="s">
        <v>11243</v>
      </c>
      <c r="PIH1" t="s">
        <v>11244</v>
      </c>
      <c r="PII1" t="s">
        <v>11245</v>
      </c>
      <c r="PIJ1" t="s">
        <v>11246</v>
      </c>
      <c r="PIK1" t="s">
        <v>11247</v>
      </c>
      <c r="PIL1" t="s">
        <v>11248</v>
      </c>
      <c r="PIM1" t="s">
        <v>11249</v>
      </c>
      <c r="PIN1" t="s">
        <v>11250</v>
      </c>
      <c r="PIO1" t="s">
        <v>11251</v>
      </c>
      <c r="PIP1" t="s">
        <v>11252</v>
      </c>
      <c r="PIQ1" t="s">
        <v>11253</v>
      </c>
      <c r="PIR1" t="s">
        <v>11254</v>
      </c>
      <c r="PIS1" t="s">
        <v>11255</v>
      </c>
      <c r="PIT1" t="s">
        <v>11256</v>
      </c>
      <c r="PIU1" t="s">
        <v>11257</v>
      </c>
      <c r="PIV1" t="s">
        <v>11258</v>
      </c>
      <c r="PIW1" t="s">
        <v>11259</v>
      </c>
      <c r="PIX1" t="s">
        <v>11260</v>
      </c>
      <c r="PIY1" t="s">
        <v>11261</v>
      </c>
      <c r="PIZ1" t="s">
        <v>11262</v>
      </c>
      <c r="PJA1" t="s">
        <v>11263</v>
      </c>
      <c r="PJB1" t="s">
        <v>11264</v>
      </c>
      <c r="PJC1" t="s">
        <v>11265</v>
      </c>
      <c r="PJD1" t="s">
        <v>11266</v>
      </c>
      <c r="PJE1" t="s">
        <v>11267</v>
      </c>
      <c r="PJF1" t="s">
        <v>11268</v>
      </c>
      <c r="PJG1" t="s">
        <v>11269</v>
      </c>
      <c r="PJH1" t="s">
        <v>11270</v>
      </c>
      <c r="PJI1" t="s">
        <v>11271</v>
      </c>
      <c r="PJJ1" t="s">
        <v>11272</v>
      </c>
      <c r="PJK1" t="s">
        <v>11273</v>
      </c>
      <c r="PJL1" t="s">
        <v>11274</v>
      </c>
      <c r="PJM1" t="s">
        <v>11275</v>
      </c>
      <c r="PJN1" t="s">
        <v>11276</v>
      </c>
      <c r="PJO1" t="s">
        <v>11277</v>
      </c>
      <c r="PJP1" t="s">
        <v>11278</v>
      </c>
      <c r="PJQ1" t="s">
        <v>11279</v>
      </c>
      <c r="PJR1" t="s">
        <v>11280</v>
      </c>
      <c r="PJS1" t="s">
        <v>11281</v>
      </c>
      <c r="PJT1" t="s">
        <v>11282</v>
      </c>
      <c r="PJU1" t="s">
        <v>11283</v>
      </c>
      <c r="PJV1" t="s">
        <v>11284</v>
      </c>
      <c r="PJW1" t="s">
        <v>11285</v>
      </c>
      <c r="PJX1" t="s">
        <v>11286</v>
      </c>
      <c r="PJY1" t="s">
        <v>11287</v>
      </c>
      <c r="PJZ1" t="s">
        <v>11288</v>
      </c>
      <c r="PKA1" t="s">
        <v>11289</v>
      </c>
      <c r="PKB1" t="s">
        <v>11290</v>
      </c>
      <c r="PKC1" t="s">
        <v>11291</v>
      </c>
      <c r="PKD1" t="s">
        <v>11292</v>
      </c>
      <c r="PKE1" t="s">
        <v>11293</v>
      </c>
      <c r="PKF1" t="s">
        <v>11294</v>
      </c>
      <c r="PKG1" t="s">
        <v>11295</v>
      </c>
      <c r="PKH1" t="s">
        <v>11296</v>
      </c>
      <c r="PKI1" t="s">
        <v>11297</v>
      </c>
      <c r="PKJ1" t="s">
        <v>11298</v>
      </c>
      <c r="PKK1" t="s">
        <v>11299</v>
      </c>
      <c r="PKL1" t="s">
        <v>11300</v>
      </c>
      <c r="PKM1" t="s">
        <v>11301</v>
      </c>
      <c r="PKN1" t="s">
        <v>11302</v>
      </c>
      <c r="PKO1" t="s">
        <v>11303</v>
      </c>
      <c r="PKP1" t="s">
        <v>11304</v>
      </c>
      <c r="PKQ1" t="s">
        <v>11305</v>
      </c>
      <c r="PKR1" t="s">
        <v>11306</v>
      </c>
      <c r="PKS1" t="s">
        <v>11307</v>
      </c>
      <c r="PKT1" t="s">
        <v>11308</v>
      </c>
      <c r="PKU1" t="s">
        <v>11309</v>
      </c>
      <c r="PKV1" t="s">
        <v>11310</v>
      </c>
      <c r="PKW1" t="s">
        <v>11311</v>
      </c>
      <c r="PKX1" t="s">
        <v>11312</v>
      </c>
      <c r="PKY1" t="s">
        <v>11313</v>
      </c>
      <c r="PKZ1" t="s">
        <v>11314</v>
      </c>
      <c r="PLA1" t="s">
        <v>11315</v>
      </c>
      <c r="PLB1" t="s">
        <v>11316</v>
      </c>
      <c r="PLC1" t="s">
        <v>11317</v>
      </c>
      <c r="PLD1" t="s">
        <v>11318</v>
      </c>
      <c r="PLE1" t="s">
        <v>11319</v>
      </c>
      <c r="PLF1" t="s">
        <v>11320</v>
      </c>
      <c r="PLG1" t="s">
        <v>11321</v>
      </c>
      <c r="PLH1" t="s">
        <v>11322</v>
      </c>
      <c r="PLI1" t="s">
        <v>11323</v>
      </c>
      <c r="PLJ1" t="s">
        <v>11324</v>
      </c>
      <c r="PLK1" t="s">
        <v>11325</v>
      </c>
      <c r="PLL1" t="s">
        <v>11326</v>
      </c>
      <c r="PLM1" t="s">
        <v>11327</v>
      </c>
      <c r="PLN1" t="s">
        <v>11328</v>
      </c>
      <c r="PLO1" t="s">
        <v>11329</v>
      </c>
      <c r="PLP1" t="s">
        <v>11330</v>
      </c>
      <c r="PLQ1" t="s">
        <v>11331</v>
      </c>
      <c r="PLR1" t="s">
        <v>11332</v>
      </c>
      <c r="PLS1" t="s">
        <v>11333</v>
      </c>
      <c r="PLT1" t="s">
        <v>11334</v>
      </c>
      <c r="PLU1" t="s">
        <v>11335</v>
      </c>
      <c r="PLV1" t="s">
        <v>11336</v>
      </c>
      <c r="PLW1" t="s">
        <v>11337</v>
      </c>
      <c r="PLX1" t="s">
        <v>11338</v>
      </c>
      <c r="PLY1" t="s">
        <v>11339</v>
      </c>
      <c r="PLZ1" t="s">
        <v>11340</v>
      </c>
      <c r="PMA1" t="s">
        <v>11341</v>
      </c>
      <c r="PMB1" t="s">
        <v>11342</v>
      </c>
      <c r="PMC1" t="s">
        <v>11343</v>
      </c>
      <c r="PMD1" t="s">
        <v>11344</v>
      </c>
      <c r="PME1" t="s">
        <v>11345</v>
      </c>
      <c r="PMF1" t="s">
        <v>11346</v>
      </c>
      <c r="PMG1" t="s">
        <v>11347</v>
      </c>
      <c r="PMH1" t="s">
        <v>11348</v>
      </c>
      <c r="PMI1" t="s">
        <v>11349</v>
      </c>
      <c r="PMJ1" t="s">
        <v>11350</v>
      </c>
      <c r="PMK1" t="s">
        <v>11351</v>
      </c>
      <c r="PML1" t="s">
        <v>11352</v>
      </c>
      <c r="PMM1" t="s">
        <v>11353</v>
      </c>
      <c r="PMN1" t="s">
        <v>11354</v>
      </c>
      <c r="PMO1" t="s">
        <v>11355</v>
      </c>
      <c r="PMP1" t="s">
        <v>11356</v>
      </c>
      <c r="PMQ1" t="s">
        <v>11357</v>
      </c>
      <c r="PMR1" t="s">
        <v>11358</v>
      </c>
      <c r="PMS1" t="s">
        <v>11359</v>
      </c>
      <c r="PMT1" t="s">
        <v>11360</v>
      </c>
      <c r="PMU1" t="s">
        <v>11361</v>
      </c>
      <c r="PMV1" t="s">
        <v>11362</v>
      </c>
      <c r="PMW1" t="s">
        <v>11363</v>
      </c>
      <c r="PMX1" t="s">
        <v>11364</v>
      </c>
      <c r="PMY1" t="s">
        <v>11365</v>
      </c>
      <c r="PMZ1" t="s">
        <v>11366</v>
      </c>
      <c r="PNA1" t="s">
        <v>11367</v>
      </c>
      <c r="PNB1" t="s">
        <v>11368</v>
      </c>
      <c r="PNC1" t="s">
        <v>11369</v>
      </c>
      <c r="PND1" t="s">
        <v>11370</v>
      </c>
      <c r="PNE1" t="s">
        <v>11371</v>
      </c>
      <c r="PNF1" t="s">
        <v>11372</v>
      </c>
      <c r="PNG1" t="s">
        <v>11373</v>
      </c>
      <c r="PNH1" t="s">
        <v>11374</v>
      </c>
      <c r="PNI1" t="s">
        <v>11375</v>
      </c>
      <c r="PNJ1" t="s">
        <v>11376</v>
      </c>
      <c r="PNK1" t="s">
        <v>11377</v>
      </c>
      <c r="PNL1" t="s">
        <v>11378</v>
      </c>
      <c r="PNM1" t="s">
        <v>11379</v>
      </c>
      <c r="PNN1" t="s">
        <v>11380</v>
      </c>
      <c r="PNO1" t="s">
        <v>11381</v>
      </c>
      <c r="PNP1" t="s">
        <v>11382</v>
      </c>
      <c r="PNQ1" t="s">
        <v>11383</v>
      </c>
      <c r="PNR1" t="s">
        <v>11384</v>
      </c>
      <c r="PNS1" t="s">
        <v>11385</v>
      </c>
      <c r="PNT1" t="s">
        <v>11386</v>
      </c>
      <c r="PNU1" t="s">
        <v>11387</v>
      </c>
      <c r="PNV1" t="s">
        <v>11388</v>
      </c>
      <c r="PNW1" t="s">
        <v>11389</v>
      </c>
      <c r="PNX1" t="s">
        <v>11390</v>
      </c>
      <c r="PNY1" t="s">
        <v>11391</v>
      </c>
      <c r="PNZ1" t="s">
        <v>11392</v>
      </c>
      <c r="POA1" t="s">
        <v>11393</v>
      </c>
      <c r="POB1" t="s">
        <v>11394</v>
      </c>
      <c r="POC1" t="s">
        <v>11395</v>
      </c>
      <c r="POD1" t="s">
        <v>11396</v>
      </c>
      <c r="POE1" t="s">
        <v>11397</v>
      </c>
      <c r="POF1" t="s">
        <v>11398</v>
      </c>
      <c r="POG1" t="s">
        <v>11399</v>
      </c>
      <c r="POH1" t="s">
        <v>11400</v>
      </c>
      <c r="POI1" t="s">
        <v>11401</v>
      </c>
      <c r="POJ1" t="s">
        <v>11402</v>
      </c>
      <c r="POK1" t="s">
        <v>11403</v>
      </c>
      <c r="POL1" t="s">
        <v>11404</v>
      </c>
      <c r="POM1" t="s">
        <v>11405</v>
      </c>
      <c r="PON1" t="s">
        <v>11406</v>
      </c>
      <c r="POO1" t="s">
        <v>11407</v>
      </c>
      <c r="POP1" t="s">
        <v>11408</v>
      </c>
      <c r="POQ1" t="s">
        <v>11409</v>
      </c>
      <c r="POR1" t="s">
        <v>11410</v>
      </c>
      <c r="POS1" t="s">
        <v>11411</v>
      </c>
      <c r="POT1" t="s">
        <v>11412</v>
      </c>
      <c r="POU1" t="s">
        <v>11413</v>
      </c>
      <c r="POV1" t="s">
        <v>11414</v>
      </c>
      <c r="POW1" t="s">
        <v>11415</v>
      </c>
      <c r="POX1" t="s">
        <v>11416</v>
      </c>
      <c r="POY1" t="s">
        <v>11417</v>
      </c>
      <c r="POZ1" t="s">
        <v>11418</v>
      </c>
      <c r="PPA1" t="s">
        <v>11419</v>
      </c>
      <c r="PPB1" t="s">
        <v>11420</v>
      </c>
      <c r="PPC1" t="s">
        <v>11421</v>
      </c>
      <c r="PPD1" t="s">
        <v>11422</v>
      </c>
      <c r="PPE1" t="s">
        <v>11423</v>
      </c>
      <c r="PPF1" t="s">
        <v>11424</v>
      </c>
      <c r="PPG1" t="s">
        <v>11425</v>
      </c>
      <c r="PPH1" t="s">
        <v>11426</v>
      </c>
      <c r="PPI1" t="s">
        <v>11427</v>
      </c>
      <c r="PPJ1" t="s">
        <v>11428</v>
      </c>
      <c r="PPK1" t="s">
        <v>11429</v>
      </c>
      <c r="PPL1" t="s">
        <v>11430</v>
      </c>
      <c r="PPM1" t="s">
        <v>11431</v>
      </c>
      <c r="PPN1" t="s">
        <v>11432</v>
      </c>
      <c r="PPO1" t="s">
        <v>11433</v>
      </c>
      <c r="PPP1" t="s">
        <v>11434</v>
      </c>
      <c r="PPQ1" t="s">
        <v>11435</v>
      </c>
      <c r="PPR1" t="s">
        <v>11436</v>
      </c>
      <c r="PPS1" t="s">
        <v>11437</v>
      </c>
      <c r="PPT1" t="s">
        <v>11438</v>
      </c>
      <c r="PPU1" t="s">
        <v>11439</v>
      </c>
      <c r="PPV1" t="s">
        <v>11440</v>
      </c>
      <c r="PPW1" t="s">
        <v>11441</v>
      </c>
      <c r="PPX1" t="s">
        <v>11442</v>
      </c>
      <c r="PPY1" t="s">
        <v>11443</v>
      </c>
      <c r="PPZ1" t="s">
        <v>11444</v>
      </c>
      <c r="PQA1" t="s">
        <v>11445</v>
      </c>
      <c r="PQB1" t="s">
        <v>11446</v>
      </c>
      <c r="PQC1" t="s">
        <v>11447</v>
      </c>
      <c r="PQD1" t="s">
        <v>11448</v>
      </c>
      <c r="PQE1" t="s">
        <v>11449</v>
      </c>
      <c r="PQF1" t="s">
        <v>11450</v>
      </c>
      <c r="PQG1" t="s">
        <v>11451</v>
      </c>
      <c r="PQH1" t="s">
        <v>11452</v>
      </c>
      <c r="PQI1" t="s">
        <v>11453</v>
      </c>
      <c r="PQJ1" t="s">
        <v>11454</v>
      </c>
      <c r="PQK1" t="s">
        <v>11455</v>
      </c>
      <c r="PQL1" t="s">
        <v>11456</v>
      </c>
      <c r="PQM1" t="s">
        <v>11457</v>
      </c>
      <c r="PQN1" t="s">
        <v>11458</v>
      </c>
      <c r="PQO1" t="s">
        <v>11459</v>
      </c>
      <c r="PQP1" t="s">
        <v>11460</v>
      </c>
      <c r="PQQ1" t="s">
        <v>11461</v>
      </c>
      <c r="PQR1" t="s">
        <v>11462</v>
      </c>
      <c r="PQS1" t="s">
        <v>11463</v>
      </c>
      <c r="PQT1" t="s">
        <v>11464</v>
      </c>
      <c r="PQU1" t="s">
        <v>11465</v>
      </c>
      <c r="PQV1" t="s">
        <v>11466</v>
      </c>
      <c r="PQW1" t="s">
        <v>11467</v>
      </c>
      <c r="PQX1" t="s">
        <v>11468</v>
      </c>
      <c r="PQY1" t="s">
        <v>11469</v>
      </c>
      <c r="PQZ1" t="s">
        <v>11470</v>
      </c>
      <c r="PRA1" t="s">
        <v>11471</v>
      </c>
      <c r="PRB1" t="s">
        <v>11472</v>
      </c>
      <c r="PRC1" t="s">
        <v>11473</v>
      </c>
      <c r="PRD1" t="s">
        <v>11474</v>
      </c>
      <c r="PRE1" t="s">
        <v>11475</v>
      </c>
      <c r="PRF1" t="s">
        <v>11476</v>
      </c>
      <c r="PRG1" t="s">
        <v>11477</v>
      </c>
      <c r="PRH1" t="s">
        <v>11478</v>
      </c>
      <c r="PRI1" t="s">
        <v>11479</v>
      </c>
      <c r="PRJ1" t="s">
        <v>11480</v>
      </c>
      <c r="PRK1" t="s">
        <v>11481</v>
      </c>
      <c r="PRL1" t="s">
        <v>11482</v>
      </c>
      <c r="PRM1" t="s">
        <v>11483</v>
      </c>
      <c r="PRN1" t="s">
        <v>11484</v>
      </c>
      <c r="PRO1" t="s">
        <v>11485</v>
      </c>
      <c r="PRP1" t="s">
        <v>11486</v>
      </c>
      <c r="PRQ1" t="s">
        <v>11487</v>
      </c>
      <c r="PRR1" t="s">
        <v>11488</v>
      </c>
      <c r="PRS1" t="s">
        <v>11489</v>
      </c>
      <c r="PRT1" t="s">
        <v>11490</v>
      </c>
      <c r="PRU1" t="s">
        <v>11491</v>
      </c>
      <c r="PRV1" t="s">
        <v>11492</v>
      </c>
      <c r="PRW1" t="s">
        <v>11493</v>
      </c>
      <c r="PRX1" t="s">
        <v>11494</v>
      </c>
      <c r="PRY1" t="s">
        <v>11495</v>
      </c>
      <c r="PRZ1" t="s">
        <v>11496</v>
      </c>
      <c r="PSA1" t="s">
        <v>11497</v>
      </c>
      <c r="PSB1" t="s">
        <v>11498</v>
      </c>
      <c r="PSC1" t="s">
        <v>11499</v>
      </c>
      <c r="PSD1" t="s">
        <v>11500</v>
      </c>
      <c r="PSE1" t="s">
        <v>11501</v>
      </c>
      <c r="PSF1" t="s">
        <v>11502</v>
      </c>
      <c r="PSG1" t="s">
        <v>11503</v>
      </c>
      <c r="PSH1" t="s">
        <v>11504</v>
      </c>
      <c r="PSI1" t="s">
        <v>11505</v>
      </c>
      <c r="PSJ1" t="s">
        <v>11506</v>
      </c>
      <c r="PSK1" t="s">
        <v>11507</v>
      </c>
      <c r="PSL1" t="s">
        <v>11508</v>
      </c>
      <c r="PSM1" t="s">
        <v>11509</v>
      </c>
      <c r="PSN1" t="s">
        <v>11510</v>
      </c>
      <c r="PSO1" t="s">
        <v>11511</v>
      </c>
      <c r="PSP1" t="s">
        <v>11512</v>
      </c>
      <c r="PSQ1" t="s">
        <v>11513</v>
      </c>
      <c r="PSR1" t="s">
        <v>11514</v>
      </c>
      <c r="PSS1" t="s">
        <v>11515</v>
      </c>
      <c r="PST1" t="s">
        <v>11516</v>
      </c>
      <c r="PSU1" t="s">
        <v>11517</v>
      </c>
      <c r="PSV1" t="s">
        <v>11518</v>
      </c>
      <c r="PSW1" t="s">
        <v>11519</v>
      </c>
      <c r="PSX1" t="s">
        <v>11520</v>
      </c>
      <c r="PSY1" t="s">
        <v>11521</v>
      </c>
      <c r="PSZ1" t="s">
        <v>11522</v>
      </c>
      <c r="PTA1" t="s">
        <v>11523</v>
      </c>
      <c r="PTB1" t="s">
        <v>11524</v>
      </c>
      <c r="PTC1" t="s">
        <v>11525</v>
      </c>
      <c r="PTD1" t="s">
        <v>11526</v>
      </c>
      <c r="PTE1" t="s">
        <v>11527</v>
      </c>
      <c r="PTF1" t="s">
        <v>11528</v>
      </c>
      <c r="PTG1" t="s">
        <v>11529</v>
      </c>
      <c r="PTH1" t="s">
        <v>11530</v>
      </c>
      <c r="PTI1" t="s">
        <v>11531</v>
      </c>
      <c r="PTJ1" t="s">
        <v>11532</v>
      </c>
      <c r="PTK1" t="s">
        <v>11533</v>
      </c>
      <c r="PTL1" t="s">
        <v>11534</v>
      </c>
      <c r="PTM1" t="s">
        <v>11535</v>
      </c>
      <c r="PTN1" t="s">
        <v>11536</v>
      </c>
      <c r="PTO1" t="s">
        <v>11537</v>
      </c>
      <c r="PTP1" t="s">
        <v>11538</v>
      </c>
      <c r="PTQ1" t="s">
        <v>11539</v>
      </c>
      <c r="PTR1" t="s">
        <v>11540</v>
      </c>
      <c r="PTS1" t="s">
        <v>11541</v>
      </c>
      <c r="PTT1" t="s">
        <v>11542</v>
      </c>
      <c r="PTU1" t="s">
        <v>11543</v>
      </c>
      <c r="PTV1" t="s">
        <v>11544</v>
      </c>
      <c r="PTW1" t="s">
        <v>11545</v>
      </c>
      <c r="PTX1" t="s">
        <v>11546</v>
      </c>
      <c r="PTY1" t="s">
        <v>11547</v>
      </c>
      <c r="PTZ1" t="s">
        <v>11548</v>
      </c>
      <c r="PUA1" t="s">
        <v>11549</v>
      </c>
      <c r="PUB1" t="s">
        <v>11550</v>
      </c>
      <c r="PUC1" t="s">
        <v>11551</v>
      </c>
      <c r="PUD1" t="s">
        <v>11552</v>
      </c>
      <c r="PUE1" t="s">
        <v>11553</v>
      </c>
      <c r="PUF1" t="s">
        <v>11554</v>
      </c>
      <c r="PUG1" t="s">
        <v>11555</v>
      </c>
      <c r="PUH1" t="s">
        <v>11556</v>
      </c>
      <c r="PUI1" t="s">
        <v>11557</v>
      </c>
      <c r="PUJ1" t="s">
        <v>11558</v>
      </c>
      <c r="PUK1" t="s">
        <v>11559</v>
      </c>
      <c r="PUL1" t="s">
        <v>11560</v>
      </c>
      <c r="PUM1" t="s">
        <v>11561</v>
      </c>
      <c r="PUN1" t="s">
        <v>11562</v>
      </c>
      <c r="PUO1" t="s">
        <v>11563</v>
      </c>
      <c r="PUP1" t="s">
        <v>11564</v>
      </c>
      <c r="PUQ1" t="s">
        <v>11565</v>
      </c>
      <c r="PUR1" t="s">
        <v>11566</v>
      </c>
      <c r="PUS1" t="s">
        <v>11567</v>
      </c>
      <c r="PUT1" t="s">
        <v>11568</v>
      </c>
      <c r="PUU1" t="s">
        <v>11569</v>
      </c>
      <c r="PUV1" t="s">
        <v>11570</v>
      </c>
      <c r="PUW1" t="s">
        <v>11571</v>
      </c>
      <c r="PUX1" t="s">
        <v>11572</v>
      </c>
      <c r="PUY1" t="s">
        <v>11573</v>
      </c>
      <c r="PUZ1" t="s">
        <v>11574</v>
      </c>
      <c r="PVA1" t="s">
        <v>11575</v>
      </c>
      <c r="PVB1" t="s">
        <v>11576</v>
      </c>
      <c r="PVC1" t="s">
        <v>11577</v>
      </c>
      <c r="PVD1" t="s">
        <v>11578</v>
      </c>
      <c r="PVE1" t="s">
        <v>11579</v>
      </c>
      <c r="PVF1" t="s">
        <v>11580</v>
      </c>
      <c r="PVG1" t="s">
        <v>11581</v>
      </c>
      <c r="PVH1" t="s">
        <v>11582</v>
      </c>
      <c r="PVI1" t="s">
        <v>11583</v>
      </c>
      <c r="PVJ1" t="s">
        <v>11584</v>
      </c>
      <c r="PVK1" t="s">
        <v>11585</v>
      </c>
      <c r="PVL1" t="s">
        <v>11586</v>
      </c>
      <c r="PVM1" t="s">
        <v>11587</v>
      </c>
      <c r="PVN1" t="s">
        <v>11588</v>
      </c>
      <c r="PVO1" t="s">
        <v>11589</v>
      </c>
      <c r="PVP1" t="s">
        <v>11590</v>
      </c>
      <c r="PVQ1" t="s">
        <v>11591</v>
      </c>
      <c r="PVR1" t="s">
        <v>11592</v>
      </c>
      <c r="PVS1" t="s">
        <v>11593</v>
      </c>
      <c r="PVT1" t="s">
        <v>11594</v>
      </c>
      <c r="PVU1" t="s">
        <v>11595</v>
      </c>
      <c r="PVV1" t="s">
        <v>11596</v>
      </c>
      <c r="PVW1" t="s">
        <v>11597</v>
      </c>
      <c r="PVX1" t="s">
        <v>11598</v>
      </c>
      <c r="PVY1" t="s">
        <v>11599</v>
      </c>
      <c r="PVZ1" t="s">
        <v>11600</v>
      </c>
      <c r="PWA1" t="s">
        <v>11601</v>
      </c>
      <c r="PWB1" t="s">
        <v>11602</v>
      </c>
      <c r="PWC1" t="s">
        <v>11603</v>
      </c>
      <c r="PWD1" t="s">
        <v>11604</v>
      </c>
      <c r="PWE1" t="s">
        <v>11605</v>
      </c>
      <c r="PWF1" t="s">
        <v>11606</v>
      </c>
      <c r="PWG1" t="s">
        <v>11607</v>
      </c>
      <c r="PWH1" t="s">
        <v>11608</v>
      </c>
      <c r="PWI1" t="s">
        <v>11609</v>
      </c>
      <c r="PWJ1" t="s">
        <v>11610</v>
      </c>
      <c r="PWK1" t="s">
        <v>11611</v>
      </c>
      <c r="PWL1" t="s">
        <v>11612</v>
      </c>
      <c r="PWM1" t="s">
        <v>11613</v>
      </c>
      <c r="PWN1" t="s">
        <v>11614</v>
      </c>
      <c r="PWO1" t="s">
        <v>11615</v>
      </c>
      <c r="PWP1" t="s">
        <v>11616</v>
      </c>
      <c r="PWQ1" t="s">
        <v>11617</v>
      </c>
      <c r="PWR1" t="s">
        <v>11618</v>
      </c>
      <c r="PWS1" t="s">
        <v>11619</v>
      </c>
      <c r="PWT1" t="s">
        <v>11620</v>
      </c>
      <c r="PWU1" t="s">
        <v>11621</v>
      </c>
      <c r="PWV1" t="s">
        <v>11622</v>
      </c>
      <c r="PWW1" t="s">
        <v>11623</v>
      </c>
      <c r="PWX1" t="s">
        <v>11624</v>
      </c>
      <c r="PWY1" t="s">
        <v>11625</v>
      </c>
      <c r="PWZ1" t="s">
        <v>11626</v>
      </c>
      <c r="PXA1" t="s">
        <v>11627</v>
      </c>
      <c r="PXB1" t="s">
        <v>11628</v>
      </c>
      <c r="PXC1" t="s">
        <v>11629</v>
      </c>
      <c r="PXD1" t="s">
        <v>11630</v>
      </c>
      <c r="PXE1" t="s">
        <v>11631</v>
      </c>
      <c r="PXF1" t="s">
        <v>11632</v>
      </c>
      <c r="PXG1" t="s">
        <v>11633</v>
      </c>
      <c r="PXH1" t="s">
        <v>11634</v>
      </c>
      <c r="PXI1" t="s">
        <v>11635</v>
      </c>
      <c r="PXJ1" t="s">
        <v>11636</v>
      </c>
      <c r="PXK1" t="s">
        <v>11637</v>
      </c>
      <c r="PXL1" t="s">
        <v>11638</v>
      </c>
      <c r="PXM1" t="s">
        <v>11639</v>
      </c>
      <c r="PXN1" t="s">
        <v>11640</v>
      </c>
      <c r="PXO1" t="s">
        <v>11641</v>
      </c>
      <c r="PXP1" t="s">
        <v>11642</v>
      </c>
      <c r="PXQ1" t="s">
        <v>11643</v>
      </c>
      <c r="PXR1" t="s">
        <v>11644</v>
      </c>
      <c r="PXS1" t="s">
        <v>11645</v>
      </c>
      <c r="PXT1" t="s">
        <v>11646</v>
      </c>
      <c r="PXU1" t="s">
        <v>11647</v>
      </c>
      <c r="PXV1" t="s">
        <v>11648</v>
      </c>
      <c r="PXW1" t="s">
        <v>11649</v>
      </c>
      <c r="PXX1" t="s">
        <v>11650</v>
      </c>
      <c r="PXY1" t="s">
        <v>11651</v>
      </c>
      <c r="PXZ1" t="s">
        <v>11652</v>
      </c>
      <c r="PYA1" t="s">
        <v>11653</v>
      </c>
      <c r="PYB1" t="s">
        <v>11654</v>
      </c>
      <c r="PYC1" t="s">
        <v>11655</v>
      </c>
      <c r="PYD1" t="s">
        <v>11656</v>
      </c>
      <c r="PYE1" t="s">
        <v>11657</v>
      </c>
      <c r="PYF1" t="s">
        <v>11658</v>
      </c>
      <c r="PYG1" t="s">
        <v>11659</v>
      </c>
      <c r="PYH1" t="s">
        <v>11660</v>
      </c>
      <c r="PYI1" t="s">
        <v>11661</v>
      </c>
      <c r="PYJ1" t="s">
        <v>11662</v>
      </c>
      <c r="PYK1" t="s">
        <v>11663</v>
      </c>
      <c r="PYL1" t="s">
        <v>11664</v>
      </c>
      <c r="PYM1" t="s">
        <v>11665</v>
      </c>
      <c r="PYN1" t="s">
        <v>11666</v>
      </c>
      <c r="PYO1" t="s">
        <v>11667</v>
      </c>
      <c r="PYP1" t="s">
        <v>11668</v>
      </c>
      <c r="PYQ1" t="s">
        <v>11669</v>
      </c>
      <c r="PYR1" t="s">
        <v>11670</v>
      </c>
      <c r="PYS1" t="s">
        <v>11671</v>
      </c>
      <c r="PYT1" t="s">
        <v>11672</v>
      </c>
      <c r="PYU1" t="s">
        <v>11673</v>
      </c>
      <c r="PYV1" t="s">
        <v>11674</v>
      </c>
      <c r="PYW1" t="s">
        <v>11675</v>
      </c>
      <c r="PYX1" t="s">
        <v>11676</v>
      </c>
      <c r="PYY1" t="s">
        <v>11677</v>
      </c>
      <c r="PYZ1" t="s">
        <v>11678</v>
      </c>
      <c r="PZA1" t="s">
        <v>11679</v>
      </c>
      <c r="PZB1" t="s">
        <v>11680</v>
      </c>
      <c r="PZC1" t="s">
        <v>11681</v>
      </c>
      <c r="PZD1" t="s">
        <v>11682</v>
      </c>
      <c r="PZE1" t="s">
        <v>11683</v>
      </c>
      <c r="PZF1" t="s">
        <v>11684</v>
      </c>
      <c r="PZG1" t="s">
        <v>11685</v>
      </c>
      <c r="PZH1" t="s">
        <v>11686</v>
      </c>
      <c r="PZI1" t="s">
        <v>11687</v>
      </c>
      <c r="PZJ1" t="s">
        <v>11688</v>
      </c>
      <c r="PZK1" t="s">
        <v>11689</v>
      </c>
      <c r="PZL1" t="s">
        <v>11690</v>
      </c>
      <c r="PZM1" t="s">
        <v>11691</v>
      </c>
      <c r="PZN1" t="s">
        <v>11692</v>
      </c>
      <c r="PZO1" t="s">
        <v>11693</v>
      </c>
      <c r="PZP1" t="s">
        <v>11694</v>
      </c>
      <c r="PZQ1" t="s">
        <v>11695</v>
      </c>
      <c r="PZR1" t="s">
        <v>11696</v>
      </c>
      <c r="PZS1" t="s">
        <v>11697</v>
      </c>
      <c r="PZT1" t="s">
        <v>11698</v>
      </c>
      <c r="PZU1" t="s">
        <v>11699</v>
      </c>
      <c r="PZV1" t="s">
        <v>11700</v>
      </c>
      <c r="PZW1" t="s">
        <v>11701</v>
      </c>
      <c r="PZX1" t="s">
        <v>11702</v>
      </c>
      <c r="PZY1" t="s">
        <v>11703</v>
      </c>
      <c r="PZZ1" t="s">
        <v>11704</v>
      </c>
      <c r="QAA1" t="s">
        <v>11705</v>
      </c>
      <c r="QAB1" t="s">
        <v>11706</v>
      </c>
      <c r="QAC1" t="s">
        <v>11707</v>
      </c>
      <c r="QAD1" t="s">
        <v>11708</v>
      </c>
      <c r="QAE1" t="s">
        <v>11709</v>
      </c>
      <c r="QAF1" t="s">
        <v>11710</v>
      </c>
      <c r="QAG1" t="s">
        <v>11711</v>
      </c>
      <c r="QAH1" t="s">
        <v>11712</v>
      </c>
      <c r="QAI1" t="s">
        <v>11713</v>
      </c>
      <c r="QAJ1" t="s">
        <v>11714</v>
      </c>
      <c r="QAK1" t="s">
        <v>11715</v>
      </c>
      <c r="QAL1" t="s">
        <v>11716</v>
      </c>
      <c r="QAM1" t="s">
        <v>11717</v>
      </c>
      <c r="QAN1" t="s">
        <v>11718</v>
      </c>
      <c r="QAO1" t="s">
        <v>11719</v>
      </c>
      <c r="QAP1" t="s">
        <v>11720</v>
      </c>
      <c r="QAQ1" t="s">
        <v>11721</v>
      </c>
      <c r="QAR1" t="s">
        <v>11722</v>
      </c>
      <c r="QAS1" t="s">
        <v>11723</v>
      </c>
      <c r="QAT1" t="s">
        <v>11724</v>
      </c>
      <c r="QAU1" t="s">
        <v>11725</v>
      </c>
      <c r="QAV1" t="s">
        <v>11726</v>
      </c>
      <c r="QAW1" t="s">
        <v>11727</v>
      </c>
      <c r="QAX1" t="s">
        <v>11728</v>
      </c>
      <c r="QAY1" t="s">
        <v>11729</v>
      </c>
      <c r="QAZ1" t="s">
        <v>11730</v>
      </c>
      <c r="QBA1" t="s">
        <v>11731</v>
      </c>
      <c r="QBB1" t="s">
        <v>11732</v>
      </c>
      <c r="QBC1" t="s">
        <v>11733</v>
      </c>
      <c r="QBD1" t="s">
        <v>11734</v>
      </c>
      <c r="QBE1" t="s">
        <v>11735</v>
      </c>
      <c r="QBF1" t="s">
        <v>11736</v>
      </c>
      <c r="QBG1" t="s">
        <v>11737</v>
      </c>
      <c r="QBH1" t="s">
        <v>11738</v>
      </c>
      <c r="QBI1" t="s">
        <v>11739</v>
      </c>
      <c r="QBJ1" t="s">
        <v>11740</v>
      </c>
      <c r="QBK1" t="s">
        <v>11741</v>
      </c>
      <c r="QBL1" t="s">
        <v>11742</v>
      </c>
      <c r="QBM1" t="s">
        <v>11743</v>
      </c>
      <c r="QBN1" t="s">
        <v>11744</v>
      </c>
      <c r="QBO1" t="s">
        <v>11745</v>
      </c>
      <c r="QBP1" t="s">
        <v>11746</v>
      </c>
      <c r="QBQ1" t="s">
        <v>11747</v>
      </c>
      <c r="QBR1" t="s">
        <v>11748</v>
      </c>
      <c r="QBS1" t="s">
        <v>11749</v>
      </c>
      <c r="QBT1" t="s">
        <v>11750</v>
      </c>
      <c r="QBU1" t="s">
        <v>11751</v>
      </c>
      <c r="QBV1" t="s">
        <v>11752</v>
      </c>
      <c r="QBW1" t="s">
        <v>11753</v>
      </c>
      <c r="QBX1" t="s">
        <v>11754</v>
      </c>
      <c r="QBY1" t="s">
        <v>11755</v>
      </c>
      <c r="QBZ1" t="s">
        <v>11756</v>
      </c>
      <c r="QCA1" t="s">
        <v>11757</v>
      </c>
      <c r="QCB1" t="s">
        <v>11758</v>
      </c>
      <c r="QCC1" t="s">
        <v>11759</v>
      </c>
      <c r="QCD1" t="s">
        <v>11760</v>
      </c>
      <c r="QCE1" t="s">
        <v>11761</v>
      </c>
      <c r="QCF1" t="s">
        <v>11762</v>
      </c>
      <c r="QCG1" t="s">
        <v>11763</v>
      </c>
      <c r="QCH1" t="s">
        <v>11764</v>
      </c>
      <c r="QCI1" t="s">
        <v>11765</v>
      </c>
      <c r="QCJ1" t="s">
        <v>11766</v>
      </c>
      <c r="QCK1" t="s">
        <v>11767</v>
      </c>
      <c r="QCL1" t="s">
        <v>11768</v>
      </c>
      <c r="QCM1" t="s">
        <v>11769</v>
      </c>
      <c r="QCN1" t="s">
        <v>11770</v>
      </c>
      <c r="QCO1" t="s">
        <v>11771</v>
      </c>
      <c r="QCP1" t="s">
        <v>11772</v>
      </c>
      <c r="QCQ1" t="s">
        <v>11773</v>
      </c>
      <c r="QCR1" t="s">
        <v>11774</v>
      </c>
      <c r="QCS1" t="s">
        <v>11775</v>
      </c>
      <c r="QCT1" t="s">
        <v>11776</v>
      </c>
      <c r="QCU1" t="s">
        <v>11777</v>
      </c>
      <c r="QCV1" t="s">
        <v>11778</v>
      </c>
      <c r="QCW1" t="s">
        <v>11779</v>
      </c>
      <c r="QCX1" t="s">
        <v>11780</v>
      </c>
      <c r="QCY1" t="s">
        <v>11781</v>
      </c>
      <c r="QCZ1" t="s">
        <v>11782</v>
      </c>
      <c r="QDA1" t="s">
        <v>11783</v>
      </c>
      <c r="QDB1" t="s">
        <v>11784</v>
      </c>
      <c r="QDC1" t="s">
        <v>11785</v>
      </c>
      <c r="QDD1" t="s">
        <v>11786</v>
      </c>
      <c r="QDE1" t="s">
        <v>11787</v>
      </c>
      <c r="QDF1" t="s">
        <v>11788</v>
      </c>
      <c r="QDG1" t="s">
        <v>11789</v>
      </c>
      <c r="QDH1" t="s">
        <v>11790</v>
      </c>
      <c r="QDI1" t="s">
        <v>11791</v>
      </c>
      <c r="QDJ1" t="s">
        <v>11792</v>
      </c>
      <c r="QDK1" t="s">
        <v>11793</v>
      </c>
      <c r="QDL1" t="s">
        <v>11794</v>
      </c>
      <c r="QDM1" t="s">
        <v>11795</v>
      </c>
      <c r="QDN1" t="s">
        <v>11796</v>
      </c>
      <c r="QDO1" t="s">
        <v>11797</v>
      </c>
      <c r="QDP1" t="s">
        <v>11798</v>
      </c>
      <c r="QDQ1" t="s">
        <v>11799</v>
      </c>
      <c r="QDR1" t="s">
        <v>11800</v>
      </c>
      <c r="QDS1" t="s">
        <v>11801</v>
      </c>
      <c r="QDT1" t="s">
        <v>11802</v>
      </c>
      <c r="QDU1" t="s">
        <v>11803</v>
      </c>
      <c r="QDV1" t="s">
        <v>11804</v>
      </c>
      <c r="QDW1" t="s">
        <v>11805</v>
      </c>
      <c r="QDX1" t="s">
        <v>11806</v>
      </c>
      <c r="QDY1" t="s">
        <v>11807</v>
      </c>
      <c r="QDZ1" t="s">
        <v>11808</v>
      </c>
      <c r="QEA1" t="s">
        <v>11809</v>
      </c>
      <c r="QEB1" t="s">
        <v>11810</v>
      </c>
      <c r="QEC1" t="s">
        <v>11811</v>
      </c>
      <c r="QED1" t="s">
        <v>11812</v>
      </c>
      <c r="QEE1" t="s">
        <v>11813</v>
      </c>
      <c r="QEF1" t="s">
        <v>11814</v>
      </c>
      <c r="QEG1" t="s">
        <v>11815</v>
      </c>
      <c r="QEH1" t="s">
        <v>11816</v>
      </c>
      <c r="QEI1" t="s">
        <v>11817</v>
      </c>
      <c r="QEJ1" t="s">
        <v>11818</v>
      </c>
      <c r="QEK1" t="s">
        <v>11819</v>
      </c>
      <c r="QEL1" t="s">
        <v>11820</v>
      </c>
      <c r="QEM1" t="s">
        <v>11821</v>
      </c>
      <c r="QEN1" t="s">
        <v>11822</v>
      </c>
      <c r="QEO1" t="s">
        <v>11823</v>
      </c>
      <c r="QEP1" t="s">
        <v>11824</v>
      </c>
      <c r="QEQ1" t="s">
        <v>11825</v>
      </c>
      <c r="QER1" t="s">
        <v>11826</v>
      </c>
      <c r="QES1" t="s">
        <v>11827</v>
      </c>
      <c r="QET1" t="s">
        <v>11828</v>
      </c>
      <c r="QEU1" t="s">
        <v>11829</v>
      </c>
      <c r="QEV1" t="s">
        <v>11830</v>
      </c>
      <c r="QEW1" t="s">
        <v>11831</v>
      </c>
      <c r="QEX1" t="s">
        <v>11832</v>
      </c>
      <c r="QEY1" t="s">
        <v>11833</v>
      </c>
      <c r="QEZ1" t="s">
        <v>11834</v>
      </c>
      <c r="QFA1" t="s">
        <v>11835</v>
      </c>
      <c r="QFB1" t="s">
        <v>11836</v>
      </c>
      <c r="QFC1" t="s">
        <v>11837</v>
      </c>
      <c r="QFD1" t="s">
        <v>11838</v>
      </c>
      <c r="QFE1" t="s">
        <v>11839</v>
      </c>
      <c r="QFF1" t="s">
        <v>11840</v>
      </c>
      <c r="QFG1" t="s">
        <v>11841</v>
      </c>
      <c r="QFH1" t="s">
        <v>11842</v>
      </c>
      <c r="QFI1" t="s">
        <v>11843</v>
      </c>
      <c r="QFJ1" t="s">
        <v>11844</v>
      </c>
      <c r="QFK1" t="s">
        <v>11845</v>
      </c>
      <c r="QFL1" t="s">
        <v>11846</v>
      </c>
      <c r="QFM1" t="s">
        <v>11847</v>
      </c>
      <c r="QFN1" t="s">
        <v>11848</v>
      </c>
      <c r="QFO1" t="s">
        <v>11849</v>
      </c>
      <c r="QFP1" t="s">
        <v>11850</v>
      </c>
      <c r="QFQ1" t="s">
        <v>11851</v>
      </c>
      <c r="QFR1" t="s">
        <v>11852</v>
      </c>
      <c r="QFS1" t="s">
        <v>11853</v>
      </c>
      <c r="QFT1" t="s">
        <v>11854</v>
      </c>
      <c r="QFU1" t="s">
        <v>11855</v>
      </c>
      <c r="QFV1" t="s">
        <v>11856</v>
      </c>
      <c r="QFW1" t="s">
        <v>11857</v>
      </c>
      <c r="QFX1" t="s">
        <v>11858</v>
      </c>
      <c r="QFY1" t="s">
        <v>11859</v>
      </c>
      <c r="QFZ1" t="s">
        <v>11860</v>
      </c>
      <c r="QGA1" t="s">
        <v>11861</v>
      </c>
      <c r="QGB1" t="s">
        <v>11862</v>
      </c>
      <c r="QGC1" t="s">
        <v>11863</v>
      </c>
      <c r="QGD1" t="s">
        <v>11864</v>
      </c>
      <c r="QGE1" t="s">
        <v>11865</v>
      </c>
      <c r="QGF1" t="s">
        <v>11866</v>
      </c>
      <c r="QGG1" t="s">
        <v>11867</v>
      </c>
      <c r="QGH1" t="s">
        <v>11868</v>
      </c>
      <c r="QGI1" t="s">
        <v>11869</v>
      </c>
      <c r="QGJ1" t="s">
        <v>11870</v>
      </c>
      <c r="QGK1" t="s">
        <v>11871</v>
      </c>
      <c r="QGL1" t="s">
        <v>11872</v>
      </c>
      <c r="QGM1" t="s">
        <v>11873</v>
      </c>
      <c r="QGN1" t="s">
        <v>11874</v>
      </c>
      <c r="QGO1" t="s">
        <v>11875</v>
      </c>
      <c r="QGP1" t="s">
        <v>11876</v>
      </c>
      <c r="QGQ1" t="s">
        <v>11877</v>
      </c>
      <c r="QGR1" t="s">
        <v>11878</v>
      </c>
      <c r="QGS1" t="s">
        <v>11879</v>
      </c>
      <c r="QGT1" t="s">
        <v>11880</v>
      </c>
      <c r="QGU1" t="s">
        <v>11881</v>
      </c>
      <c r="QGV1" t="s">
        <v>11882</v>
      </c>
      <c r="QGW1" t="s">
        <v>11883</v>
      </c>
      <c r="QGX1" t="s">
        <v>11884</v>
      </c>
      <c r="QGY1" t="s">
        <v>11885</v>
      </c>
      <c r="QGZ1" t="s">
        <v>11886</v>
      </c>
      <c r="QHA1" t="s">
        <v>11887</v>
      </c>
      <c r="QHB1" t="s">
        <v>11888</v>
      </c>
      <c r="QHC1" t="s">
        <v>11889</v>
      </c>
      <c r="QHD1" t="s">
        <v>11890</v>
      </c>
      <c r="QHE1" t="s">
        <v>11891</v>
      </c>
      <c r="QHF1" t="s">
        <v>11892</v>
      </c>
      <c r="QHG1" t="s">
        <v>11893</v>
      </c>
      <c r="QHH1" t="s">
        <v>11894</v>
      </c>
      <c r="QHI1" t="s">
        <v>11895</v>
      </c>
      <c r="QHJ1" t="s">
        <v>11896</v>
      </c>
      <c r="QHK1" t="s">
        <v>11897</v>
      </c>
      <c r="QHL1" t="s">
        <v>11898</v>
      </c>
      <c r="QHM1" t="s">
        <v>11899</v>
      </c>
      <c r="QHN1" t="s">
        <v>11900</v>
      </c>
      <c r="QHO1" t="s">
        <v>11901</v>
      </c>
      <c r="QHP1" t="s">
        <v>11902</v>
      </c>
      <c r="QHQ1" t="s">
        <v>11903</v>
      </c>
      <c r="QHR1" t="s">
        <v>11904</v>
      </c>
      <c r="QHS1" t="s">
        <v>11905</v>
      </c>
      <c r="QHT1" t="s">
        <v>11906</v>
      </c>
      <c r="QHU1" t="s">
        <v>11907</v>
      </c>
      <c r="QHV1" t="s">
        <v>11908</v>
      </c>
      <c r="QHW1" t="s">
        <v>11909</v>
      </c>
      <c r="QHX1" t="s">
        <v>11910</v>
      </c>
      <c r="QHY1" t="s">
        <v>11911</v>
      </c>
      <c r="QHZ1" t="s">
        <v>11912</v>
      </c>
      <c r="QIA1" t="s">
        <v>11913</v>
      </c>
      <c r="QIB1" t="s">
        <v>11914</v>
      </c>
      <c r="QIC1" t="s">
        <v>11915</v>
      </c>
      <c r="QID1" t="s">
        <v>11916</v>
      </c>
      <c r="QIE1" t="s">
        <v>11917</v>
      </c>
      <c r="QIF1" t="s">
        <v>11918</v>
      </c>
      <c r="QIG1" t="s">
        <v>11919</v>
      </c>
      <c r="QIH1" t="s">
        <v>11920</v>
      </c>
      <c r="QII1" t="s">
        <v>11921</v>
      </c>
      <c r="QIJ1" t="s">
        <v>11922</v>
      </c>
      <c r="QIK1" t="s">
        <v>11923</v>
      </c>
      <c r="QIL1" t="s">
        <v>11924</v>
      </c>
      <c r="QIM1" t="s">
        <v>11925</v>
      </c>
      <c r="QIN1" t="s">
        <v>11926</v>
      </c>
      <c r="QIO1" t="s">
        <v>11927</v>
      </c>
      <c r="QIP1" t="s">
        <v>11928</v>
      </c>
      <c r="QIQ1" t="s">
        <v>11929</v>
      </c>
      <c r="QIR1" t="s">
        <v>11930</v>
      </c>
      <c r="QIS1" t="s">
        <v>11931</v>
      </c>
      <c r="QIT1" t="s">
        <v>11932</v>
      </c>
      <c r="QIU1" t="s">
        <v>11933</v>
      </c>
      <c r="QIV1" t="s">
        <v>11934</v>
      </c>
      <c r="QIW1" t="s">
        <v>11935</v>
      </c>
      <c r="QIX1" t="s">
        <v>11936</v>
      </c>
      <c r="QIY1" t="s">
        <v>11937</v>
      </c>
      <c r="QIZ1" t="s">
        <v>11938</v>
      </c>
      <c r="QJA1" t="s">
        <v>11939</v>
      </c>
      <c r="QJB1" t="s">
        <v>11940</v>
      </c>
      <c r="QJC1" t="s">
        <v>11941</v>
      </c>
      <c r="QJD1" t="s">
        <v>11942</v>
      </c>
      <c r="QJE1" t="s">
        <v>11943</v>
      </c>
      <c r="QJF1" t="s">
        <v>11944</v>
      </c>
      <c r="QJG1" t="s">
        <v>11945</v>
      </c>
      <c r="QJH1" t="s">
        <v>11946</v>
      </c>
      <c r="QJI1" t="s">
        <v>11947</v>
      </c>
      <c r="QJJ1" t="s">
        <v>11948</v>
      </c>
      <c r="QJK1" t="s">
        <v>11949</v>
      </c>
      <c r="QJL1" t="s">
        <v>11950</v>
      </c>
      <c r="QJM1" t="s">
        <v>11951</v>
      </c>
      <c r="QJN1" t="s">
        <v>11952</v>
      </c>
      <c r="QJO1" t="s">
        <v>11953</v>
      </c>
      <c r="QJP1" t="s">
        <v>11954</v>
      </c>
      <c r="QJQ1" t="s">
        <v>11955</v>
      </c>
      <c r="QJR1" t="s">
        <v>11956</v>
      </c>
      <c r="QJS1" t="s">
        <v>11957</v>
      </c>
      <c r="QJT1" t="s">
        <v>11958</v>
      </c>
      <c r="QJU1" t="s">
        <v>11959</v>
      </c>
      <c r="QJV1" t="s">
        <v>11960</v>
      </c>
      <c r="QJW1" t="s">
        <v>11961</v>
      </c>
      <c r="QJX1" t="s">
        <v>11962</v>
      </c>
      <c r="QJY1" t="s">
        <v>11963</v>
      </c>
      <c r="QJZ1" t="s">
        <v>11964</v>
      </c>
      <c r="QKA1" t="s">
        <v>11965</v>
      </c>
      <c r="QKB1" t="s">
        <v>11966</v>
      </c>
      <c r="QKC1" t="s">
        <v>11967</v>
      </c>
      <c r="QKD1" t="s">
        <v>11968</v>
      </c>
      <c r="QKE1" t="s">
        <v>11969</v>
      </c>
      <c r="QKF1" t="s">
        <v>11970</v>
      </c>
      <c r="QKG1" t="s">
        <v>11971</v>
      </c>
      <c r="QKH1" t="s">
        <v>11972</v>
      </c>
      <c r="QKI1" t="s">
        <v>11973</v>
      </c>
      <c r="QKJ1" t="s">
        <v>11974</v>
      </c>
      <c r="QKK1" t="s">
        <v>11975</v>
      </c>
      <c r="QKL1" t="s">
        <v>11976</v>
      </c>
      <c r="QKM1" t="s">
        <v>11977</v>
      </c>
      <c r="QKN1" t="s">
        <v>11978</v>
      </c>
      <c r="QKO1" t="s">
        <v>11979</v>
      </c>
      <c r="QKP1" t="s">
        <v>11980</v>
      </c>
      <c r="QKQ1" t="s">
        <v>11981</v>
      </c>
      <c r="QKR1" t="s">
        <v>11982</v>
      </c>
      <c r="QKS1" t="s">
        <v>11983</v>
      </c>
      <c r="QKT1" t="s">
        <v>11984</v>
      </c>
      <c r="QKU1" t="s">
        <v>11985</v>
      </c>
      <c r="QKV1" t="s">
        <v>11986</v>
      </c>
      <c r="QKW1" t="s">
        <v>11987</v>
      </c>
      <c r="QKX1" t="s">
        <v>11988</v>
      </c>
      <c r="QKY1" t="s">
        <v>11989</v>
      </c>
      <c r="QKZ1" t="s">
        <v>11990</v>
      </c>
      <c r="QLA1" t="s">
        <v>11991</v>
      </c>
      <c r="QLB1" t="s">
        <v>11992</v>
      </c>
      <c r="QLC1" t="s">
        <v>11993</v>
      </c>
      <c r="QLD1" t="s">
        <v>11994</v>
      </c>
      <c r="QLE1" t="s">
        <v>11995</v>
      </c>
      <c r="QLF1" t="s">
        <v>11996</v>
      </c>
      <c r="QLG1" t="s">
        <v>11997</v>
      </c>
      <c r="QLH1" t="s">
        <v>11998</v>
      </c>
      <c r="QLI1" t="s">
        <v>11999</v>
      </c>
      <c r="QLJ1" t="s">
        <v>12000</v>
      </c>
      <c r="QLK1" t="s">
        <v>12001</v>
      </c>
      <c r="QLL1" t="s">
        <v>12002</v>
      </c>
      <c r="QLM1" t="s">
        <v>12003</v>
      </c>
      <c r="QLN1" t="s">
        <v>12004</v>
      </c>
      <c r="QLO1" t="s">
        <v>12005</v>
      </c>
      <c r="QLP1" t="s">
        <v>12006</v>
      </c>
      <c r="QLQ1" t="s">
        <v>12007</v>
      </c>
      <c r="QLR1" t="s">
        <v>12008</v>
      </c>
      <c r="QLS1" t="s">
        <v>12009</v>
      </c>
      <c r="QLT1" t="s">
        <v>12010</v>
      </c>
      <c r="QLU1" t="s">
        <v>12011</v>
      </c>
      <c r="QLV1" t="s">
        <v>12012</v>
      </c>
      <c r="QLW1" t="s">
        <v>12013</v>
      </c>
      <c r="QLX1" t="s">
        <v>12014</v>
      </c>
      <c r="QLY1" t="s">
        <v>12015</v>
      </c>
      <c r="QLZ1" t="s">
        <v>12016</v>
      </c>
      <c r="QMA1" t="s">
        <v>12017</v>
      </c>
      <c r="QMB1" t="s">
        <v>12018</v>
      </c>
      <c r="QMC1" t="s">
        <v>12019</v>
      </c>
      <c r="QMD1" t="s">
        <v>12020</v>
      </c>
      <c r="QME1" t="s">
        <v>12021</v>
      </c>
      <c r="QMF1" t="s">
        <v>12022</v>
      </c>
      <c r="QMG1" t="s">
        <v>12023</v>
      </c>
      <c r="QMH1" t="s">
        <v>12024</v>
      </c>
      <c r="QMI1" t="s">
        <v>12025</v>
      </c>
      <c r="QMJ1" t="s">
        <v>12026</v>
      </c>
      <c r="QMK1" t="s">
        <v>12027</v>
      </c>
      <c r="QML1" t="s">
        <v>12028</v>
      </c>
      <c r="QMM1" t="s">
        <v>12029</v>
      </c>
      <c r="QMN1" t="s">
        <v>12030</v>
      </c>
      <c r="QMO1" t="s">
        <v>12031</v>
      </c>
      <c r="QMP1" t="s">
        <v>12032</v>
      </c>
      <c r="QMQ1" t="s">
        <v>12033</v>
      </c>
      <c r="QMR1" t="s">
        <v>12034</v>
      </c>
      <c r="QMS1" t="s">
        <v>12035</v>
      </c>
      <c r="QMT1" t="s">
        <v>12036</v>
      </c>
      <c r="QMU1" t="s">
        <v>12037</v>
      </c>
      <c r="QMV1" t="s">
        <v>12038</v>
      </c>
      <c r="QMW1" t="s">
        <v>12039</v>
      </c>
      <c r="QMX1" t="s">
        <v>12040</v>
      </c>
      <c r="QMY1" t="s">
        <v>12041</v>
      </c>
      <c r="QMZ1" t="s">
        <v>12042</v>
      </c>
      <c r="QNA1" t="s">
        <v>12043</v>
      </c>
      <c r="QNB1" t="s">
        <v>12044</v>
      </c>
      <c r="QNC1" t="s">
        <v>12045</v>
      </c>
      <c r="QND1" t="s">
        <v>12046</v>
      </c>
      <c r="QNE1" t="s">
        <v>12047</v>
      </c>
      <c r="QNF1" t="s">
        <v>12048</v>
      </c>
      <c r="QNG1" t="s">
        <v>12049</v>
      </c>
      <c r="QNH1" t="s">
        <v>12050</v>
      </c>
      <c r="QNI1" t="s">
        <v>12051</v>
      </c>
      <c r="QNJ1" t="s">
        <v>12052</v>
      </c>
      <c r="QNK1" t="s">
        <v>12053</v>
      </c>
      <c r="QNL1" t="s">
        <v>12054</v>
      </c>
      <c r="QNM1" t="s">
        <v>12055</v>
      </c>
      <c r="QNN1" t="s">
        <v>12056</v>
      </c>
      <c r="QNO1" t="s">
        <v>12057</v>
      </c>
      <c r="QNP1" t="s">
        <v>12058</v>
      </c>
      <c r="QNQ1" t="s">
        <v>12059</v>
      </c>
      <c r="QNR1" t="s">
        <v>12060</v>
      </c>
      <c r="QNS1" t="s">
        <v>12061</v>
      </c>
      <c r="QNT1" t="s">
        <v>12062</v>
      </c>
      <c r="QNU1" t="s">
        <v>12063</v>
      </c>
      <c r="QNV1" t="s">
        <v>12064</v>
      </c>
      <c r="QNW1" t="s">
        <v>12065</v>
      </c>
      <c r="QNX1" t="s">
        <v>12066</v>
      </c>
      <c r="QNY1" t="s">
        <v>12067</v>
      </c>
      <c r="QNZ1" t="s">
        <v>12068</v>
      </c>
      <c r="QOA1" t="s">
        <v>12069</v>
      </c>
      <c r="QOB1" t="s">
        <v>12070</v>
      </c>
      <c r="QOC1" t="s">
        <v>12071</v>
      </c>
      <c r="QOD1" t="s">
        <v>12072</v>
      </c>
      <c r="QOE1" t="s">
        <v>12073</v>
      </c>
      <c r="QOF1" t="s">
        <v>12074</v>
      </c>
      <c r="QOG1" t="s">
        <v>12075</v>
      </c>
      <c r="QOH1" t="s">
        <v>12076</v>
      </c>
      <c r="QOI1" t="s">
        <v>12077</v>
      </c>
      <c r="QOJ1" t="s">
        <v>12078</v>
      </c>
      <c r="QOK1" t="s">
        <v>12079</v>
      </c>
      <c r="QOL1" t="s">
        <v>12080</v>
      </c>
      <c r="QOM1" t="s">
        <v>12081</v>
      </c>
      <c r="QON1" t="s">
        <v>12082</v>
      </c>
      <c r="QOO1" t="s">
        <v>12083</v>
      </c>
      <c r="QOP1" t="s">
        <v>12084</v>
      </c>
      <c r="QOQ1" t="s">
        <v>12085</v>
      </c>
      <c r="QOR1" t="s">
        <v>12086</v>
      </c>
      <c r="QOS1" t="s">
        <v>12087</v>
      </c>
      <c r="QOT1" t="s">
        <v>12088</v>
      </c>
      <c r="QOU1" t="s">
        <v>12089</v>
      </c>
      <c r="QOV1" t="s">
        <v>12090</v>
      </c>
      <c r="QOW1" t="s">
        <v>12091</v>
      </c>
      <c r="QOX1" t="s">
        <v>12092</v>
      </c>
      <c r="QOY1" t="s">
        <v>12093</v>
      </c>
      <c r="QOZ1" t="s">
        <v>12094</v>
      </c>
      <c r="QPA1" t="s">
        <v>12095</v>
      </c>
      <c r="QPB1" t="s">
        <v>12096</v>
      </c>
      <c r="QPC1" t="s">
        <v>12097</v>
      </c>
      <c r="QPD1" t="s">
        <v>12098</v>
      </c>
      <c r="QPE1" t="s">
        <v>12099</v>
      </c>
      <c r="QPF1" t="s">
        <v>12100</v>
      </c>
      <c r="QPG1" t="s">
        <v>12101</v>
      </c>
      <c r="QPH1" t="s">
        <v>12102</v>
      </c>
      <c r="QPI1" t="s">
        <v>12103</v>
      </c>
      <c r="QPJ1" t="s">
        <v>12104</v>
      </c>
      <c r="QPK1" t="s">
        <v>12105</v>
      </c>
      <c r="QPL1" t="s">
        <v>12106</v>
      </c>
      <c r="QPM1" t="s">
        <v>12107</v>
      </c>
      <c r="QPN1" t="s">
        <v>12108</v>
      </c>
      <c r="QPO1" t="s">
        <v>12109</v>
      </c>
      <c r="QPP1" t="s">
        <v>12110</v>
      </c>
      <c r="QPQ1" t="s">
        <v>12111</v>
      </c>
      <c r="QPR1" t="s">
        <v>12112</v>
      </c>
      <c r="QPS1" t="s">
        <v>12113</v>
      </c>
      <c r="QPT1" t="s">
        <v>12114</v>
      </c>
      <c r="QPU1" t="s">
        <v>12115</v>
      </c>
      <c r="QPV1" t="s">
        <v>12116</v>
      </c>
      <c r="QPW1" t="s">
        <v>12117</v>
      </c>
      <c r="QPX1" t="s">
        <v>12118</v>
      </c>
      <c r="QPY1" t="s">
        <v>12119</v>
      </c>
      <c r="QPZ1" t="s">
        <v>12120</v>
      </c>
      <c r="QQA1" t="s">
        <v>12121</v>
      </c>
      <c r="QQB1" t="s">
        <v>12122</v>
      </c>
      <c r="QQC1" t="s">
        <v>12123</v>
      </c>
      <c r="QQD1" t="s">
        <v>12124</v>
      </c>
      <c r="QQE1" t="s">
        <v>12125</v>
      </c>
      <c r="QQF1" t="s">
        <v>12126</v>
      </c>
      <c r="QQG1" t="s">
        <v>12127</v>
      </c>
      <c r="QQH1" t="s">
        <v>12128</v>
      </c>
      <c r="QQI1" t="s">
        <v>12129</v>
      </c>
      <c r="QQJ1" t="s">
        <v>12130</v>
      </c>
      <c r="QQK1" t="s">
        <v>12131</v>
      </c>
      <c r="QQL1" t="s">
        <v>12132</v>
      </c>
      <c r="QQM1" t="s">
        <v>12133</v>
      </c>
      <c r="QQN1" t="s">
        <v>12134</v>
      </c>
      <c r="QQO1" t="s">
        <v>12135</v>
      </c>
      <c r="QQP1" t="s">
        <v>12136</v>
      </c>
      <c r="QQQ1" t="s">
        <v>12137</v>
      </c>
      <c r="QQR1" t="s">
        <v>12138</v>
      </c>
      <c r="QQS1" t="s">
        <v>12139</v>
      </c>
      <c r="QQT1" t="s">
        <v>12140</v>
      </c>
      <c r="QQU1" t="s">
        <v>12141</v>
      </c>
      <c r="QQV1" t="s">
        <v>12142</v>
      </c>
      <c r="QQW1" t="s">
        <v>12143</v>
      </c>
      <c r="QQX1" t="s">
        <v>12144</v>
      </c>
      <c r="QQY1" t="s">
        <v>12145</v>
      </c>
      <c r="QQZ1" t="s">
        <v>12146</v>
      </c>
      <c r="QRA1" t="s">
        <v>12147</v>
      </c>
      <c r="QRB1" t="s">
        <v>12148</v>
      </c>
      <c r="QRC1" t="s">
        <v>12149</v>
      </c>
      <c r="QRD1" t="s">
        <v>12150</v>
      </c>
      <c r="QRE1" t="s">
        <v>12151</v>
      </c>
      <c r="QRF1" t="s">
        <v>12152</v>
      </c>
      <c r="QRG1" t="s">
        <v>12153</v>
      </c>
      <c r="QRH1" t="s">
        <v>12154</v>
      </c>
      <c r="QRI1" t="s">
        <v>12155</v>
      </c>
      <c r="QRJ1" t="s">
        <v>12156</v>
      </c>
      <c r="QRK1" t="s">
        <v>12157</v>
      </c>
      <c r="QRL1" t="s">
        <v>12158</v>
      </c>
      <c r="QRM1" t="s">
        <v>12159</v>
      </c>
      <c r="QRN1" t="s">
        <v>12160</v>
      </c>
      <c r="QRO1" t="s">
        <v>12161</v>
      </c>
      <c r="QRP1" t="s">
        <v>12162</v>
      </c>
      <c r="QRQ1" t="s">
        <v>12163</v>
      </c>
      <c r="QRR1" t="s">
        <v>12164</v>
      </c>
      <c r="QRS1" t="s">
        <v>12165</v>
      </c>
      <c r="QRT1" t="s">
        <v>12166</v>
      </c>
      <c r="QRU1" t="s">
        <v>12167</v>
      </c>
      <c r="QRV1" t="s">
        <v>12168</v>
      </c>
      <c r="QRW1" t="s">
        <v>12169</v>
      </c>
      <c r="QRX1" t="s">
        <v>12170</v>
      </c>
      <c r="QRY1" t="s">
        <v>12171</v>
      </c>
      <c r="QRZ1" t="s">
        <v>12172</v>
      </c>
      <c r="QSA1" t="s">
        <v>12173</v>
      </c>
      <c r="QSB1" t="s">
        <v>12174</v>
      </c>
      <c r="QSC1" t="s">
        <v>12175</v>
      </c>
      <c r="QSD1" t="s">
        <v>12176</v>
      </c>
      <c r="QSE1" t="s">
        <v>12177</v>
      </c>
      <c r="QSF1" t="s">
        <v>12178</v>
      </c>
      <c r="QSG1" t="s">
        <v>12179</v>
      </c>
      <c r="QSH1" t="s">
        <v>12180</v>
      </c>
      <c r="QSI1" t="s">
        <v>12181</v>
      </c>
      <c r="QSJ1" t="s">
        <v>12182</v>
      </c>
      <c r="QSK1" t="s">
        <v>12183</v>
      </c>
      <c r="QSL1" t="s">
        <v>12184</v>
      </c>
      <c r="QSM1" t="s">
        <v>12185</v>
      </c>
      <c r="QSN1" t="s">
        <v>12186</v>
      </c>
      <c r="QSO1" t="s">
        <v>12187</v>
      </c>
      <c r="QSP1" t="s">
        <v>12188</v>
      </c>
      <c r="QSQ1" t="s">
        <v>12189</v>
      </c>
      <c r="QSR1" t="s">
        <v>12190</v>
      </c>
      <c r="QSS1" t="s">
        <v>12191</v>
      </c>
      <c r="QST1" t="s">
        <v>12192</v>
      </c>
      <c r="QSU1" t="s">
        <v>12193</v>
      </c>
      <c r="QSV1" t="s">
        <v>12194</v>
      </c>
      <c r="QSW1" t="s">
        <v>12195</v>
      </c>
      <c r="QSX1" t="s">
        <v>12196</v>
      </c>
      <c r="QSY1" t="s">
        <v>12197</v>
      </c>
      <c r="QSZ1" t="s">
        <v>12198</v>
      </c>
      <c r="QTA1" t="s">
        <v>12199</v>
      </c>
      <c r="QTB1" t="s">
        <v>12200</v>
      </c>
      <c r="QTC1" t="s">
        <v>12201</v>
      </c>
      <c r="QTD1" t="s">
        <v>12202</v>
      </c>
      <c r="QTE1" t="s">
        <v>12203</v>
      </c>
      <c r="QTF1" t="s">
        <v>12204</v>
      </c>
      <c r="QTG1" t="s">
        <v>12205</v>
      </c>
      <c r="QTH1" t="s">
        <v>12206</v>
      </c>
      <c r="QTI1" t="s">
        <v>12207</v>
      </c>
      <c r="QTJ1" t="s">
        <v>12208</v>
      </c>
      <c r="QTK1" t="s">
        <v>12209</v>
      </c>
      <c r="QTL1" t="s">
        <v>12210</v>
      </c>
      <c r="QTM1" t="s">
        <v>12211</v>
      </c>
      <c r="QTN1" t="s">
        <v>12212</v>
      </c>
      <c r="QTO1" t="s">
        <v>12213</v>
      </c>
      <c r="QTP1" t="s">
        <v>12214</v>
      </c>
      <c r="QTQ1" t="s">
        <v>12215</v>
      </c>
      <c r="QTR1" t="s">
        <v>12216</v>
      </c>
      <c r="QTS1" t="s">
        <v>12217</v>
      </c>
      <c r="QTT1" t="s">
        <v>12218</v>
      </c>
      <c r="QTU1" t="s">
        <v>12219</v>
      </c>
      <c r="QTV1" t="s">
        <v>12220</v>
      </c>
      <c r="QTW1" t="s">
        <v>12221</v>
      </c>
      <c r="QTX1" t="s">
        <v>12222</v>
      </c>
      <c r="QTY1" t="s">
        <v>12223</v>
      </c>
      <c r="QTZ1" t="s">
        <v>12224</v>
      </c>
      <c r="QUA1" t="s">
        <v>12225</v>
      </c>
      <c r="QUB1" t="s">
        <v>12226</v>
      </c>
      <c r="QUC1" t="s">
        <v>12227</v>
      </c>
      <c r="QUD1" t="s">
        <v>12228</v>
      </c>
      <c r="QUE1" t="s">
        <v>12229</v>
      </c>
      <c r="QUF1" t="s">
        <v>12230</v>
      </c>
      <c r="QUG1" t="s">
        <v>12231</v>
      </c>
      <c r="QUH1" t="s">
        <v>12232</v>
      </c>
      <c r="QUI1" t="s">
        <v>12233</v>
      </c>
      <c r="QUJ1" t="s">
        <v>12234</v>
      </c>
      <c r="QUK1" t="s">
        <v>12235</v>
      </c>
      <c r="QUL1" t="s">
        <v>12236</v>
      </c>
      <c r="QUM1" t="s">
        <v>12237</v>
      </c>
      <c r="QUN1" t="s">
        <v>12238</v>
      </c>
      <c r="QUO1" t="s">
        <v>12239</v>
      </c>
      <c r="QUP1" t="s">
        <v>12240</v>
      </c>
      <c r="QUQ1" t="s">
        <v>12241</v>
      </c>
      <c r="QUR1" t="s">
        <v>12242</v>
      </c>
      <c r="QUS1" t="s">
        <v>12243</v>
      </c>
      <c r="QUT1" t="s">
        <v>12244</v>
      </c>
      <c r="QUU1" t="s">
        <v>12245</v>
      </c>
      <c r="QUV1" t="s">
        <v>12246</v>
      </c>
      <c r="QUW1" t="s">
        <v>12247</v>
      </c>
      <c r="QUX1" t="s">
        <v>12248</v>
      </c>
      <c r="QUY1" t="s">
        <v>12249</v>
      </c>
      <c r="QUZ1" t="s">
        <v>12250</v>
      </c>
      <c r="QVA1" t="s">
        <v>12251</v>
      </c>
      <c r="QVB1" t="s">
        <v>12252</v>
      </c>
      <c r="QVC1" t="s">
        <v>12253</v>
      </c>
      <c r="QVD1" t="s">
        <v>12254</v>
      </c>
      <c r="QVE1" t="s">
        <v>12255</v>
      </c>
      <c r="QVF1" t="s">
        <v>12256</v>
      </c>
      <c r="QVG1" t="s">
        <v>12257</v>
      </c>
      <c r="QVH1" t="s">
        <v>12258</v>
      </c>
      <c r="QVI1" t="s">
        <v>12259</v>
      </c>
      <c r="QVJ1" t="s">
        <v>12260</v>
      </c>
      <c r="QVK1" t="s">
        <v>12261</v>
      </c>
      <c r="QVL1" t="s">
        <v>12262</v>
      </c>
      <c r="QVM1" t="s">
        <v>12263</v>
      </c>
      <c r="QVN1" t="s">
        <v>12264</v>
      </c>
      <c r="QVO1" t="s">
        <v>12265</v>
      </c>
      <c r="QVP1" t="s">
        <v>12266</v>
      </c>
      <c r="QVQ1" t="s">
        <v>12267</v>
      </c>
      <c r="QVR1" t="s">
        <v>12268</v>
      </c>
      <c r="QVS1" t="s">
        <v>12269</v>
      </c>
      <c r="QVT1" t="s">
        <v>12270</v>
      </c>
      <c r="QVU1" t="s">
        <v>12271</v>
      </c>
      <c r="QVV1" t="s">
        <v>12272</v>
      </c>
      <c r="QVW1" t="s">
        <v>12273</v>
      </c>
      <c r="QVX1" t="s">
        <v>12274</v>
      </c>
      <c r="QVY1" t="s">
        <v>12275</v>
      </c>
      <c r="QVZ1" t="s">
        <v>12276</v>
      </c>
      <c r="QWA1" t="s">
        <v>12277</v>
      </c>
      <c r="QWB1" t="s">
        <v>12278</v>
      </c>
      <c r="QWC1" t="s">
        <v>12279</v>
      </c>
      <c r="QWD1" t="s">
        <v>12280</v>
      </c>
      <c r="QWE1" t="s">
        <v>12281</v>
      </c>
      <c r="QWF1" t="s">
        <v>12282</v>
      </c>
      <c r="QWG1" t="s">
        <v>12283</v>
      </c>
      <c r="QWH1" t="s">
        <v>12284</v>
      </c>
      <c r="QWI1" t="s">
        <v>12285</v>
      </c>
      <c r="QWJ1" t="s">
        <v>12286</v>
      </c>
      <c r="QWK1" t="s">
        <v>12287</v>
      </c>
      <c r="QWL1" t="s">
        <v>12288</v>
      </c>
      <c r="QWM1" t="s">
        <v>12289</v>
      </c>
      <c r="QWN1" t="s">
        <v>12290</v>
      </c>
      <c r="QWO1" t="s">
        <v>12291</v>
      </c>
      <c r="QWP1" t="s">
        <v>12292</v>
      </c>
      <c r="QWQ1" t="s">
        <v>12293</v>
      </c>
      <c r="QWR1" t="s">
        <v>12294</v>
      </c>
      <c r="QWS1" t="s">
        <v>12295</v>
      </c>
      <c r="QWT1" t="s">
        <v>12296</v>
      </c>
      <c r="QWU1" t="s">
        <v>12297</v>
      </c>
      <c r="QWV1" t="s">
        <v>12298</v>
      </c>
      <c r="QWW1" t="s">
        <v>12299</v>
      </c>
      <c r="QWX1" t="s">
        <v>12300</v>
      </c>
      <c r="QWY1" t="s">
        <v>12301</v>
      </c>
      <c r="QWZ1" t="s">
        <v>12302</v>
      </c>
      <c r="QXA1" t="s">
        <v>12303</v>
      </c>
      <c r="QXB1" t="s">
        <v>12304</v>
      </c>
      <c r="QXC1" t="s">
        <v>12305</v>
      </c>
      <c r="QXD1" t="s">
        <v>12306</v>
      </c>
      <c r="QXE1" t="s">
        <v>12307</v>
      </c>
      <c r="QXF1" t="s">
        <v>12308</v>
      </c>
      <c r="QXG1" t="s">
        <v>12309</v>
      </c>
      <c r="QXH1" t="s">
        <v>12310</v>
      </c>
      <c r="QXI1" t="s">
        <v>12311</v>
      </c>
      <c r="QXJ1" t="s">
        <v>12312</v>
      </c>
      <c r="QXK1" t="s">
        <v>12313</v>
      </c>
      <c r="QXL1" t="s">
        <v>12314</v>
      </c>
      <c r="QXM1" t="s">
        <v>12315</v>
      </c>
      <c r="QXN1" t="s">
        <v>12316</v>
      </c>
      <c r="QXO1" t="s">
        <v>12317</v>
      </c>
      <c r="QXP1" t="s">
        <v>12318</v>
      </c>
      <c r="QXQ1" t="s">
        <v>12319</v>
      </c>
      <c r="QXR1" t="s">
        <v>12320</v>
      </c>
      <c r="QXS1" t="s">
        <v>12321</v>
      </c>
      <c r="QXT1" t="s">
        <v>12322</v>
      </c>
      <c r="QXU1" t="s">
        <v>12323</v>
      </c>
      <c r="QXV1" t="s">
        <v>12324</v>
      </c>
      <c r="QXW1" t="s">
        <v>12325</v>
      </c>
      <c r="QXX1" t="s">
        <v>12326</v>
      </c>
      <c r="QXY1" t="s">
        <v>12327</v>
      </c>
      <c r="QXZ1" t="s">
        <v>12328</v>
      </c>
      <c r="QYA1" t="s">
        <v>12329</v>
      </c>
      <c r="QYB1" t="s">
        <v>12330</v>
      </c>
      <c r="QYC1" t="s">
        <v>12331</v>
      </c>
      <c r="QYD1" t="s">
        <v>12332</v>
      </c>
      <c r="QYE1" t="s">
        <v>12333</v>
      </c>
      <c r="QYF1" t="s">
        <v>12334</v>
      </c>
      <c r="QYG1" t="s">
        <v>12335</v>
      </c>
      <c r="QYH1" t="s">
        <v>12336</v>
      </c>
      <c r="QYI1" t="s">
        <v>12337</v>
      </c>
      <c r="QYJ1" t="s">
        <v>12338</v>
      </c>
      <c r="QYK1" t="s">
        <v>12339</v>
      </c>
      <c r="QYL1" t="s">
        <v>12340</v>
      </c>
      <c r="QYM1" t="s">
        <v>12341</v>
      </c>
      <c r="QYN1" t="s">
        <v>12342</v>
      </c>
      <c r="QYO1" t="s">
        <v>12343</v>
      </c>
      <c r="QYP1" t="s">
        <v>12344</v>
      </c>
      <c r="QYQ1" t="s">
        <v>12345</v>
      </c>
      <c r="QYR1" t="s">
        <v>12346</v>
      </c>
      <c r="QYS1" t="s">
        <v>12347</v>
      </c>
      <c r="QYT1" t="s">
        <v>12348</v>
      </c>
      <c r="QYU1" t="s">
        <v>12349</v>
      </c>
      <c r="QYV1" t="s">
        <v>12350</v>
      </c>
      <c r="QYW1" t="s">
        <v>12351</v>
      </c>
      <c r="QYX1" t="s">
        <v>12352</v>
      </c>
      <c r="QYY1" t="s">
        <v>12353</v>
      </c>
      <c r="QYZ1" t="s">
        <v>12354</v>
      </c>
      <c r="QZA1" t="s">
        <v>12355</v>
      </c>
      <c r="QZB1" t="s">
        <v>12356</v>
      </c>
      <c r="QZC1" t="s">
        <v>12357</v>
      </c>
      <c r="QZD1" t="s">
        <v>12358</v>
      </c>
      <c r="QZE1" t="s">
        <v>12359</v>
      </c>
      <c r="QZF1" t="s">
        <v>12360</v>
      </c>
      <c r="QZG1" t="s">
        <v>12361</v>
      </c>
      <c r="QZH1" t="s">
        <v>12362</v>
      </c>
      <c r="QZI1" t="s">
        <v>12363</v>
      </c>
      <c r="QZJ1" t="s">
        <v>12364</v>
      </c>
      <c r="QZK1" t="s">
        <v>12365</v>
      </c>
      <c r="QZL1" t="s">
        <v>12366</v>
      </c>
      <c r="QZM1" t="s">
        <v>12367</v>
      </c>
      <c r="QZN1" t="s">
        <v>12368</v>
      </c>
      <c r="QZO1" t="s">
        <v>12369</v>
      </c>
      <c r="QZP1" t="s">
        <v>12370</v>
      </c>
      <c r="QZQ1" t="s">
        <v>12371</v>
      </c>
      <c r="QZR1" t="s">
        <v>12372</v>
      </c>
      <c r="QZS1" t="s">
        <v>12373</v>
      </c>
      <c r="QZT1" t="s">
        <v>12374</v>
      </c>
      <c r="QZU1" t="s">
        <v>12375</v>
      </c>
      <c r="QZV1" t="s">
        <v>12376</v>
      </c>
      <c r="QZW1" t="s">
        <v>12377</v>
      </c>
      <c r="QZX1" t="s">
        <v>12378</v>
      </c>
      <c r="QZY1" t="s">
        <v>12379</v>
      </c>
      <c r="QZZ1" t="s">
        <v>12380</v>
      </c>
      <c r="RAA1" t="s">
        <v>12381</v>
      </c>
      <c r="RAB1" t="s">
        <v>12382</v>
      </c>
      <c r="RAC1" t="s">
        <v>12383</v>
      </c>
      <c r="RAD1" t="s">
        <v>12384</v>
      </c>
      <c r="RAE1" t="s">
        <v>12385</v>
      </c>
      <c r="RAF1" t="s">
        <v>12386</v>
      </c>
      <c r="RAG1" t="s">
        <v>12387</v>
      </c>
      <c r="RAH1" t="s">
        <v>12388</v>
      </c>
      <c r="RAI1" t="s">
        <v>12389</v>
      </c>
      <c r="RAJ1" t="s">
        <v>12390</v>
      </c>
      <c r="RAK1" t="s">
        <v>12391</v>
      </c>
      <c r="RAL1" t="s">
        <v>12392</v>
      </c>
      <c r="RAM1" t="s">
        <v>12393</v>
      </c>
      <c r="RAN1" t="s">
        <v>12394</v>
      </c>
      <c r="RAO1" t="s">
        <v>12395</v>
      </c>
      <c r="RAP1" t="s">
        <v>12396</v>
      </c>
      <c r="RAQ1" t="s">
        <v>12397</v>
      </c>
      <c r="RAR1" t="s">
        <v>12398</v>
      </c>
      <c r="RAS1" t="s">
        <v>12399</v>
      </c>
      <c r="RAT1" t="s">
        <v>12400</v>
      </c>
      <c r="RAU1" t="s">
        <v>12401</v>
      </c>
      <c r="RAV1" t="s">
        <v>12402</v>
      </c>
      <c r="RAW1" t="s">
        <v>12403</v>
      </c>
      <c r="RAX1" t="s">
        <v>12404</v>
      </c>
      <c r="RAY1" t="s">
        <v>12405</v>
      </c>
      <c r="RAZ1" t="s">
        <v>12406</v>
      </c>
      <c r="RBA1" t="s">
        <v>12407</v>
      </c>
      <c r="RBB1" t="s">
        <v>12408</v>
      </c>
      <c r="RBC1" t="s">
        <v>12409</v>
      </c>
      <c r="RBD1" t="s">
        <v>12410</v>
      </c>
      <c r="RBE1" t="s">
        <v>12411</v>
      </c>
      <c r="RBF1" t="s">
        <v>12412</v>
      </c>
      <c r="RBG1" t="s">
        <v>12413</v>
      </c>
      <c r="RBH1" t="s">
        <v>12414</v>
      </c>
      <c r="RBI1" t="s">
        <v>12415</v>
      </c>
      <c r="RBJ1" t="s">
        <v>12416</v>
      </c>
      <c r="RBK1" t="s">
        <v>12417</v>
      </c>
      <c r="RBL1" t="s">
        <v>12418</v>
      </c>
      <c r="RBM1" t="s">
        <v>12419</v>
      </c>
      <c r="RBN1" t="s">
        <v>12420</v>
      </c>
      <c r="RBO1" t="s">
        <v>12421</v>
      </c>
      <c r="RBP1" t="s">
        <v>12422</v>
      </c>
      <c r="RBQ1" t="s">
        <v>12423</v>
      </c>
      <c r="RBR1" t="s">
        <v>12424</v>
      </c>
      <c r="RBS1" t="s">
        <v>12425</v>
      </c>
      <c r="RBT1" t="s">
        <v>12426</v>
      </c>
      <c r="RBU1" t="s">
        <v>12427</v>
      </c>
      <c r="RBV1" t="s">
        <v>12428</v>
      </c>
      <c r="RBW1" t="s">
        <v>12429</v>
      </c>
      <c r="RBX1" t="s">
        <v>12430</v>
      </c>
      <c r="RBY1" t="s">
        <v>12431</v>
      </c>
      <c r="RBZ1" t="s">
        <v>12432</v>
      </c>
      <c r="RCA1" t="s">
        <v>12433</v>
      </c>
      <c r="RCB1" t="s">
        <v>12434</v>
      </c>
      <c r="RCC1" t="s">
        <v>12435</v>
      </c>
      <c r="RCD1" t="s">
        <v>12436</v>
      </c>
      <c r="RCE1" t="s">
        <v>12437</v>
      </c>
      <c r="RCF1" t="s">
        <v>12438</v>
      </c>
      <c r="RCG1" t="s">
        <v>12439</v>
      </c>
      <c r="RCH1" t="s">
        <v>12440</v>
      </c>
      <c r="RCI1" t="s">
        <v>12441</v>
      </c>
      <c r="RCJ1" t="s">
        <v>12442</v>
      </c>
      <c r="RCK1" t="s">
        <v>12443</v>
      </c>
      <c r="RCL1" t="s">
        <v>12444</v>
      </c>
      <c r="RCM1" t="s">
        <v>12445</v>
      </c>
      <c r="RCN1" t="s">
        <v>12446</v>
      </c>
      <c r="RCO1" t="s">
        <v>12447</v>
      </c>
      <c r="RCP1" t="s">
        <v>12448</v>
      </c>
      <c r="RCQ1" t="s">
        <v>12449</v>
      </c>
      <c r="RCR1" t="s">
        <v>12450</v>
      </c>
      <c r="RCS1" t="s">
        <v>12451</v>
      </c>
      <c r="RCT1" t="s">
        <v>12452</v>
      </c>
      <c r="RCU1" t="s">
        <v>12453</v>
      </c>
      <c r="RCV1" t="s">
        <v>12454</v>
      </c>
      <c r="RCW1" t="s">
        <v>12455</v>
      </c>
      <c r="RCX1" t="s">
        <v>12456</v>
      </c>
      <c r="RCY1" t="s">
        <v>12457</v>
      </c>
      <c r="RCZ1" t="s">
        <v>12458</v>
      </c>
      <c r="RDA1" t="s">
        <v>12459</v>
      </c>
      <c r="RDB1" t="s">
        <v>12460</v>
      </c>
      <c r="RDC1" t="s">
        <v>12461</v>
      </c>
      <c r="RDD1" t="s">
        <v>12462</v>
      </c>
      <c r="RDE1" t="s">
        <v>12463</v>
      </c>
      <c r="RDF1" t="s">
        <v>12464</v>
      </c>
      <c r="RDG1" t="s">
        <v>12465</v>
      </c>
      <c r="RDH1" t="s">
        <v>12466</v>
      </c>
      <c r="RDI1" t="s">
        <v>12467</v>
      </c>
      <c r="RDJ1" t="s">
        <v>12468</v>
      </c>
      <c r="RDK1" t="s">
        <v>12469</v>
      </c>
      <c r="RDL1" t="s">
        <v>12470</v>
      </c>
      <c r="RDM1" t="s">
        <v>12471</v>
      </c>
      <c r="RDN1" t="s">
        <v>12472</v>
      </c>
      <c r="RDO1" t="s">
        <v>12473</v>
      </c>
      <c r="RDP1" t="s">
        <v>12474</v>
      </c>
      <c r="RDQ1" t="s">
        <v>12475</v>
      </c>
      <c r="RDR1" t="s">
        <v>12476</v>
      </c>
      <c r="RDS1" t="s">
        <v>12477</v>
      </c>
      <c r="RDT1" t="s">
        <v>12478</v>
      </c>
      <c r="RDU1" t="s">
        <v>12479</v>
      </c>
      <c r="RDV1" t="s">
        <v>12480</v>
      </c>
      <c r="RDW1" t="s">
        <v>12481</v>
      </c>
      <c r="RDX1" t="s">
        <v>12482</v>
      </c>
      <c r="RDY1" t="s">
        <v>12483</v>
      </c>
      <c r="RDZ1" t="s">
        <v>12484</v>
      </c>
      <c r="REA1" t="s">
        <v>12485</v>
      </c>
      <c r="REB1" t="s">
        <v>12486</v>
      </c>
      <c r="REC1" t="s">
        <v>12487</v>
      </c>
      <c r="RED1" t="s">
        <v>12488</v>
      </c>
      <c r="REE1" t="s">
        <v>12489</v>
      </c>
      <c r="REF1" t="s">
        <v>12490</v>
      </c>
      <c r="REG1" t="s">
        <v>12491</v>
      </c>
      <c r="REH1" t="s">
        <v>12492</v>
      </c>
      <c r="REI1" t="s">
        <v>12493</v>
      </c>
      <c r="REJ1" t="s">
        <v>12494</v>
      </c>
      <c r="REK1" t="s">
        <v>12495</v>
      </c>
      <c r="REL1" t="s">
        <v>12496</v>
      </c>
      <c r="REM1" t="s">
        <v>12497</v>
      </c>
      <c r="REN1" t="s">
        <v>12498</v>
      </c>
      <c r="REO1" t="s">
        <v>12499</v>
      </c>
      <c r="REP1" t="s">
        <v>12500</v>
      </c>
      <c r="REQ1" t="s">
        <v>12501</v>
      </c>
      <c r="RER1" t="s">
        <v>12502</v>
      </c>
      <c r="RES1" t="s">
        <v>12503</v>
      </c>
      <c r="RET1" t="s">
        <v>12504</v>
      </c>
      <c r="REU1" t="s">
        <v>12505</v>
      </c>
      <c r="REV1" t="s">
        <v>12506</v>
      </c>
      <c r="REW1" t="s">
        <v>12507</v>
      </c>
      <c r="REX1" t="s">
        <v>12508</v>
      </c>
      <c r="REY1" t="s">
        <v>12509</v>
      </c>
      <c r="REZ1" t="s">
        <v>12510</v>
      </c>
      <c r="RFA1" t="s">
        <v>12511</v>
      </c>
      <c r="RFB1" t="s">
        <v>12512</v>
      </c>
      <c r="RFC1" t="s">
        <v>12513</v>
      </c>
      <c r="RFD1" t="s">
        <v>12514</v>
      </c>
      <c r="RFE1" t="s">
        <v>12515</v>
      </c>
      <c r="RFF1" t="s">
        <v>12516</v>
      </c>
      <c r="RFG1" t="s">
        <v>12517</v>
      </c>
      <c r="RFH1" t="s">
        <v>12518</v>
      </c>
      <c r="RFI1" t="s">
        <v>12519</v>
      </c>
      <c r="RFJ1" t="s">
        <v>12520</v>
      </c>
      <c r="RFK1" t="s">
        <v>12521</v>
      </c>
      <c r="RFL1" t="s">
        <v>12522</v>
      </c>
      <c r="RFM1" t="s">
        <v>12523</v>
      </c>
      <c r="RFN1" t="s">
        <v>12524</v>
      </c>
      <c r="RFO1" t="s">
        <v>12525</v>
      </c>
      <c r="RFP1" t="s">
        <v>12526</v>
      </c>
      <c r="RFQ1" t="s">
        <v>12527</v>
      </c>
      <c r="RFR1" t="s">
        <v>12528</v>
      </c>
      <c r="RFS1" t="s">
        <v>12529</v>
      </c>
      <c r="RFT1" t="s">
        <v>12530</v>
      </c>
      <c r="RFU1" t="s">
        <v>12531</v>
      </c>
      <c r="RFV1" t="s">
        <v>12532</v>
      </c>
      <c r="RFW1" t="s">
        <v>12533</v>
      </c>
      <c r="RFX1" t="s">
        <v>12534</v>
      </c>
      <c r="RFY1" t="s">
        <v>12535</v>
      </c>
      <c r="RFZ1" t="s">
        <v>12536</v>
      </c>
      <c r="RGA1" t="s">
        <v>12537</v>
      </c>
      <c r="RGB1" t="s">
        <v>12538</v>
      </c>
      <c r="RGC1" t="s">
        <v>12539</v>
      </c>
      <c r="RGD1" t="s">
        <v>12540</v>
      </c>
      <c r="RGE1" t="s">
        <v>12541</v>
      </c>
      <c r="RGF1" t="s">
        <v>12542</v>
      </c>
      <c r="RGG1" t="s">
        <v>12543</v>
      </c>
      <c r="RGH1" t="s">
        <v>12544</v>
      </c>
      <c r="RGI1" t="s">
        <v>12545</v>
      </c>
      <c r="RGJ1" t="s">
        <v>12546</v>
      </c>
      <c r="RGK1" t="s">
        <v>12547</v>
      </c>
      <c r="RGL1" t="s">
        <v>12548</v>
      </c>
      <c r="RGM1" t="s">
        <v>12549</v>
      </c>
      <c r="RGN1" t="s">
        <v>12550</v>
      </c>
      <c r="RGO1" t="s">
        <v>12551</v>
      </c>
      <c r="RGP1" t="s">
        <v>12552</v>
      </c>
      <c r="RGQ1" t="s">
        <v>12553</v>
      </c>
      <c r="RGR1" t="s">
        <v>12554</v>
      </c>
      <c r="RGS1" t="s">
        <v>12555</v>
      </c>
      <c r="RGT1" t="s">
        <v>12556</v>
      </c>
      <c r="RGU1" t="s">
        <v>12557</v>
      </c>
      <c r="RGV1" t="s">
        <v>12558</v>
      </c>
      <c r="RGW1" t="s">
        <v>12559</v>
      </c>
      <c r="RGX1" t="s">
        <v>12560</v>
      </c>
      <c r="RGY1" t="s">
        <v>12561</v>
      </c>
      <c r="RGZ1" t="s">
        <v>12562</v>
      </c>
      <c r="RHA1" t="s">
        <v>12563</v>
      </c>
      <c r="RHB1" t="s">
        <v>12564</v>
      </c>
      <c r="RHC1" t="s">
        <v>12565</v>
      </c>
      <c r="RHD1" t="s">
        <v>12566</v>
      </c>
      <c r="RHE1" t="s">
        <v>12567</v>
      </c>
      <c r="RHF1" t="s">
        <v>12568</v>
      </c>
      <c r="RHG1" t="s">
        <v>12569</v>
      </c>
      <c r="RHH1" t="s">
        <v>12570</v>
      </c>
      <c r="RHI1" t="s">
        <v>12571</v>
      </c>
      <c r="RHJ1" t="s">
        <v>12572</v>
      </c>
      <c r="RHK1" t="s">
        <v>12573</v>
      </c>
      <c r="RHL1" t="s">
        <v>12574</v>
      </c>
      <c r="RHM1" t="s">
        <v>12575</v>
      </c>
      <c r="RHN1" t="s">
        <v>12576</v>
      </c>
      <c r="RHO1" t="s">
        <v>12577</v>
      </c>
      <c r="RHP1" t="s">
        <v>12578</v>
      </c>
      <c r="RHQ1" t="s">
        <v>12579</v>
      </c>
      <c r="RHR1" t="s">
        <v>12580</v>
      </c>
      <c r="RHS1" t="s">
        <v>12581</v>
      </c>
      <c r="RHT1" t="s">
        <v>12582</v>
      </c>
      <c r="RHU1" t="s">
        <v>12583</v>
      </c>
      <c r="RHV1" t="s">
        <v>12584</v>
      </c>
      <c r="RHW1" t="s">
        <v>12585</v>
      </c>
      <c r="RHX1" t="s">
        <v>12586</v>
      </c>
      <c r="RHY1" t="s">
        <v>12587</v>
      </c>
      <c r="RHZ1" t="s">
        <v>12588</v>
      </c>
      <c r="RIA1" t="s">
        <v>12589</v>
      </c>
      <c r="RIB1" t="s">
        <v>12590</v>
      </c>
      <c r="RIC1" t="s">
        <v>12591</v>
      </c>
      <c r="RID1" t="s">
        <v>12592</v>
      </c>
      <c r="RIE1" t="s">
        <v>12593</v>
      </c>
      <c r="RIF1" t="s">
        <v>12594</v>
      </c>
      <c r="RIG1" t="s">
        <v>12595</v>
      </c>
      <c r="RIH1" t="s">
        <v>12596</v>
      </c>
      <c r="RII1" t="s">
        <v>12597</v>
      </c>
      <c r="RIJ1" t="s">
        <v>12598</v>
      </c>
      <c r="RIK1" t="s">
        <v>12599</v>
      </c>
      <c r="RIL1" t="s">
        <v>12600</v>
      </c>
      <c r="RIM1" t="s">
        <v>12601</v>
      </c>
      <c r="RIN1" t="s">
        <v>12602</v>
      </c>
      <c r="RIO1" t="s">
        <v>12603</v>
      </c>
      <c r="RIP1" t="s">
        <v>12604</v>
      </c>
      <c r="RIQ1" t="s">
        <v>12605</v>
      </c>
      <c r="RIR1" t="s">
        <v>12606</v>
      </c>
      <c r="RIS1" t="s">
        <v>12607</v>
      </c>
      <c r="RIT1" t="s">
        <v>12608</v>
      </c>
      <c r="RIU1" t="s">
        <v>12609</v>
      </c>
      <c r="RIV1" t="s">
        <v>12610</v>
      </c>
      <c r="RIW1" t="s">
        <v>12611</v>
      </c>
      <c r="RIX1" t="s">
        <v>12612</v>
      </c>
      <c r="RIY1" t="s">
        <v>12613</v>
      </c>
      <c r="RIZ1" t="s">
        <v>12614</v>
      </c>
      <c r="RJA1" t="s">
        <v>12615</v>
      </c>
      <c r="RJB1" t="s">
        <v>12616</v>
      </c>
      <c r="RJC1" t="s">
        <v>12617</v>
      </c>
      <c r="RJD1" t="s">
        <v>12618</v>
      </c>
      <c r="RJE1" t="s">
        <v>12619</v>
      </c>
      <c r="RJF1" t="s">
        <v>12620</v>
      </c>
      <c r="RJG1" t="s">
        <v>12621</v>
      </c>
      <c r="RJH1" t="s">
        <v>12622</v>
      </c>
      <c r="RJI1" t="s">
        <v>12623</v>
      </c>
      <c r="RJJ1" t="s">
        <v>12624</v>
      </c>
      <c r="RJK1" t="s">
        <v>12625</v>
      </c>
      <c r="RJL1" t="s">
        <v>12626</v>
      </c>
      <c r="RJM1" t="s">
        <v>12627</v>
      </c>
      <c r="RJN1" t="s">
        <v>12628</v>
      </c>
      <c r="RJO1" t="s">
        <v>12629</v>
      </c>
      <c r="RJP1" t="s">
        <v>12630</v>
      </c>
      <c r="RJQ1" t="s">
        <v>12631</v>
      </c>
      <c r="RJR1" t="s">
        <v>12632</v>
      </c>
      <c r="RJS1" t="s">
        <v>12633</v>
      </c>
      <c r="RJT1" t="s">
        <v>12634</v>
      </c>
      <c r="RJU1" t="s">
        <v>12635</v>
      </c>
      <c r="RJV1" t="s">
        <v>12636</v>
      </c>
      <c r="RJW1" t="s">
        <v>12637</v>
      </c>
      <c r="RJX1" t="s">
        <v>12638</v>
      </c>
      <c r="RJY1" t="s">
        <v>12639</v>
      </c>
      <c r="RJZ1" t="s">
        <v>12640</v>
      </c>
      <c r="RKA1" t="s">
        <v>12641</v>
      </c>
      <c r="RKB1" t="s">
        <v>12642</v>
      </c>
      <c r="RKC1" t="s">
        <v>12643</v>
      </c>
      <c r="RKD1" t="s">
        <v>12644</v>
      </c>
      <c r="RKE1" t="s">
        <v>12645</v>
      </c>
      <c r="RKF1" t="s">
        <v>12646</v>
      </c>
      <c r="RKG1" t="s">
        <v>12647</v>
      </c>
      <c r="RKH1" t="s">
        <v>12648</v>
      </c>
      <c r="RKI1" t="s">
        <v>12649</v>
      </c>
      <c r="RKJ1" t="s">
        <v>12650</v>
      </c>
      <c r="RKK1" t="s">
        <v>12651</v>
      </c>
      <c r="RKL1" t="s">
        <v>12652</v>
      </c>
      <c r="RKM1" t="s">
        <v>12653</v>
      </c>
      <c r="RKN1" t="s">
        <v>12654</v>
      </c>
      <c r="RKO1" t="s">
        <v>12655</v>
      </c>
      <c r="RKP1" t="s">
        <v>12656</v>
      </c>
      <c r="RKQ1" t="s">
        <v>12657</v>
      </c>
      <c r="RKR1" t="s">
        <v>12658</v>
      </c>
      <c r="RKS1" t="s">
        <v>12659</v>
      </c>
      <c r="RKT1" t="s">
        <v>12660</v>
      </c>
      <c r="RKU1" t="s">
        <v>12661</v>
      </c>
      <c r="RKV1" t="s">
        <v>12662</v>
      </c>
      <c r="RKW1" t="s">
        <v>12663</v>
      </c>
      <c r="RKX1" t="s">
        <v>12664</v>
      </c>
      <c r="RKY1" t="s">
        <v>12665</v>
      </c>
      <c r="RKZ1" t="s">
        <v>12666</v>
      </c>
      <c r="RLA1" t="s">
        <v>12667</v>
      </c>
      <c r="RLB1" t="s">
        <v>12668</v>
      </c>
      <c r="RLC1" t="s">
        <v>12669</v>
      </c>
      <c r="RLD1" t="s">
        <v>12670</v>
      </c>
      <c r="RLE1" t="s">
        <v>12671</v>
      </c>
      <c r="RLF1" t="s">
        <v>12672</v>
      </c>
      <c r="RLG1" t="s">
        <v>12673</v>
      </c>
      <c r="RLH1" t="s">
        <v>12674</v>
      </c>
      <c r="RLI1" t="s">
        <v>12675</v>
      </c>
      <c r="RLJ1" t="s">
        <v>12676</v>
      </c>
      <c r="RLK1" t="s">
        <v>12677</v>
      </c>
      <c r="RLL1" t="s">
        <v>12678</v>
      </c>
      <c r="RLM1" t="s">
        <v>12679</v>
      </c>
      <c r="RLN1" t="s">
        <v>12680</v>
      </c>
      <c r="RLO1" t="s">
        <v>12681</v>
      </c>
      <c r="RLP1" t="s">
        <v>12682</v>
      </c>
      <c r="RLQ1" t="s">
        <v>12683</v>
      </c>
      <c r="RLR1" t="s">
        <v>12684</v>
      </c>
      <c r="RLS1" t="s">
        <v>12685</v>
      </c>
      <c r="RLT1" t="s">
        <v>12686</v>
      </c>
      <c r="RLU1" t="s">
        <v>12687</v>
      </c>
      <c r="RLV1" t="s">
        <v>12688</v>
      </c>
      <c r="RLW1" t="s">
        <v>12689</v>
      </c>
      <c r="RLX1" t="s">
        <v>12690</v>
      </c>
      <c r="RLY1" t="s">
        <v>12691</v>
      </c>
      <c r="RLZ1" t="s">
        <v>12692</v>
      </c>
      <c r="RMA1" t="s">
        <v>12693</v>
      </c>
      <c r="RMB1" t="s">
        <v>12694</v>
      </c>
      <c r="RMC1" t="s">
        <v>12695</v>
      </c>
      <c r="RMD1" t="s">
        <v>12696</v>
      </c>
      <c r="RME1" t="s">
        <v>12697</v>
      </c>
      <c r="RMF1" t="s">
        <v>12698</v>
      </c>
      <c r="RMG1" t="s">
        <v>12699</v>
      </c>
      <c r="RMH1" t="s">
        <v>12700</v>
      </c>
      <c r="RMI1" t="s">
        <v>12701</v>
      </c>
      <c r="RMJ1" t="s">
        <v>12702</v>
      </c>
      <c r="RMK1" t="s">
        <v>12703</v>
      </c>
      <c r="RML1" t="s">
        <v>12704</v>
      </c>
      <c r="RMM1" t="s">
        <v>12705</v>
      </c>
      <c r="RMN1" t="s">
        <v>12706</v>
      </c>
      <c r="RMO1" t="s">
        <v>12707</v>
      </c>
      <c r="RMP1" t="s">
        <v>12708</v>
      </c>
      <c r="RMQ1" t="s">
        <v>12709</v>
      </c>
      <c r="RMR1" t="s">
        <v>12710</v>
      </c>
      <c r="RMS1" t="s">
        <v>12711</v>
      </c>
      <c r="RMT1" t="s">
        <v>12712</v>
      </c>
      <c r="RMU1" t="s">
        <v>12713</v>
      </c>
      <c r="RMV1" t="s">
        <v>12714</v>
      </c>
      <c r="RMW1" t="s">
        <v>12715</v>
      </c>
      <c r="RMX1" t="s">
        <v>12716</v>
      </c>
      <c r="RMY1" t="s">
        <v>12717</v>
      </c>
      <c r="RMZ1" t="s">
        <v>12718</v>
      </c>
      <c r="RNA1" t="s">
        <v>12719</v>
      </c>
      <c r="RNB1" t="s">
        <v>12720</v>
      </c>
      <c r="RNC1" t="s">
        <v>12721</v>
      </c>
      <c r="RND1" t="s">
        <v>12722</v>
      </c>
      <c r="RNE1" t="s">
        <v>12723</v>
      </c>
      <c r="RNF1" t="s">
        <v>12724</v>
      </c>
      <c r="RNG1" t="s">
        <v>12725</v>
      </c>
      <c r="RNH1" t="s">
        <v>12726</v>
      </c>
      <c r="RNI1" t="s">
        <v>12727</v>
      </c>
      <c r="RNJ1" t="s">
        <v>12728</v>
      </c>
      <c r="RNK1" t="s">
        <v>12729</v>
      </c>
      <c r="RNL1" t="s">
        <v>12730</v>
      </c>
      <c r="RNM1" t="s">
        <v>12731</v>
      </c>
      <c r="RNN1" t="s">
        <v>12732</v>
      </c>
      <c r="RNO1" t="s">
        <v>12733</v>
      </c>
      <c r="RNP1" t="s">
        <v>12734</v>
      </c>
      <c r="RNQ1" t="s">
        <v>12735</v>
      </c>
      <c r="RNR1" t="s">
        <v>12736</v>
      </c>
      <c r="RNS1" t="s">
        <v>12737</v>
      </c>
      <c r="RNT1" t="s">
        <v>12738</v>
      </c>
      <c r="RNU1" t="s">
        <v>12739</v>
      </c>
      <c r="RNV1" t="s">
        <v>12740</v>
      </c>
      <c r="RNW1" t="s">
        <v>12741</v>
      </c>
      <c r="RNX1" t="s">
        <v>12742</v>
      </c>
      <c r="RNY1" t="s">
        <v>12743</v>
      </c>
      <c r="RNZ1" t="s">
        <v>12744</v>
      </c>
      <c r="ROA1" t="s">
        <v>12745</v>
      </c>
      <c r="ROB1" t="s">
        <v>12746</v>
      </c>
      <c r="ROC1" t="s">
        <v>12747</v>
      </c>
      <c r="ROD1" t="s">
        <v>12748</v>
      </c>
      <c r="ROE1" t="s">
        <v>12749</v>
      </c>
      <c r="ROF1" t="s">
        <v>12750</v>
      </c>
      <c r="ROG1" t="s">
        <v>12751</v>
      </c>
      <c r="ROH1" t="s">
        <v>12752</v>
      </c>
      <c r="ROI1" t="s">
        <v>12753</v>
      </c>
      <c r="ROJ1" t="s">
        <v>12754</v>
      </c>
      <c r="ROK1" t="s">
        <v>12755</v>
      </c>
      <c r="ROL1" t="s">
        <v>12756</v>
      </c>
      <c r="ROM1" t="s">
        <v>12757</v>
      </c>
      <c r="RON1" t="s">
        <v>12758</v>
      </c>
      <c r="ROO1" t="s">
        <v>12759</v>
      </c>
      <c r="ROP1" t="s">
        <v>12760</v>
      </c>
      <c r="ROQ1" t="s">
        <v>12761</v>
      </c>
      <c r="ROR1" t="s">
        <v>12762</v>
      </c>
      <c r="ROS1" t="s">
        <v>12763</v>
      </c>
      <c r="ROT1" t="s">
        <v>12764</v>
      </c>
      <c r="ROU1" t="s">
        <v>12765</v>
      </c>
      <c r="ROV1" t="s">
        <v>12766</v>
      </c>
      <c r="ROW1" t="s">
        <v>12767</v>
      </c>
      <c r="ROX1" t="s">
        <v>12768</v>
      </c>
      <c r="ROY1" t="s">
        <v>12769</v>
      </c>
      <c r="ROZ1" t="s">
        <v>12770</v>
      </c>
      <c r="RPA1" t="s">
        <v>12771</v>
      </c>
      <c r="RPB1" t="s">
        <v>12772</v>
      </c>
      <c r="RPC1" t="s">
        <v>12773</v>
      </c>
      <c r="RPD1" t="s">
        <v>12774</v>
      </c>
      <c r="RPE1" t="s">
        <v>12775</v>
      </c>
      <c r="RPF1" t="s">
        <v>12776</v>
      </c>
      <c r="RPG1" t="s">
        <v>12777</v>
      </c>
      <c r="RPH1" t="s">
        <v>12778</v>
      </c>
      <c r="RPI1" t="s">
        <v>12779</v>
      </c>
      <c r="RPJ1" t="s">
        <v>12780</v>
      </c>
      <c r="RPK1" t="s">
        <v>12781</v>
      </c>
      <c r="RPL1" t="s">
        <v>12782</v>
      </c>
      <c r="RPM1" t="s">
        <v>12783</v>
      </c>
      <c r="RPN1" t="s">
        <v>12784</v>
      </c>
      <c r="RPO1" t="s">
        <v>12785</v>
      </c>
      <c r="RPP1" t="s">
        <v>12786</v>
      </c>
      <c r="RPQ1" t="s">
        <v>12787</v>
      </c>
      <c r="RPR1" t="s">
        <v>12788</v>
      </c>
      <c r="RPS1" t="s">
        <v>12789</v>
      </c>
      <c r="RPT1" t="s">
        <v>12790</v>
      </c>
      <c r="RPU1" t="s">
        <v>12791</v>
      </c>
      <c r="RPV1" t="s">
        <v>12792</v>
      </c>
      <c r="RPW1" t="s">
        <v>12793</v>
      </c>
      <c r="RPX1" t="s">
        <v>12794</v>
      </c>
      <c r="RPY1" t="s">
        <v>12795</v>
      </c>
      <c r="RPZ1" t="s">
        <v>12796</v>
      </c>
      <c r="RQA1" t="s">
        <v>12797</v>
      </c>
      <c r="RQB1" t="s">
        <v>12798</v>
      </c>
      <c r="RQC1" t="s">
        <v>12799</v>
      </c>
      <c r="RQD1" t="s">
        <v>12800</v>
      </c>
      <c r="RQE1" t="s">
        <v>12801</v>
      </c>
      <c r="RQF1" t="s">
        <v>12802</v>
      </c>
      <c r="RQG1" t="s">
        <v>12803</v>
      </c>
      <c r="RQH1" t="s">
        <v>12804</v>
      </c>
      <c r="RQI1" t="s">
        <v>12805</v>
      </c>
      <c r="RQJ1" t="s">
        <v>12806</v>
      </c>
      <c r="RQK1" t="s">
        <v>12807</v>
      </c>
      <c r="RQL1" t="s">
        <v>12808</v>
      </c>
      <c r="RQM1" t="s">
        <v>12809</v>
      </c>
      <c r="RQN1" t="s">
        <v>12810</v>
      </c>
      <c r="RQO1" t="s">
        <v>12811</v>
      </c>
      <c r="RQP1" t="s">
        <v>12812</v>
      </c>
      <c r="RQQ1" t="s">
        <v>12813</v>
      </c>
      <c r="RQR1" t="s">
        <v>12814</v>
      </c>
      <c r="RQS1" t="s">
        <v>12815</v>
      </c>
      <c r="RQT1" t="s">
        <v>12816</v>
      </c>
      <c r="RQU1" t="s">
        <v>12817</v>
      </c>
      <c r="RQV1" t="s">
        <v>12818</v>
      </c>
      <c r="RQW1" t="s">
        <v>12819</v>
      </c>
      <c r="RQX1" t="s">
        <v>12820</v>
      </c>
      <c r="RQY1" t="s">
        <v>12821</v>
      </c>
      <c r="RQZ1" t="s">
        <v>12822</v>
      </c>
      <c r="RRA1" t="s">
        <v>12823</v>
      </c>
      <c r="RRB1" t="s">
        <v>12824</v>
      </c>
      <c r="RRC1" t="s">
        <v>12825</v>
      </c>
      <c r="RRD1" t="s">
        <v>12826</v>
      </c>
      <c r="RRE1" t="s">
        <v>12827</v>
      </c>
      <c r="RRF1" t="s">
        <v>12828</v>
      </c>
      <c r="RRG1" t="s">
        <v>12829</v>
      </c>
      <c r="RRH1" t="s">
        <v>12830</v>
      </c>
      <c r="RRI1" t="s">
        <v>12831</v>
      </c>
      <c r="RRJ1" t="s">
        <v>12832</v>
      </c>
      <c r="RRK1" t="s">
        <v>12833</v>
      </c>
      <c r="RRL1" t="s">
        <v>12834</v>
      </c>
      <c r="RRM1" t="s">
        <v>12835</v>
      </c>
      <c r="RRN1" t="s">
        <v>12836</v>
      </c>
      <c r="RRO1" t="s">
        <v>12837</v>
      </c>
      <c r="RRP1" t="s">
        <v>12838</v>
      </c>
      <c r="RRQ1" t="s">
        <v>12839</v>
      </c>
      <c r="RRR1" t="s">
        <v>12840</v>
      </c>
      <c r="RRS1" t="s">
        <v>12841</v>
      </c>
      <c r="RRT1" t="s">
        <v>12842</v>
      </c>
      <c r="RRU1" t="s">
        <v>12843</v>
      </c>
      <c r="RRV1" t="s">
        <v>12844</v>
      </c>
      <c r="RRW1" t="s">
        <v>12845</v>
      </c>
      <c r="RRX1" t="s">
        <v>12846</v>
      </c>
      <c r="RRY1" t="s">
        <v>12847</v>
      </c>
      <c r="RRZ1" t="s">
        <v>12848</v>
      </c>
      <c r="RSA1" t="s">
        <v>12849</v>
      </c>
      <c r="RSB1" t="s">
        <v>12850</v>
      </c>
      <c r="RSC1" t="s">
        <v>12851</v>
      </c>
      <c r="RSD1" t="s">
        <v>12852</v>
      </c>
      <c r="RSE1" t="s">
        <v>12853</v>
      </c>
      <c r="RSF1" t="s">
        <v>12854</v>
      </c>
      <c r="RSG1" t="s">
        <v>12855</v>
      </c>
      <c r="RSH1" t="s">
        <v>12856</v>
      </c>
      <c r="RSI1" t="s">
        <v>12857</v>
      </c>
      <c r="RSJ1" t="s">
        <v>12858</v>
      </c>
      <c r="RSK1" t="s">
        <v>12859</v>
      </c>
      <c r="RSL1" t="s">
        <v>12860</v>
      </c>
      <c r="RSM1" t="s">
        <v>12861</v>
      </c>
      <c r="RSN1" t="s">
        <v>12862</v>
      </c>
      <c r="RSO1" t="s">
        <v>12863</v>
      </c>
      <c r="RSP1" t="s">
        <v>12864</v>
      </c>
      <c r="RSQ1" t="s">
        <v>12865</v>
      </c>
      <c r="RSR1" t="s">
        <v>12866</v>
      </c>
      <c r="RSS1" t="s">
        <v>12867</v>
      </c>
      <c r="RST1" t="s">
        <v>12868</v>
      </c>
      <c r="RSU1" t="s">
        <v>12869</v>
      </c>
      <c r="RSV1" t="s">
        <v>12870</v>
      </c>
      <c r="RSW1" t="s">
        <v>12871</v>
      </c>
      <c r="RSX1" t="s">
        <v>12872</v>
      </c>
      <c r="RSY1" t="s">
        <v>12873</v>
      </c>
      <c r="RSZ1" t="s">
        <v>12874</v>
      </c>
      <c r="RTA1" t="s">
        <v>12875</v>
      </c>
      <c r="RTB1" t="s">
        <v>12876</v>
      </c>
      <c r="RTC1" t="s">
        <v>12877</v>
      </c>
      <c r="RTD1" t="s">
        <v>12878</v>
      </c>
      <c r="RTE1" t="s">
        <v>12879</v>
      </c>
      <c r="RTF1" t="s">
        <v>12880</v>
      </c>
      <c r="RTG1" t="s">
        <v>12881</v>
      </c>
      <c r="RTH1" t="s">
        <v>12882</v>
      </c>
      <c r="RTI1" t="s">
        <v>12883</v>
      </c>
      <c r="RTJ1" t="s">
        <v>12884</v>
      </c>
      <c r="RTK1" t="s">
        <v>12885</v>
      </c>
      <c r="RTL1" t="s">
        <v>12886</v>
      </c>
      <c r="RTM1" t="s">
        <v>12887</v>
      </c>
      <c r="RTN1" t="s">
        <v>12888</v>
      </c>
      <c r="RTO1" t="s">
        <v>12889</v>
      </c>
      <c r="RTP1" t="s">
        <v>12890</v>
      </c>
      <c r="RTQ1" t="s">
        <v>12891</v>
      </c>
      <c r="RTR1" t="s">
        <v>12892</v>
      </c>
      <c r="RTS1" t="s">
        <v>12893</v>
      </c>
      <c r="RTT1" t="s">
        <v>12894</v>
      </c>
      <c r="RTU1" t="s">
        <v>12895</v>
      </c>
      <c r="RTV1" t="s">
        <v>12896</v>
      </c>
      <c r="RTW1" t="s">
        <v>12897</v>
      </c>
      <c r="RTX1" t="s">
        <v>12898</v>
      </c>
      <c r="RTY1" t="s">
        <v>12899</v>
      </c>
      <c r="RTZ1" t="s">
        <v>12900</v>
      </c>
      <c r="RUA1" t="s">
        <v>12901</v>
      </c>
      <c r="RUB1" t="s">
        <v>12902</v>
      </c>
      <c r="RUC1" t="s">
        <v>12903</v>
      </c>
      <c r="RUD1" t="s">
        <v>12904</v>
      </c>
      <c r="RUE1" t="s">
        <v>12905</v>
      </c>
      <c r="RUF1" t="s">
        <v>12906</v>
      </c>
      <c r="RUG1" t="s">
        <v>12907</v>
      </c>
      <c r="RUH1" t="s">
        <v>12908</v>
      </c>
      <c r="RUI1" t="s">
        <v>12909</v>
      </c>
      <c r="RUJ1" t="s">
        <v>12910</v>
      </c>
      <c r="RUK1" t="s">
        <v>12911</v>
      </c>
      <c r="RUL1" t="s">
        <v>12912</v>
      </c>
      <c r="RUM1" t="s">
        <v>12913</v>
      </c>
      <c r="RUN1" t="s">
        <v>12914</v>
      </c>
      <c r="RUO1" t="s">
        <v>12915</v>
      </c>
      <c r="RUP1" t="s">
        <v>12916</v>
      </c>
      <c r="RUQ1" t="s">
        <v>12917</v>
      </c>
      <c r="RUR1" t="s">
        <v>12918</v>
      </c>
      <c r="RUS1" t="s">
        <v>12919</v>
      </c>
      <c r="RUT1" t="s">
        <v>12920</v>
      </c>
      <c r="RUU1" t="s">
        <v>12921</v>
      </c>
      <c r="RUV1" t="s">
        <v>12922</v>
      </c>
      <c r="RUW1" t="s">
        <v>12923</v>
      </c>
      <c r="RUX1" t="s">
        <v>12924</v>
      </c>
      <c r="RUY1" t="s">
        <v>12925</v>
      </c>
      <c r="RUZ1" t="s">
        <v>12926</v>
      </c>
      <c r="RVA1" t="s">
        <v>12927</v>
      </c>
      <c r="RVB1" t="s">
        <v>12928</v>
      </c>
      <c r="RVC1" t="s">
        <v>12929</v>
      </c>
      <c r="RVD1" t="s">
        <v>12930</v>
      </c>
      <c r="RVE1" t="s">
        <v>12931</v>
      </c>
      <c r="RVF1" t="s">
        <v>12932</v>
      </c>
      <c r="RVG1" t="s">
        <v>12933</v>
      </c>
      <c r="RVH1" t="s">
        <v>12934</v>
      </c>
      <c r="RVI1" t="s">
        <v>12935</v>
      </c>
      <c r="RVJ1" t="s">
        <v>12936</v>
      </c>
      <c r="RVK1" t="s">
        <v>12937</v>
      </c>
      <c r="RVL1" t="s">
        <v>12938</v>
      </c>
      <c r="RVM1" t="s">
        <v>12939</v>
      </c>
      <c r="RVN1" t="s">
        <v>12940</v>
      </c>
      <c r="RVO1" t="s">
        <v>12941</v>
      </c>
      <c r="RVP1" t="s">
        <v>12942</v>
      </c>
      <c r="RVQ1" t="s">
        <v>12943</v>
      </c>
      <c r="RVR1" t="s">
        <v>12944</v>
      </c>
      <c r="RVS1" t="s">
        <v>12945</v>
      </c>
      <c r="RVT1" t="s">
        <v>12946</v>
      </c>
      <c r="RVU1" t="s">
        <v>12947</v>
      </c>
      <c r="RVV1" t="s">
        <v>12948</v>
      </c>
      <c r="RVW1" t="s">
        <v>12949</v>
      </c>
      <c r="RVX1" t="s">
        <v>12950</v>
      </c>
      <c r="RVY1" t="s">
        <v>12951</v>
      </c>
      <c r="RVZ1" t="s">
        <v>12952</v>
      </c>
      <c r="RWA1" t="s">
        <v>12953</v>
      </c>
      <c r="RWB1" t="s">
        <v>12954</v>
      </c>
      <c r="RWC1" t="s">
        <v>12955</v>
      </c>
      <c r="RWD1" t="s">
        <v>12956</v>
      </c>
      <c r="RWE1" t="s">
        <v>12957</v>
      </c>
      <c r="RWF1" t="s">
        <v>12958</v>
      </c>
      <c r="RWG1" t="s">
        <v>12959</v>
      </c>
      <c r="RWH1" t="s">
        <v>12960</v>
      </c>
      <c r="RWI1" t="s">
        <v>12961</v>
      </c>
      <c r="RWJ1" t="s">
        <v>12962</v>
      </c>
      <c r="RWK1" t="s">
        <v>12963</v>
      </c>
      <c r="RWL1" t="s">
        <v>12964</v>
      </c>
      <c r="RWM1" t="s">
        <v>12965</v>
      </c>
      <c r="RWN1" t="s">
        <v>12966</v>
      </c>
      <c r="RWO1" t="s">
        <v>12967</v>
      </c>
      <c r="RWP1" t="s">
        <v>12968</v>
      </c>
      <c r="RWQ1" t="s">
        <v>12969</v>
      </c>
      <c r="RWR1" t="s">
        <v>12970</v>
      </c>
      <c r="RWS1" t="s">
        <v>12971</v>
      </c>
      <c r="RWT1" t="s">
        <v>12972</v>
      </c>
      <c r="RWU1" t="s">
        <v>12973</v>
      </c>
      <c r="RWV1" t="s">
        <v>12974</v>
      </c>
      <c r="RWW1" t="s">
        <v>12975</v>
      </c>
      <c r="RWX1" t="s">
        <v>12976</v>
      </c>
      <c r="RWY1" t="s">
        <v>12977</v>
      </c>
      <c r="RWZ1" t="s">
        <v>12978</v>
      </c>
      <c r="RXA1" t="s">
        <v>12979</v>
      </c>
      <c r="RXB1" t="s">
        <v>12980</v>
      </c>
      <c r="RXC1" t="s">
        <v>12981</v>
      </c>
      <c r="RXD1" t="s">
        <v>12982</v>
      </c>
      <c r="RXE1" t="s">
        <v>12983</v>
      </c>
      <c r="RXF1" t="s">
        <v>12984</v>
      </c>
      <c r="RXG1" t="s">
        <v>12985</v>
      </c>
      <c r="RXH1" t="s">
        <v>12986</v>
      </c>
      <c r="RXI1" t="s">
        <v>12987</v>
      </c>
      <c r="RXJ1" t="s">
        <v>12988</v>
      </c>
      <c r="RXK1" t="s">
        <v>12989</v>
      </c>
      <c r="RXL1" t="s">
        <v>12990</v>
      </c>
      <c r="RXM1" t="s">
        <v>12991</v>
      </c>
      <c r="RXN1" t="s">
        <v>12992</v>
      </c>
      <c r="RXO1" t="s">
        <v>12993</v>
      </c>
      <c r="RXP1" t="s">
        <v>12994</v>
      </c>
      <c r="RXQ1" t="s">
        <v>12995</v>
      </c>
      <c r="RXR1" t="s">
        <v>12996</v>
      </c>
      <c r="RXS1" t="s">
        <v>12997</v>
      </c>
      <c r="RXT1" t="s">
        <v>12998</v>
      </c>
      <c r="RXU1" t="s">
        <v>12999</v>
      </c>
      <c r="RXV1" t="s">
        <v>13000</v>
      </c>
      <c r="RXW1" t="s">
        <v>13001</v>
      </c>
      <c r="RXX1" t="s">
        <v>13002</v>
      </c>
      <c r="RXY1" t="s">
        <v>13003</v>
      </c>
      <c r="RXZ1" t="s">
        <v>13004</v>
      </c>
      <c r="RYA1" t="s">
        <v>13005</v>
      </c>
      <c r="RYB1" t="s">
        <v>13006</v>
      </c>
      <c r="RYC1" t="s">
        <v>13007</v>
      </c>
      <c r="RYD1" t="s">
        <v>13008</v>
      </c>
      <c r="RYE1" t="s">
        <v>13009</v>
      </c>
      <c r="RYF1" t="s">
        <v>13010</v>
      </c>
      <c r="RYG1" t="s">
        <v>13011</v>
      </c>
      <c r="RYH1" t="s">
        <v>13012</v>
      </c>
      <c r="RYI1" t="s">
        <v>13013</v>
      </c>
      <c r="RYJ1" t="s">
        <v>13014</v>
      </c>
      <c r="RYK1" t="s">
        <v>13015</v>
      </c>
      <c r="RYL1" t="s">
        <v>13016</v>
      </c>
      <c r="RYM1" t="s">
        <v>13017</v>
      </c>
      <c r="RYN1" t="s">
        <v>13018</v>
      </c>
      <c r="RYO1" t="s">
        <v>13019</v>
      </c>
      <c r="RYP1" t="s">
        <v>13020</v>
      </c>
      <c r="RYQ1" t="s">
        <v>13021</v>
      </c>
      <c r="RYR1" t="s">
        <v>13022</v>
      </c>
      <c r="RYS1" t="s">
        <v>13023</v>
      </c>
      <c r="RYT1" t="s">
        <v>13024</v>
      </c>
      <c r="RYU1" t="s">
        <v>13025</v>
      </c>
      <c r="RYV1" t="s">
        <v>13026</v>
      </c>
      <c r="RYW1" t="s">
        <v>13027</v>
      </c>
      <c r="RYX1" t="s">
        <v>13028</v>
      </c>
      <c r="RYY1" t="s">
        <v>13029</v>
      </c>
      <c r="RYZ1" t="s">
        <v>13030</v>
      </c>
      <c r="RZA1" t="s">
        <v>13031</v>
      </c>
      <c r="RZB1" t="s">
        <v>13032</v>
      </c>
      <c r="RZC1" t="s">
        <v>13033</v>
      </c>
      <c r="RZD1" t="s">
        <v>13034</v>
      </c>
      <c r="RZE1" t="s">
        <v>13035</v>
      </c>
      <c r="RZF1" t="s">
        <v>13036</v>
      </c>
      <c r="RZG1" t="s">
        <v>13037</v>
      </c>
      <c r="RZH1" t="s">
        <v>13038</v>
      </c>
      <c r="RZI1" t="s">
        <v>13039</v>
      </c>
      <c r="RZJ1" t="s">
        <v>13040</v>
      </c>
      <c r="RZK1" t="s">
        <v>13041</v>
      </c>
      <c r="RZL1" t="s">
        <v>13042</v>
      </c>
      <c r="RZM1" t="s">
        <v>13043</v>
      </c>
      <c r="RZN1" t="s">
        <v>13044</v>
      </c>
      <c r="RZO1" t="s">
        <v>13045</v>
      </c>
      <c r="RZP1" t="s">
        <v>13046</v>
      </c>
      <c r="RZQ1" t="s">
        <v>13047</v>
      </c>
      <c r="RZR1" t="s">
        <v>13048</v>
      </c>
      <c r="RZS1" t="s">
        <v>13049</v>
      </c>
      <c r="RZT1" t="s">
        <v>13050</v>
      </c>
      <c r="RZU1" t="s">
        <v>13051</v>
      </c>
      <c r="RZV1" t="s">
        <v>13052</v>
      </c>
      <c r="RZW1" t="s">
        <v>13053</v>
      </c>
      <c r="RZX1" t="s">
        <v>13054</v>
      </c>
      <c r="RZY1" t="s">
        <v>13055</v>
      </c>
      <c r="RZZ1" t="s">
        <v>13056</v>
      </c>
      <c r="SAA1" t="s">
        <v>13057</v>
      </c>
      <c r="SAB1" t="s">
        <v>13058</v>
      </c>
      <c r="SAC1" t="s">
        <v>13059</v>
      </c>
      <c r="SAD1" t="s">
        <v>13060</v>
      </c>
      <c r="SAE1" t="s">
        <v>13061</v>
      </c>
      <c r="SAF1" t="s">
        <v>13062</v>
      </c>
      <c r="SAG1" t="s">
        <v>13063</v>
      </c>
      <c r="SAH1" t="s">
        <v>13064</v>
      </c>
      <c r="SAI1" t="s">
        <v>13065</v>
      </c>
      <c r="SAJ1" t="s">
        <v>13066</v>
      </c>
      <c r="SAK1" t="s">
        <v>13067</v>
      </c>
      <c r="SAL1" t="s">
        <v>13068</v>
      </c>
      <c r="SAM1" t="s">
        <v>13069</v>
      </c>
      <c r="SAN1" t="s">
        <v>13070</v>
      </c>
      <c r="SAO1" t="s">
        <v>13071</v>
      </c>
      <c r="SAP1" t="s">
        <v>13072</v>
      </c>
      <c r="SAQ1" t="s">
        <v>13073</v>
      </c>
      <c r="SAR1" t="s">
        <v>13074</v>
      </c>
      <c r="SAS1" t="s">
        <v>13075</v>
      </c>
      <c r="SAT1" t="s">
        <v>13076</v>
      </c>
      <c r="SAU1" t="s">
        <v>13077</v>
      </c>
      <c r="SAV1" t="s">
        <v>13078</v>
      </c>
      <c r="SAW1" t="s">
        <v>13079</v>
      </c>
      <c r="SAX1" t="s">
        <v>13080</v>
      </c>
      <c r="SAY1" t="s">
        <v>13081</v>
      </c>
      <c r="SAZ1" t="s">
        <v>13082</v>
      </c>
      <c r="SBA1" t="s">
        <v>13083</v>
      </c>
      <c r="SBB1" t="s">
        <v>13084</v>
      </c>
      <c r="SBC1" t="s">
        <v>13085</v>
      </c>
      <c r="SBD1" t="s">
        <v>13086</v>
      </c>
      <c r="SBE1" t="s">
        <v>13087</v>
      </c>
      <c r="SBF1" t="s">
        <v>13088</v>
      </c>
      <c r="SBG1" t="s">
        <v>13089</v>
      </c>
      <c r="SBH1" t="s">
        <v>13090</v>
      </c>
      <c r="SBI1" t="s">
        <v>13091</v>
      </c>
      <c r="SBJ1" t="s">
        <v>13092</v>
      </c>
      <c r="SBK1" t="s">
        <v>13093</v>
      </c>
      <c r="SBL1" t="s">
        <v>13094</v>
      </c>
      <c r="SBM1" t="s">
        <v>13095</v>
      </c>
      <c r="SBN1" t="s">
        <v>13096</v>
      </c>
      <c r="SBO1" t="s">
        <v>13097</v>
      </c>
      <c r="SBP1" t="s">
        <v>13098</v>
      </c>
      <c r="SBQ1" t="s">
        <v>13099</v>
      </c>
      <c r="SBR1" t="s">
        <v>13100</v>
      </c>
      <c r="SBS1" t="s">
        <v>13101</v>
      </c>
      <c r="SBT1" t="s">
        <v>13102</v>
      </c>
      <c r="SBU1" t="s">
        <v>13103</v>
      </c>
      <c r="SBV1" t="s">
        <v>13104</v>
      </c>
      <c r="SBW1" t="s">
        <v>13105</v>
      </c>
      <c r="SBX1" t="s">
        <v>13106</v>
      </c>
      <c r="SBY1" t="s">
        <v>13107</v>
      </c>
      <c r="SBZ1" t="s">
        <v>13108</v>
      </c>
      <c r="SCA1" t="s">
        <v>13109</v>
      </c>
      <c r="SCB1" t="s">
        <v>13110</v>
      </c>
      <c r="SCC1" t="s">
        <v>13111</v>
      </c>
      <c r="SCD1" t="s">
        <v>13112</v>
      </c>
      <c r="SCE1" t="s">
        <v>13113</v>
      </c>
      <c r="SCF1" t="s">
        <v>13114</v>
      </c>
      <c r="SCG1" t="s">
        <v>13115</v>
      </c>
      <c r="SCH1" t="s">
        <v>13116</v>
      </c>
      <c r="SCI1" t="s">
        <v>13117</v>
      </c>
      <c r="SCJ1" t="s">
        <v>13118</v>
      </c>
      <c r="SCK1" t="s">
        <v>13119</v>
      </c>
      <c r="SCL1" t="s">
        <v>13120</v>
      </c>
      <c r="SCM1" t="s">
        <v>13121</v>
      </c>
      <c r="SCN1" t="s">
        <v>13122</v>
      </c>
      <c r="SCO1" t="s">
        <v>13123</v>
      </c>
      <c r="SCP1" t="s">
        <v>13124</v>
      </c>
      <c r="SCQ1" t="s">
        <v>13125</v>
      </c>
      <c r="SCR1" t="s">
        <v>13126</v>
      </c>
      <c r="SCS1" t="s">
        <v>13127</v>
      </c>
      <c r="SCT1" t="s">
        <v>13128</v>
      </c>
      <c r="SCU1" t="s">
        <v>13129</v>
      </c>
      <c r="SCV1" t="s">
        <v>13130</v>
      </c>
      <c r="SCW1" t="s">
        <v>13131</v>
      </c>
      <c r="SCX1" t="s">
        <v>13132</v>
      </c>
      <c r="SCY1" t="s">
        <v>13133</v>
      </c>
      <c r="SCZ1" t="s">
        <v>13134</v>
      </c>
      <c r="SDA1" t="s">
        <v>13135</v>
      </c>
      <c r="SDB1" t="s">
        <v>13136</v>
      </c>
      <c r="SDC1" t="s">
        <v>13137</v>
      </c>
      <c r="SDD1" t="s">
        <v>13138</v>
      </c>
      <c r="SDE1" t="s">
        <v>13139</v>
      </c>
      <c r="SDF1" t="s">
        <v>13140</v>
      </c>
      <c r="SDG1" t="s">
        <v>13141</v>
      </c>
      <c r="SDH1" t="s">
        <v>13142</v>
      </c>
      <c r="SDI1" t="s">
        <v>13143</v>
      </c>
      <c r="SDJ1" t="s">
        <v>13144</v>
      </c>
      <c r="SDK1" t="s">
        <v>13145</v>
      </c>
      <c r="SDL1" t="s">
        <v>13146</v>
      </c>
      <c r="SDM1" t="s">
        <v>13147</v>
      </c>
      <c r="SDN1" t="s">
        <v>13148</v>
      </c>
      <c r="SDO1" t="s">
        <v>13149</v>
      </c>
      <c r="SDP1" t="s">
        <v>13150</v>
      </c>
      <c r="SDQ1" t="s">
        <v>13151</v>
      </c>
      <c r="SDR1" t="s">
        <v>13152</v>
      </c>
      <c r="SDS1" t="s">
        <v>13153</v>
      </c>
      <c r="SDT1" t="s">
        <v>13154</v>
      </c>
      <c r="SDU1" t="s">
        <v>13155</v>
      </c>
      <c r="SDV1" t="s">
        <v>13156</v>
      </c>
      <c r="SDW1" t="s">
        <v>13157</v>
      </c>
      <c r="SDX1" t="s">
        <v>13158</v>
      </c>
      <c r="SDY1" t="s">
        <v>13159</v>
      </c>
      <c r="SDZ1" t="s">
        <v>13160</v>
      </c>
      <c r="SEA1" t="s">
        <v>13161</v>
      </c>
      <c r="SEB1" t="s">
        <v>13162</v>
      </c>
      <c r="SEC1" t="s">
        <v>13163</v>
      </c>
      <c r="SED1" t="s">
        <v>13164</v>
      </c>
      <c r="SEE1" t="s">
        <v>13165</v>
      </c>
      <c r="SEF1" t="s">
        <v>13166</v>
      </c>
      <c r="SEG1" t="s">
        <v>13167</v>
      </c>
      <c r="SEH1" t="s">
        <v>13168</v>
      </c>
      <c r="SEI1" t="s">
        <v>13169</v>
      </c>
      <c r="SEJ1" t="s">
        <v>13170</v>
      </c>
      <c r="SEK1" t="s">
        <v>13171</v>
      </c>
      <c r="SEL1" t="s">
        <v>13172</v>
      </c>
      <c r="SEM1" t="s">
        <v>13173</v>
      </c>
      <c r="SEN1" t="s">
        <v>13174</v>
      </c>
      <c r="SEO1" t="s">
        <v>13175</v>
      </c>
      <c r="SEP1" t="s">
        <v>13176</v>
      </c>
      <c r="SEQ1" t="s">
        <v>13177</v>
      </c>
      <c r="SER1" t="s">
        <v>13178</v>
      </c>
      <c r="SES1" t="s">
        <v>13179</v>
      </c>
      <c r="SET1" t="s">
        <v>13180</v>
      </c>
      <c r="SEU1" t="s">
        <v>13181</v>
      </c>
      <c r="SEV1" t="s">
        <v>13182</v>
      </c>
      <c r="SEW1" t="s">
        <v>13183</v>
      </c>
      <c r="SEX1" t="s">
        <v>13184</v>
      </c>
      <c r="SEY1" t="s">
        <v>13185</v>
      </c>
      <c r="SEZ1" t="s">
        <v>13186</v>
      </c>
      <c r="SFA1" t="s">
        <v>13187</v>
      </c>
      <c r="SFB1" t="s">
        <v>13188</v>
      </c>
      <c r="SFC1" t="s">
        <v>13189</v>
      </c>
      <c r="SFD1" t="s">
        <v>13190</v>
      </c>
      <c r="SFE1" t="s">
        <v>13191</v>
      </c>
      <c r="SFF1" t="s">
        <v>13192</v>
      </c>
      <c r="SFG1" t="s">
        <v>13193</v>
      </c>
      <c r="SFH1" t="s">
        <v>13194</v>
      </c>
      <c r="SFI1" t="s">
        <v>13195</v>
      </c>
      <c r="SFJ1" t="s">
        <v>13196</v>
      </c>
      <c r="SFK1" t="s">
        <v>13197</v>
      </c>
      <c r="SFL1" t="s">
        <v>13198</v>
      </c>
      <c r="SFM1" t="s">
        <v>13199</v>
      </c>
      <c r="SFN1" t="s">
        <v>13200</v>
      </c>
      <c r="SFO1" t="s">
        <v>13201</v>
      </c>
      <c r="SFP1" t="s">
        <v>13202</v>
      </c>
      <c r="SFQ1" t="s">
        <v>13203</v>
      </c>
      <c r="SFR1" t="s">
        <v>13204</v>
      </c>
      <c r="SFS1" t="s">
        <v>13205</v>
      </c>
      <c r="SFT1" t="s">
        <v>13206</v>
      </c>
      <c r="SFU1" t="s">
        <v>13207</v>
      </c>
      <c r="SFV1" t="s">
        <v>13208</v>
      </c>
      <c r="SFW1" t="s">
        <v>13209</v>
      </c>
      <c r="SFX1" t="s">
        <v>13210</v>
      </c>
      <c r="SFY1" t="s">
        <v>13211</v>
      </c>
      <c r="SFZ1" t="s">
        <v>13212</v>
      </c>
      <c r="SGA1" t="s">
        <v>13213</v>
      </c>
      <c r="SGB1" t="s">
        <v>13214</v>
      </c>
      <c r="SGC1" t="s">
        <v>13215</v>
      </c>
      <c r="SGD1" t="s">
        <v>13216</v>
      </c>
      <c r="SGE1" t="s">
        <v>13217</v>
      </c>
      <c r="SGF1" t="s">
        <v>13218</v>
      </c>
      <c r="SGG1" t="s">
        <v>13219</v>
      </c>
      <c r="SGH1" t="s">
        <v>13220</v>
      </c>
      <c r="SGI1" t="s">
        <v>13221</v>
      </c>
      <c r="SGJ1" t="s">
        <v>13222</v>
      </c>
      <c r="SGK1" t="s">
        <v>13223</v>
      </c>
      <c r="SGL1" t="s">
        <v>13224</v>
      </c>
      <c r="SGM1" t="s">
        <v>13225</v>
      </c>
      <c r="SGN1" t="s">
        <v>13226</v>
      </c>
      <c r="SGO1" t="s">
        <v>13227</v>
      </c>
      <c r="SGP1" t="s">
        <v>13228</v>
      </c>
      <c r="SGQ1" t="s">
        <v>13229</v>
      </c>
      <c r="SGR1" t="s">
        <v>13230</v>
      </c>
      <c r="SGS1" t="s">
        <v>13231</v>
      </c>
      <c r="SGT1" t="s">
        <v>13232</v>
      </c>
      <c r="SGU1" t="s">
        <v>13233</v>
      </c>
      <c r="SGV1" t="s">
        <v>13234</v>
      </c>
      <c r="SGW1" t="s">
        <v>13235</v>
      </c>
      <c r="SGX1" t="s">
        <v>13236</v>
      </c>
      <c r="SGY1" t="s">
        <v>13237</v>
      </c>
      <c r="SGZ1" t="s">
        <v>13238</v>
      </c>
      <c r="SHA1" t="s">
        <v>13239</v>
      </c>
      <c r="SHB1" t="s">
        <v>13240</v>
      </c>
      <c r="SHC1" t="s">
        <v>13241</v>
      </c>
      <c r="SHD1" t="s">
        <v>13242</v>
      </c>
      <c r="SHE1" t="s">
        <v>13243</v>
      </c>
      <c r="SHF1" t="s">
        <v>13244</v>
      </c>
      <c r="SHG1" t="s">
        <v>13245</v>
      </c>
      <c r="SHH1" t="s">
        <v>13246</v>
      </c>
      <c r="SHI1" t="s">
        <v>13247</v>
      </c>
      <c r="SHJ1" t="s">
        <v>13248</v>
      </c>
      <c r="SHK1" t="s">
        <v>13249</v>
      </c>
      <c r="SHL1" t="s">
        <v>13250</v>
      </c>
      <c r="SHM1" t="s">
        <v>13251</v>
      </c>
      <c r="SHN1" t="s">
        <v>13252</v>
      </c>
      <c r="SHO1" t="s">
        <v>13253</v>
      </c>
      <c r="SHP1" t="s">
        <v>13254</v>
      </c>
      <c r="SHQ1" t="s">
        <v>13255</v>
      </c>
      <c r="SHR1" t="s">
        <v>13256</v>
      </c>
      <c r="SHS1" t="s">
        <v>13257</v>
      </c>
      <c r="SHT1" t="s">
        <v>13258</v>
      </c>
      <c r="SHU1" t="s">
        <v>13259</v>
      </c>
      <c r="SHV1" t="s">
        <v>13260</v>
      </c>
      <c r="SHW1" t="s">
        <v>13261</v>
      </c>
      <c r="SHX1" t="s">
        <v>13262</v>
      </c>
      <c r="SHY1" t="s">
        <v>13263</v>
      </c>
      <c r="SHZ1" t="s">
        <v>13264</v>
      </c>
      <c r="SIA1" t="s">
        <v>13265</v>
      </c>
      <c r="SIB1" t="s">
        <v>13266</v>
      </c>
      <c r="SIC1" t="s">
        <v>13267</v>
      </c>
      <c r="SID1" t="s">
        <v>13268</v>
      </c>
      <c r="SIE1" t="s">
        <v>13269</v>
      </c>
      <c r="SIF1" t="s">
        <v>13270</v>
      </c>
      <c r="SIG1" t="s">
        <v>13271</v>
      </c>
      <c r="SIH1" t="s">
        <v>13272</v>
      </c>
      <c r="SII1" t="s">
        <v>13273</v>
      </c>
      <c r="SIJ1" t="s">
        <v>13274</v>
      </c>
      <c r="SIK1" t="s">
        <v>13275</v>
      </c>
      <c r="SIL1" t="s">
        <v>13276</v>
      </c>
      <c r="SIM1" t="s">
        <v>13277</v>
      </c>
      <c r="SIN1" t="s">
        <v>13278</v>
      </c>
      <c r="SIO1" t="s">
        <v>13279</v>
      </c>
      <c r="SIP1" t="s">
        <v>13280</v>
      </c>
      <c r="SIQ1" t="s">
        <v>13281</v>
      </c>
      <c r="SIR1" t="s">
        <v>13282</v>
      </c>
      <c r="SIS1" t="s">
        <v>13283</v>
      </c>
      <c r="SIT1" t="s">
        <v>13284</v>
      </c>
      <c r="SIU1" t="s">
        <v>13285</v>
      </c>
      <c r="SIV1" t="s">
        <v>13286</v>
      </c>
      <c r="SIW1" t="s">
        <v>13287</v>
      </c>
      <c r="SIX1" t="s">
        <v>13288</v>
      </c>
      <c r="SIY1" t="s">
        <v>13289</v>
      </c>
      <c r="SIZ1" t="s">
        <v>13290</v>
      </c>
      <c r="SJA1" t="s">
        <v>13291</v>
      </c>
      <c r="SJB1" t="s">
        <v>13292</v>
      </c>
      <c r="SJC1" t="s">
        <v>13293</v>
      </c>
      <c r="SJD1" t="s">
        <v>13294</v>
      </c>
      <c r="SJE1" t="s">
        <v>13295</v>
      </c>
      <c r="SJF1" t="s">
        <v>13296</v>
      </c>
      <c r="SJG1" t="s">
        <v>13297</v>
      </c>
      <c r="SJH1" t="s">
        <v>13298</v>
      </c>
      <c r="SJI1" t="s">
        <v>13299</v>
      </c>
      <c r="SJJ1" t="s">
        <v>13300</v>
      </c>
      <c r="SJK1" t="s">
        <v>13301</v>
      </c>
      <c r="SJL1" t="s">
        <v>13302</v>
      </c>
      <c r="SJM1" t="s">
        <v>13303</v>
      </c>
      <c r="SJN1" t="s">
        <v>13304</v>
      </c>
      <c r="SJO1" t="s">
        <v>13305</v>
      </c>
      <c r="SJP1" t="s">
        <v>13306</v>
      </c>
      <c r="SJQ1" t="s">
        <v>13307</v>
      </c>
      <c r="SJR1" t="s">
        <v>13308</v>
      </c>
      <c r="SJS1" t="s">
        <v>13309</v>
      </c>
      <c r="SJT1" t="s">
        <v>13310</v>
      </c>
      <c r="SJU1" t="s">
        <v>13311</v>
      </c>
      <c r="SJV1" t="s">
        <v>13312</v>
      </c>
      <c r="SJW1" t="s">
        <v>13313</v>
      </c>
      <c r="SJX1" t="s">
        <v>13314</v>
      </c>
      <c r="SJY1" t="s">
        <v>13315</v>
      </c>
      <c r="SJZ1" t="s">
        <v>13316</v>
      </c>
      <c r="SKA1" t="s">
        <v>13317</v>
      </c>
      <c r="SKB1" t="s">
        <v>13318</v>
      </c>
      <c r="SKC1" t="s">
        <v>13319</v>
      </c>
      <c r="SKD1" t="s">
        <v>13320</v>
      </c>
      <c r="SKE1" t="s">
        <v>13321</v>
      </c>
      <c r="SKF1" t="s">
        <v>13322</v>
      </c>
      <c r="SKG1" t="s">
        <v>13323</v>
      </c>
      <c r="SKH1" t="s">
        <v>13324</v>
      </c>
      <c r="SKI1" t="s">
        <v>13325</v>
      </c>
      <c r="SKJ1" t="s">
        <v>13326</v>
      </c>
      <c r="SKK1" t="s">
        <v>13327</v>
      </c>
      <c r="SKL1" t="s">
        <v>13328</v>
      </c>
      <c r="SKM1" t="s">
        <v>13329</v>
      </c>
      <c r="SKN1" t="s">
        <v>13330</v>
      </c>
      <c r="SKO1" t="s">
        <v>13331</v>
      </c>
      <c r="SKP1" t="s">
        <v>13332</v>
      </c>
      <c r="SKQ1" t="s">
        <v>13333</v>
      </c>
      <c r="SKR1" t="s">
        <v>13334</v>
      </c>
      <c r="SKS1" t="s">
        <v>13335</v>
      </c>
      <c r="SKT1" t="s">
        <v>13336</v>
      </c>
      <c r="SKU1" t="s">
        <v>13337</v>
      </c>
      <c r="SKV1" t="s">
        <v>13338</v>
      </c>
      <c r="SKW1" t="s">
        <v>13339</v>
      </c>
      <c r="SKX1" t="s">
        <v>13340</v>
      </c>
      <c r="SKY1" t="s">
        <v>13341</v>
      </c>
      <c r="SKZ1" t="s">
        <v>13342</v>
      </c>
      <c r="SLA1" t="s">
        <v>13343</v>
      </c>
      <c r="SLB1" t="s">
        <v>13344</v>
      </c>
      <c r="SLC1" t="s">
        <v>13345</v>
      </c>
      <c r="SLD1" t="s">
        <v>13346</v>
      </c>
      <c r="SLE1" t="s">
        <v>13347</v>
      </c>
      <c r="SLF1" t="s">
        <v>13348</v>
      </c>
      <c r="SLG1" t="s">
        <v>13349</v>
      </c>
      <c r="SLH1" t="s">
        <v>13350</v>
      </c>
      <c r="SLI1" t="s">
        <v>13351</v>
      </c>
      <c r="SLJ1" t="s">
        <v>13352</v>
      </c>
      <c r="SLK1" t="s">
        <v>13353</v>
      </c>
      <c r="SLL1" t="s">
        <v>13354</v>
      </c>
      <c r="SLM1" t="s">
        <v>13355</v>
      </c>
      <c r="SLN1" t="s">
        <v>13356</v>
      </c>
      <c r="SLO1" t="s">
        <v>13357</v>
      </c>
      <c r="SLP1" t="s">
        <v>13358</v>
      </c>
      <c r="SLQ1" t="s">
        <v>13359</v>
      </c>
      <c r="SLR1" t="s">
        <v>13360</v>
      </c>
      <c r="SLS1" t="s">
        <v>13361</v>
      </c>
      <c r="SLT1" t="s">
        <v>13362</v>
      </c>
      <c r="SLU1" t="s">
        <v>13363</v>
      </c>
      <c r="SLV1" t="s">
        <v>13364</v>
      </c>
      <c r="SLW1" t="s">
        <v>13365</v>
      </c>
      <c r="SLX1" t="s">
        <v>13366</v>
      </c>
      <c r="SLY1" t="s">
        <v>13367</v>
      </c>
      <c r="SLZ1" t="s">
        <v>13368</v>
      </c>
      <c r="SMA1" t="s">
        <v>13369</v>
      </c>
      <c r="SMB1" t="s">
        <v>13370</v>
      </c>
      <c r="SMC1" t="s">
        <v>13371</v>
      </c>
      <c r="SMD1" t="s">
        <v>13372</v>
      </c>
      <c r="SME1" t="s">
        <v>13373</v>
      </c>
      <c r="SMF1" t="s">
        <v>13374</v>
      </c>
      <c r="SMG1" t="s">
        <v>13375</v>
      </c>
      <c r="SMH1" t="s">
        <v>13376</v>
      </c>
      <c r="SMI1" t="s">
        <v>13377</v>
      </c>
      <c r="SMJ1" t="s">
        <v>13378</v>
      </c>
      <c r="SMK1" t="s">
        <v>13379</v>
      </c>
      <c r="SML1" t="s">
        <v>13380</v>
      </c>
      <c r="SMM1" t="s">
        <v>13381</v>
      </c>
      <c r="SMN1" t="s">
        <v>13382</v>
      </c>
      <c r="SMO1" t="s">
        <v>13383</v>
      </c>
      <c r="SMP1" t="s">
        <v>13384</v>
      </c>
      <c r="SMQ1" t="s">
        <v>13385</v>
      </c>
      <c r="SMR1" t="s">
        <v>13386</v>
      </c>
      <c r="SMS1" t="s">
        <v>13387</v>
      </c>
      <c r="SMT1" t="s">
        <v>13388</v>
      </c>
      <c r="SMU1" t="s">
        <v>13389</v>
      </c>
      <c r="SMV1" t="s">
        <v>13390</v>
      </c>
      <c r="SMW1" t="s">
        <v>13391</v>
      </c>
      <c r="SMX1" t="s">
        <v>13392</v>
      </c>
      <c r="SMY1" t="s">
        <v>13393</v>
      </c>
      <c r="SMZ1" t="s">
        <v>13394</v>
      </c>
      <c r="SNA1" t="s">
        <v>13395</v>
      </c>
      <c r="SNB1" t="s">
        <v>13396</v>
      </c>
      <c r="SNC1" t="s">
        <v>13397</v>
      </c>
      <c r="SND1" t="s">
        <v>13398</v>
      </c>
      <c r="SNE1" t="s">
        <v>13399</v>
      </c>
      <c r="SNF1" t="s">
        <v>13400</v>
      </c>
      <c r="SNG1" t="s">
        <v>13401</v>
      </c>
      <c r="SNH1" t="s">
        <v>13402</v>
      </c>
      <c r="SNI1" t="s">
        <v>13403</v>
      </c>
      <c r="SNJ1" t="s">
        <v>13404</v>
      </c>
      <c r="SNK1" t="s">
        <v>13405</v>
      </c>
      <c r="SNL1" t="s">
        <v>13406</v>
      </c>
      <c r="SNM1" t="s">
        <v>13407</v>
      </c>
      <c r="SNN1" t="s">
        <v>13408</v>
      </c>
      <c r="SNO1" t="s">
        <v>13409</v>
      </c>
      <c r="SNP1" t="s">
        <v>13410</v>
      </c>
      <c r="SNQ1" t="s">
        <v>13411</v>
      </c>
      <c r="SNR1" t="s">
        <v>13412</v>
      </c>
      <c r="SNS1" t="s">
        <v>13413</v>
      </c>
      <c r="SNT1" t="s">
        <v>13414</v>
      </c>
      <c r="SNU1" t="s">
        <v>13415</v>
      </c>
      <c r="SNV1" t="s">
        <v>13416</v>
      </c>
      <c r="SNW1" t="s">
        <v>13417</v>
      </c>
      <c r="SNX1" t="s">
        <v>13418</v>
      </c>
      <c r="SNY1" t="s">
        <v>13419</v>
      </c>
      <c r="SNZ1" t="s">
        <v>13420</v>
      </c>
      <c r="SOA1" t="s">
        <v>13421</v>
      </c>
      <c r="SOB1" t="s">
        <v>13422</v>
      </c>
      <c r="SOC1" t="s">
        <v>13423</v>
      </c>
      <c r="SOD1" t="s">
        <v>13424</v>
      </c>
      <c r="SOE1" t="s">
        <v>13425</v>
      </c>
      <c r="SOF1" t="s">
        <v>13426</v>
      </c>
      <c r="SOG1" t="s">
        <v>13427</v>
      </c>
      <c r="SOH1" t="s">
        <v>13428</v>
      </c>
      <c r="SOI1" t="s">
        <v>13429</v>
      </c>
      <c r="SOJ1" t="s">
        <v>13430</v>
      </c>
      <c r="SOK1" t="s">
        <v>13431</v>
      </c>
      <c r="SOL1" t="s">
        <v>13432</v>
      </c>
      <c r="SOM1" t="s">
        <v>13433</v>
      </c>
      <c r="SON1" t="s">
        <v>13434</v>
      </c>
      <c r="SOO1" t="s">
        <v>13435</v>
      </c>
      <c r="SOP1" t="s">
        <v>13436</v>
      </c>
      <c r="SOQ1" t="s">
        <v>13437</v>
      </c>
      <c r="SOR1" t="s">
        <v>13438</v>
      </c>
      <c r="SOS1" t="s">
        <v>13439</v>
      </c>
      <c r="SOT1" t="s">
        <v>13440</v>
      </c>
      <c r="SOU1" t="s">
        <v>13441</v>
      </c>
      <c r="SOV1" t="s">
        <v>13442</v>
      </c>
      <c r="SOW1" t="s">
        <v>13443</v>
      </c>
      <c r="SOX1" t="s">
        <v>13444</v>
      </c>
      <c r="SOY1" t="s">
        <v>13445</v>
      </c>
      <c r="SOZ1" t="s">
        <v>13446</v>
      </c>
      <c r="SPA1" t="s">
        <v>13447</v>
      </c>
      <c r="SPB1" t="s">
        <v>13448</v>
      </c>
      <c r="SPC1" t="s">
        <v>13449</v>
      </c>
      <c r="SPD1" t="s">
        <v>13450</v>
      </c>
      <c r="SPE1" t="s">
        <v>13451</v>
      </c>
      <c r="SPF1" t="s">
        <v>13452</v>
      </c>
      <c r="SPG1" t="s">
        <v>13453</v>
      </c>
      <c r="SPH1" t="s">
        <v>13454</v>
      </c>
      <c r="SPI1" t="s">
        <v>13455</v>
      </c>
      <c r="SPJ1" t="s">
        <v>13456</v>
      </c>
      <c r="SPK1" t="s">
        <v>13457</v>
      </c>
      <c r="SPL1" t="s">
        <v>13458</v>
      </c>
      <c r="SPM1" t="s">
        <v>13459</v>
      </c>
      <c r="SPN1" t="s">
        <v>13460</v>
      </c>
      <c r="SPO1" t="s">
        <v>13461</v>
      </c>
      <c r="SPP1" t="s">
        <v>13462</v>
      </c>
      <c r="SPQ1" t="s">
        <v>13463</v>
      </c>
      <c r="SPR1" t="s">
        <v>13464</v>
      </c>
      <c r="SPS1" t="s">
        <v>13465</v>
      </c>
      <c r="SPT1" t="s">
        <v>13466</v>
      </c>
      <c r="SPU1" t="s">
        <v>13467</v>
      </c>
      <c r="SPV1" t="s">
        <v>13468</v>
      </c>
      <c r="SPW1" t="s">
        <v>13469</v>
      </c>
      <c r="SPX1" t="s">
        <v>13470</v>
      </c>
      <c r="SPY1" t="s">
        <v>13471</v>
      </c>
      <c r="SPZ1" t="s">
        <v>13472</v>
      </c>
      <c r="SQA1" t="s">
        <v>13473</v>
      </c>
      <c r="SQB1" t="s">
        <v>13474</v>
      </c>
      <c r="SQC1" t="s">
        <v>13475</v>
      </c>
      <c r="SQD1" t="s">
        <v>13476</v>
      </c>
      <c r="SQE1" t="s">
        <v>13477</v>
      </c>
      <c r="SQF1" t="s">
        <v>13478</v>
      </c>
      <c r="SQG1" t="s">
        <v>13479</v>
      </c>
      <c r="SQH1" t="s">
        <v>13480</v>
      </c>
      <c r="SQI1" t="s">
        <v>13481</v>
      </c>
      <c r="SQJ1" t="s">
        <v>13482</v>
      </c>
      <c r="SQK1" t="s">
        <v>13483</v>
      </c>
      <c r="SQL1" t="s">
        <v>13484</v>
      </c>
      <c r="SQM1" t="s">
        <v>13485</v>
      </c>
      <c r="SQN1" t="s">
        <v>13486</v>
      </c>
      <c r="SQO1" t="s">
        <v>13487</v>
      </c>
      <c r="SQP1" t="s">
        <v>13488</v>
      </c>
      <c r="SQQ1" t="s">
        <v>13489</v>
      </c>
      <c r="SQR1" t="s">
        <v>13490</v>
      </c>
      <c r="SQS1" t="s">
        <v>13491</v>
      </c>
      <c r="SQT1" t="s">
        <v>13492</v>
      </c>
      <c r="SQU1" t="s">
        <v>13493</v>
      </c>
      <c r="SQV1" t="s">
        <v>13494</v>
      </c>
      <c r="SQW1" t="s">
        <v>13495</v>
      </c>
      <c r="SQX1" t="s">
        <v>13496</v>
      </c>
      <c r="SQY1" t="s">
        <v>13497</v>
      </c>
      <c r="SQZ1" t="s">
        <v>13498</v>
      </c>
      <c r="SRA1" t="s">
        <v>13499</v>
      </c>
      <c r="SRB1" t="s">
        <v>13500</v>
      </c>
      <c r="SRC1" t="s">
        <v>13501</v>
      </c>
      <c r="SRD1" t="s">
        <v>13502</v>
      </c>
      <c r="SRE1" t="s">
        <v>13503</v>
      </c>
      <c r="SRF1" t="s">
        <v>13504</v>
      </c>
      <c r="SRG1" t="s">
        <v>13505</v>
      </c>
      <c r="SRH1" t="s">
        <v>13506</v>
      </c>
      <c r="SRI1" t="s">
        <v>13507</v>
      </c>
      <c r="SRJ1" t="s">
        <v>13508</v>
      </c>
      <c r="SRK1" t="s">
        <v>13509</v>
      </c>
      <c r="SRL1" t="s">
        <v>13510</v>
      </c>
      <c r="SRM1" t="s">
        <v>13511</v>
      </c>
      <c r="SRN1" t="s">
        <v>13512</v>
      </c>
      <c r="SRO1" t="s">
        <v>13513</v>
      </c>
      <c r="SRP1" t="s">
        <v>13514</v>
      </c>
      <c r="SRQ1" t="s">
        <v>13515</v>
      </c>
      <c r="SRR1" t="s">
        <v>13516</v>
      </c>
      <c r="SRS1" t="s">
        <v>13517</v>
      </c>
      <c r="SRT1" t="s">
        <v>13518</v>
      </c>
      <c r="SRU1" t="s">
        <v>13519</v>
      </c>
      <c r="SRV1" t="s">
        <v>13520</v>
      </c>
      <c r="SRW1" t="s">
        <v>13521</v>
      </c>
      <c r="SRX1" t="s">
        <v>13522</v>
      </c>
      <c r="SRY1" t="s">
        <v>13523</v>
      </c>
      <c r="SRZ1" t="s">
        <v>13524</v>
      </c>
      <c r="SSA1" t="s">
        <v>13525</v>
      </c>
      <c r="SSB1" t="s">
        <v>13526</v>
      </c>
      <c r="SSC1" t="s">
        <v>13527</v>
      </c>
      <c r="SSD1" t="s">
        <v>13528</v>
      </c>
      <c r="SSE1" t="s">
        <v>13529</v>
      </c>
      <c r="SSF1" t="s">
        <v>13530</v>
      </c>
      <c r="SSG1" t="s">
        <v>13531</v>
      </c>
      <c r="SSH1" t="s">
        <v>13532</v>
      </c>
      <c r="SSI1" t="s">
        <v>13533</v>
      </c>
      <c r="SSJ1" t="s">
        <v>13534</v>
      </c>
      <c r="SSK1" t="s">
        <v>13535</v>
      </c>
      <c r="SSL1" t="s">
        <v>13536</v>
      </c>
      <c r="SSM1" t="s">
        <v>13537</v>
      </c>
      <c r="SSN1" t="s">
        <v>13538</v>
      </c>
      <c r="SSO1" t="s">
        <v>13539</v>
      </c>
      <c r="SSP1" t="s">
        <v>13540</v>
      </c>
      <c r="SSQ1" t="s">
        <v>13541</v>
      </c>
      <c r="SSR1" t="s">
        <v>13542</v>
      </c>
      <c r="SSS1" t="s">
        <v>13543</v>
      </c>
      <c r="SST1" t="s">
        <v>13544</v>
      </c>
      <c r="SSU1" t="s">
        <v>13545</v>
      </c>
      <c r="SSV1" t="s">
        <v>13546</v>
      </c>
      <c r="SSW1" t="s">
        <v>13547</v>
      </c>
      <c r="SSX1" t="s">
        <v>13548</v>
      </c>
      <c r="SSY1" t="s">
        <v>13549</v>
      </c>
      <c r="SSZ1" t="s">
        <v>13550</v>
      </c>
      <c r="STA1" t="s">
        <v>13551</v>
      </c>
      <c r="STB1" t="s">
        <v>13552</v>
      </c>
      <c r="STC1" t="s">
        <v>13553</v>
      </c>
      <c r="STD1" t="s">
        <v>13554</v>
      </c>
      <c r="STE1" t="s">
        <v>13555</v>
      </c>
      <c r="STF1" t="s">
        <v>13556</v>
      </c>
      <c r="STG1" t="s">
        <v>13557</v>
      </c>
      <c r="STH1" t="s">
        <v>13558</v>
      </c>
      <c r="STI1" t="s">
        <v>13559</v>
      </c>
      <c r="STJ1" t="s">
        <v>13560</v>
      </c>
      <c r="STK1" t="s">
        <v>13561</v>
      </c>
      <c r="STL1" t="s">
        <v>13562</v>
      </c>
      <c r="STM1" t="s">
        <v>13563</v>
      </c>
      <c r="STN1" t="s">
        <v>13564</v>
      </c>
      <c r="STO1" t="s">
        <v>13565</v>
      </c>
      <c r="STP1" t="s">
        <v>13566</v>
      </c>
      <c r="STQ1" t="s">
        <v>13567</v>
      </c>
      <c r="STR1" t="s">
        <v>13568</v>
      </c>
      <c r="STS1" t="s">
        <v>13569</v>
      </c>
      <c r="STT1" t="s">
        <v>13570</v>
      </c>
      <c r="STU1" t="s">
        <v>13571</v>
      </c>
      <c r="STV1" t="s">
        <v>13572</v>
      </c>
      <c r="STW1" t="s">
        <v>13573</v>
      </c>
      <c r="STX1" t="s">
        <v>13574</v>
      </c>
      <c r="STY1" t="s">
        <v>13575</v>
      </c>
      <c r="STZ1" t="s">
        <v>13576</v>
      </c>
      <c r="SUA1" t="s">
        <v>13577</v>
      </c>
      <c r="SUB1" t="s">
        <v>13578</v>
      </c>
      <c r="SUC1" t="s">
        <v>13579</v>
      </c>
      <c r="SUD1" t="s">
        <v>13580</v>
      </c>
      <c r="SUE1" t="s">
        <v>13581</v>
      </c>
      <c r="SUF1" t="s">
        <v>13582</v>
      </c>
      <c r="SUG1" t="s">
        <v>13583</v>
      </c>
      <c r="SUH1" t="s">
        <v>13584</v>
      </c>
      <c r="SUI1" t="s">
        <v>13585</v>
      </c>
      <c r="SUJ1" t="s">
        <v>13586</v>
      </c>
      <c r="SUK1" t="s">
        <v>13587</v>
      </c>
      <c r="SUL1" t="s">
        <v>13588</v>
      </c>
      <c r="SUM1" t="s">
        <v>13589</v>
      </c>
      <c r="SUN1" t="s">
        <v>13590</v>
      </c>
      <c r="SUO1" t="s">
        <v>13591</v>
      </c>
      <c r="SUP1" t="s">
        <v>13592</v>
      </c>
      <c r="SUQ1" t="s">
        <v>13593</v>
      </c>
      <c r="SUR1" t="s">
        <v>13594</v>
      </c>
      <c r="SUS1" t="s">
        <v>13595</v>
      </c>
      <c r="SUT1" t="s">
        <v>13596</v>
      </c>
      <c r="SUU1" t="s">
        <v>13597</v>
      </c>
      <c r="SUV1" t="s">
        <v>13598</v>
      </c>
      <c r="SUW1" t="s">
        <v>13599</v>
      </c>
      <c r="SUX1" t="s">
        <v>13600</v>
      </c>
      <c r="SUY1" t="s">
        <v>13601</v>
      </c>
      <c r="SUZ1" t="s">
        <v>13602</v>
      </c>
      <c r="SVA1" t="s">
        <v>13603</v>
      </c>
      <c r="SVB1" t="s">
        <v>13604</v>
      </c>
      <c r="SVC1" t="s">
        <v>13605</v>
      </c>
      <c r="SVD1" t="s">
        <v>13606</v>
      </c>
      <c r="SVE1" t="s">
        <v>13607</v>
      </c>
      <c r="SVF1" t="s">
        <v>13608</v>
      </c>
      <c r="SVG1" t="s">
        <v>13609</v>
      </c>
      <c r="SVH1" t="s">
        <v>13610</v>
      </c>
      <c r="SVI1" t="s">
        <v>13611</v>
      </c>
      <c r="SVJ1" t="s">
        <v>13612</v>
      </c>
      <c r="SVK1" t="s">
        <v>13613</v>
      </c>
      <c r="SVL1" t="s">
        <v>13614</v>
      </c>
      <c r="SVM1" t="s">
        <v>13615</v>
      </c>
      <c r="SVN1" t="s">
        <v>13616</v>
      </c>
      <c r="SVO1" t="s">
        <v>13617</v>
      </c>
      <c r="SVP1" t="s">
        <v>13618</v>
      </c>
      <c r="SVQ1" t="s">
        <v>13619</v>
      </c>
      <c r="SVR1" t="s">
        <v>13620</v>
      </c>
      <c r="SVS1" t="s">
        <v>13621</v>
      </c>
      <c r="SVT1" t="s">
        <v>13622</v>
      </c>
      <c r="SVU1" t="s">
        <v>13623</v>
      </c>
      <c r="SVV1" t="s">
        <v>13624</v>
      </c>
      <c r="SVW1" t="s">
        <v>13625</v>
      </c>
      <c r="SVX1" t="s">
        <v>13626</v>
      </c>
      <c r="SVY1" t="s">
        <v>13627</v>
      </c>
      <c r="SVZ1" t="s">
        <v>13628</v>
      </c>
      <c r="SWA1" t="s">
        <v>13629</v>
      </c>
      <c r="SWB1" t="s">
        <v>13630</v>
      </c>
      <c r="SWC1" t="s">
        <v>13631</v>
      </c>
      <c r="SWD1" t="s">
        <v>13632</v>
      </c>
      <c r="SWE1" t="s">
        <v>13633</v>
      </c>
      <c r="SWF1" t="s">
        <v>13634</v>
      </c>
      <c r="SWG1" t="s">
        <v>13635</v>
      </c>
      <c r="SWH1" t="s">
        <v>13636</v>
      </c>
      <c r="SWI1" t="s">
        <v>13637</v>
      </c>
      <c r="SWJ1" t="s">
        <v>13638</v>
      </c>
      <c r="SWK1" t="s">
        <v>13639</v>
      </c>
      <c r="SWL1" t="s">
        <v>13640</v>
      </c>
      <c r="SWM1" t="s">
        <v>13641</v>
      </c>
      <c r="SWN1" t="s">
        <v>13642</v>
      </c>
      <c r="SWO1" t="s">
        <v>13643</v>
      </c>
      <c r="SWP1" t="s">
        <v>13644</v>
      </c>
      <c r="SWQ1" t="s">
        <v>13645</v>
      </c>
      <c r="SWR1" t="s">
        <v>13646</v>
      </c>
      <c r="SWS1" t="s">
        <v>13647</v>
      </c>
      <c r="SWT1" t="s">
        <v>13648</v>
      </c>
      <c r="SWU1" t="s">
        <v>13649</v>
      </c>
      <c r="SWV1" t="s">
        <v>13650</v>
      </c>
      <c r="SWW1" t="s">
        <v>13651</v>
      </c>
      <c r="SWX1" t="s">
        <v>13652</v>
      </c>
      <c r="SWY1" t="s">
        <v>13653</v>
      </c>
      <c r="SWZ1" t="s">
        <v>13654</v>
      </c>
      <c r="SXA1" t="s">
        <v>13655</v>
      </c>
      <c r="SXB1" t="s">
        <v>13656</v>
      </c>
      <c r="SXC1" t="s">
        <v>13657</v>
      </c>
      <c r="SXD1" t="s">
        <v>13658</v>
      </c>
      <c r="SXE1" t="s">
        <v>13659</v>
      </c>
      <c r="SXF1" t="s">
        <v>13660</v>
      </c>
      <c r="SXG1" t="s">
        <v>13661</v>
      </c>
      <c r="SXH1" t="s">
        <v>13662</v>
      </c>
      <c r="SXI1" t="s">
        <v>13663</v>
      </c>
      <c r="SXJ1" t="s">
        <v>13664</v>
      </c>
      <c r="SXK1" t="s">
        <v>13665</v>
      </c>
      <c r="SXL1" t="s">
        <v>13666</v>
      </c>
      <c r="SXM1" t="s">
        <v>13667</v>
      </c>
      <c r="SXN1" t="s">
        <v>13668</v>
      </c>
      <c r="SXO1" t="s">
        <v>13669</v>
      </c>
      <c r="SXP1" t="s">
        <v>13670</v>
      </c>
      <c r="SXQ1" t="s">
        <v>13671</v>
      </c>
      <c r="SXR1" t="s">
        <v>13672</v>
      </c>
      <c r="SXS1" t="s">
        <v>13673</v>
      </c>
      <c r="SXT1" t="s">
        <v>13674</v>
      </c>
      <c r="SXU1" t="s">
        <v>13675</v>
      </c>
      <c r="SXV1" t="s">
        <v>13676</v>
      </c>
      <c r="SXW1" t="s">
        <v>13677</v>
      </c>
      <c r="SXX1" t="s">
        <v>13678</v>
      </c>
      <c r="SXY1" t="s">
        <v>13679</v>
      </c>
      <c r="SXZ1" t="s">
        <v>13680</v>
      </c>
      <c r="SYA1" t="s">
        <v>13681</v>
      </c>
      <c r="SYB1" t="s">
        <v>13682</v>
      </c>
      <c r="SYC1" t="s">
        <v>13683</v>
      </c>
      <c r="SYD1" t="s">
        <v>13684</v>
      </c>
      <c r="SYE1" t="s">
        <v>13685</v>
      </c>
      <c r="SYF1" t="s">
        <v>13686</v>
      </c>
      <c r="SYG1" t="s">
        <v>13687</v>
      </c>
      <c r="SYH1" t="s">
        <v>13688</v>
      </c>
      <c r="SYI1" t="s">
        <v>13689</v>
      </c>
      <c r="SYJ1" t="s">
        <v>13690</v>
      </c>
      <c r="SYK1" t="s">
        <v>13691</v>
      </c>
      <c r="SYL1" t="s">
        <v>13692</v>
      </c>
      <c r="SYM1" t="s">
        <v>13693</v>
      </c>
      <c r="SYN1" t="s">
        <v>13694</v>
      </c>
      <c r="SYO1" t="s">
        <v>13695</v>
      </c>
      <c r="SYP1" t="s">
        <v>13696</v>
      </c>
      <c r="SYQ1" t="s">
        <v>13697</v>
      </c>
      <c r="SYR1" t="s">
        <v>13698</v>
      </c>
      <c r="SYS1" t="s">
        <v>13699</v>
      </c>
      <c r="SYT1" t="s">
        <v>13700</v>
      </c>
      <c r="SYU1" t="s">
        <v>13701</v>
      </c>
      <c r="SYV1" t="s">
        <v>13702</v>
      </c>
      <c r="SYW1" t="s">
        <v>13703</v>
      </c>
      <c r="SYX1" t="s">
        <v>13704</v>
      </c>
      <c r="SYY1" t="s">
        <v>13705</v>
      </c>
      <c r="SYZ1" t="s">
        <v>13706</v>
      </c>
      <c r="SZA1" t="s">
        <v>13707</v>
      </c>
      <c r="SZB1" t="s">
        <v>13708</v>
      </c>
      <c r="SZC1" t="s">
        <v>13709</v>
      </c>
      <c r="SZD1" t="s">
        <v>13710</v>
      </c>
      <c r="SZE1" t="s">
        <v>13711</v>
      </c>
      <c r="SZF1" t="s">
        <v>13712</v>
      </c>
      <c r="SZG1" t="s">
        <v>13713</v>
      </c>
      <c r="SZH1" t="s">
        <v>13714</v>
      </c>
      <c r="SZI1" t="s">
        <v>13715</v>
      </c>
      <c r="SZJ1" t="s">
        <v>13716</v>
      </c>
      <c r="SZK1" t="s">
        <v>13717</v>
      </c>
      <c r="SZL1" t="s">
        <v>13718</v>
      </c>
      <c r="SZM1" t="s">
        <v>13719</v>
      </c>
      <c r="SZN1" t="s">
        <v>13720</v>
      </c>
      <c r="SZO1" t="s">
        <v>13721</v>
      </c>
      <c r="SZP1" t="s">
        <v>13722</v>
      </c>
      <c r="SZQ1" t="s">
        <v>13723</v>
      </c>
      <c r="SZR1" t="s">
        <v>13724</v>
      </c>
      <c r="SZS1" t="s">
        <v>13725</v>
      </c>
      <c r="SZT1" t="s">
        <v>13726</v>
      </c>
      <c r="SZU1" t="s">
        <v>13727</v>
      </c>
      <c r="SZV1" t="s">
        <v>13728</v>
      </c>
      <c r="SZW1" t="s">
        <v>13729</v>
      </c>
      <c r="SZX1" t="s">
        <v>13730</v>
      </c>
      <c r="SZY1" t="s">
        <v>13731</v>
      </c>
      <c r="SZZ1" t="s">
        <v>13732</v>
      </c>
      <c r="TAA1" t="s">
        <v>13733</v>
      </c>
      <c r="TAB1" t="s">
        <v>13734</v>
      </c>
      <c r="TAC1" t="s">
        <v>13735</v>
      </c>
      <c r="TAD1" t="s">
        <v>13736</v>
      </c>
      <c r="TAE1" t="s">
        <v>13737</v>
      </c>
      <c r="TAF1" t="s">
        <v>13738</v>
      </c>
      <c r="TAG1" t="s">
        <v>13739</v>
      </c>
      <c r="TAH1" t="s">
        <v>13740</v>
      </c>
      <c r="TAI1" t="s">
        <v>13741</v>
      </c>
      <c r="TAJ1" t="s">
        <v>13742</v>
      </c>
      <c r="TAK1" t="s">
        <v>13743</v>
      </c>
      <c r="TAL1" t="s">
        <v>13744</v>
      </c>
      <c r="TAM1" t="s">
        <v>13745</v>
      </c>
      <c r="TAN1" t="s">
        <v>13746</v>
      </c>
      <c r="TAO1" t="s">
        <v>13747</v>
      </c>
      <c r="TAP1" t="s">
        <v>13748</v>
      </c>
      <c r="TAQ1" t="s">
        <v>13749</v>
      </c>
      <c r="TAR1" t="s">
        <v>13750</v>
      </c>
      <c r="TAS1" t="s">
        <v>13751</v>
      </c>
      <c r="TAT1" t="s">
        <v>13752</v>
      </c>
      <c r="TAU1" t="s">
        <v>13753</v>
      </c>
      <c r="TAV1" t="s">
        <v>13754</v>
      </c>
      <c r="TAW1" t="s">
        <v>13755</v>
      </c>
      <c r="TAX1" t="s">
        <v>13756</v>
      </c>
      <c r="TAY1" t="s">
        <v>13757</v>
      </c>
      <c r="TAZ1" t="s">
        <v>13758</v>
      </c>
      <c r="TBA1" t="s">
        <v>13759</v>
      </c>
      <c r="TBB1" t="s">
        <v>13760</v>
      </c>
      <c r="TBC1" t="s">
        <v>13761</v>
      </c>
      <c r="TBD1" t="s">
        <v>13762</v>
      </c>
      <c r="TBE1" t="s">
        <v>13763</v>
      </c>
      <c r="TBF1" t="s">
        <v>13764</v>
      </c>
      <c r="TBG1" t="s">
        <v>13765</v>
      </c>
      <c r="TBH1" t="s">
        <v>13766</v>
      </c>
      <c r="TBI1" t="s">
        <v>13767</v>
      </c>
      <c r="TBJ1" t="s">
        <v>13768</v>
      </c>
      <c r="TBK1" t="s">
        <v>13769</v>
      </c>
      <c r="TBL1" t="s">
        <v>13770</v>
      </c>
      <c r="TBM1" t="s">
        <v>13771</v>
      </c>
      <c r="TBN1" t="s">
        <v>13772</v>
      </c>
      <c r="TBO1" t="s">
        <v>13773</v>
      </c>
      <c r="TBP1" t="s">
        <v>13774</v>
      </c>
      <c r="TBQ1" t="s">
        <v>13775</v>
      </c>
      <c r="TBR1" t="s">
        <v>13776</v>
      </c>
      <c r="TBS1" t="s">
        <v>13777</v>
      </c>
      <c r="TBT1" t="s">
        <v>13778</v>
      </c>
      <c r="TBU1" t="s">
        <v>13779</v>
      </c>
      <c r="TBV1" t="s">
        <v>13780</v>
      </c>
      <c r="TBW1" t="s">
        <v>13781</v>
      </c>
      <c r="TBX1" t="s">
        <v>13782</v>
      </c>
      <c r="TBY1" t="s">
        <v>13783</v>
      </c>
      <c r="TBZ1" t="s">
        <v>13784</v>
      </c>
      <c r="TCA1" t="s">
        <v>13785</v>
      </c>
      <c r="TCB1" t="s">
        <v>13786</v>
      </c>
      <c r="TCC1" t="s">
        <v>13787</v>
      </c>
      <c r="TCD1" t="s">
        <v>13788</v>
      </c>
      <c r="TCE1" t="s">
        <v>13789</v>
      </c>
      <c r="TCF1" t="s">
        <v>13790</v>
      </c>
      <c r="TCG1" t="s">
        <v>13791</v>
      </c>
      <c r="TCH1" t="s">
        <v>13792</v>
      </c>
      <c r="TCI1" t="s">
        <v>13793</v>
      </c>
      <c r="TCJ1" t="s">
        <v>13794</v>
      </c>
      <c r="TCK1" t="s">
        <v>13795</v>
      </c>
      <c r="TCL1" t="s">
        <v>13796</v>
      </c>
      <c r="TCM1" t="s">
        <v>13797</v>
      </c>
      <c r="TCN1" t="s">
        <v>13798</v>
      </c>
      <c r="TCO1" t="s">
        <v>13799</v>
      </c>
      <c r="TCP1" t="s">
        <v>13800</v>
      </c>
      <c r="TCQ1" t="s">
        <v>13801</v>
      </c>
      <c r="TCR1" t="s">
        <v>13802</v>
      </c>
      <c r="TCS1" t="s">
        <v>13803</v>
      </c>
      <c r="TCT1" t="s">
        <v>13804</v>
      </c>
      <c r="TCU1" t="s">
        <v>13805</v>
      </c>
      <c r="TCV1" t="s">
        <v>13806</v>
      </c>
      <c r="TCW1" t="s">
        <v>13807</v>
      </c>
      <c r="TCX1" t="s">
        <v>13808</v>
      </c>
      <c r="TCY1" t="s">
        <v>13809</v>
      </c>
      <c r="TCZ1" t="s">
        <v>13810</v>
      </c>
      <c r="TDA1" t="s">
        <v>13811</v>
      </c>
      <c r="TDB1" t="s">
        <v>13812</v>
      </c>
      <c r="TDC1" t="s">
        <v>13813</v>
      </c>
      <c r="TDD1" t="s">
        <v>13814</v>
      </c>
      <c r="TDE1" t="s">
        <v>13815</v>
      </c>
      <c r="TDF1" t="s">
        <v>13816</v>
      </c>
      <c r="TDG1" t="s">
        <v>13817</v>
      </c>
      <c r="TDH1" t="s">
        <v>13818</v>
      </c>
      <c r="TDI1" t="s">
        <v>13819</v>
      </c>
      <c r="TDJ1" t="s">
        <v>13820</v>
      </c>
      <c r="TDK1" t="s">
        <v>13821</v>
      </c>
      <c r="TDL1" t="s">
        <v>13822</v>
      </c>
      <c r="TDM1" t="s">
        <v>13823</v>
      </c>
      <c r="TDN1" t="s">
        <v>13824</v>
      </c>
      <c r="TDO1" t="s">
        <v>13825</v>
      </c>
      <c r="TDP1" t="s">
        <v>13826</v>
      </c>
      <c r="TDQ1" t="s">
        <v>13827</v>
      </c>
      <c r="TDR1" t="s">
        <v>13828</v>
      </c>
      <c r="TDS1" t="s">
        <v>13829</v>
      </c>
      <c r="TDT1" t="s">
        <v>13830</v>
      </c>
      <c r="TDU1" t="s">
        <v>13831</v>
      </c>
      <c r="TDV1" t="s">
        <v>13832</v>
      </c>
      <c r="TDW1" t="s">
        <v>13833</v>
      </c>
      <c r="TDX1" t="s">
        <v>13834</v>
      </c>
      <c r="TDY1" t="s">
        <v>13835</v>
      </c>
      <c r="TDZ1" t="s">
        <v>13836</v>
      </c>
      <c r="TEA1" t="s">
        <v>13837</v>
      </c>
      <c r="TEB1" t="s">
        <v>13838</v>
      </c>
      <c r="TEC1" t="s">
        <v>13839</v>
      </c>
      <c r="TED1" t="s">
        <v>13840</v>
      </c>
      <c r="TEE1" t="s">
        <v>13841</v>
      </c>
      <c r="TEF1" t="s">
        <v>13842</v>
      </c>
      <c r="TEG1" t="s">
        <v>13843</v>
      </c>
      <c r="TEH1" t="s">
        <v>13844</v>
      </c>
      <c r="TEI1" t="s">
        <v>13845</v>
      </c>
      <c r="TEJ1" t="s">
        <v>13846</v>
      </c>
      <c r="TEK1" t="s">
        <v>13847</v>
      </c>
      <c r="TEL1" t="s">
        <v>13848</v>
      </c>
      <c r="TEM1" t="s">
        <v>13849</v>
      </c>
      <c r="TEN1" t="s">
        <v>13850</v>
      </c>
      <c r="TEO1" t="s">
        <v>13851</v>
      </c>
      <c r="TEP1" t="s">
        <v>13852</v>
      </c>
      <c r="TEQ1" t="s">
        <v>13853</v>
      </c>
      <c r="TER1" t="s">
        <v>13854</v>
      </c>
      <c r="TES1" t="s">
        <v>13855</v>
      </c>
      <c r="TET1" t="s">
        <v>13856</v>
      </c>
      <c r="TEU1" t="s">
        <v>13857</v>
      </c>
      <c r="TEV1" t="s">
        <v>13858</v>
      </c>
      <c r="TEW1" t="s">
        <v>13859</v>
      </c>
      <c r="TEX1" t="s">
        <v>13860</v>
      </c>
      <c r="TEY1" t="s">
        <v>13861</v>
      </c>
      <c r="TEZ1" t="s">
        <v>13862</v>
      </c>
      <c r="TFA1" t="s">
        <v>13863</v>
      </c>
      <c r="TFB1" t="s">
        <v>13864</v>
      </c>
      <c r="TFC1" t="s">
        <v>13865</v>
      </c>
      <c r="TFD1" t="s">
        <v>13866</v>
      </c>
      <c r="TFE1" t="s">
        <v>13867</v>
      </c>
      <c r="TFF1" t="s">
        <v>13868</v>
      </c>
      <c r="TFG1" t="s">
        <v>13869</v>
      </c>
      <c r="TFH1" t="s">
        <v>13870</v>
      </c>
      <c r="TFI1" t="s">
        <v>13871</v>
      </c>
      <c r="TFJ1" t="s">
        <v>13872</v>
      </c>
      <c r="TFK1" t="s">
        <v>13873</v>
      </c>
      <c r="TFL1" t="s">
        <v>13874</v>
      </c>
      <c r="TFM1" t="s">
        <v>13875</v>
      </c>
      <c r="TFN1" t="s">
        <v>13876</v>
      </c>
      <c r="TFO1" t="s">
        <v>13877</v>
      </c>
      <c r="TFP1" t="s">
        <v>13878</v>
      </c>
      <c r="TFQ1" t="s">
        <v>13879</v>
      </c>
      <c r="TFR1" t="s">
        <v>13880</v>
      </c>
      <c r="TFS1" t="s">
        <v>13881</v>
      </c>
      <c r="TFT1" t="s">
        <v>13882</v>
      </c>
      <c r="TFU1" t="s">
        <v>13883</v>
      </c>
      <c r="TFV1" t="s">
        <v>13884</v>
      </c>
      <c r="TFW1" t="s">
        <v>13885</v>
      </c>
      <c r="TFX1" t="s">
        <v>13886</v>
      </c>
      <c r="TFY1" t="s">
        <v>13887</v>
      </c>
      <c r="TFZ1" t="s">
        <v>13888</v>
      </c>
      <c r="TGA1" t="s">
        <v>13889</v>
      </c>
      <c r="TGB1" t="s">
        <v>13890</v>
      </c>
      <c r="TGC1" t="s">
        <v>13891</v>
      </c>
      <c r="TGD1" t="s">
        <v>13892</v>
      </c>
      <c r="TGE1" t="s">
        <v>13893</v>
      </c>
      <c r="TGF1" t="s">
        <v>13894</v>
      </c>
      <c r="TGG1" t="s">
        <v>13895</v>
      </c>
      <c r="TGH1" t="s">
        <v>13896</v>
      </c>
      <c r="TGI1" t="s">
        <v>13897</v>
      </c>
      <c r="TGJ1" t="s">
        <v>13898</v>
      </c>
      <c r="TGK1" t="s">
        <v>13899</v>
      </c>
      <c r="TGL1" t="s">
        <v>13900</v>
      </c>
      <c r="TGM1" t="s">
        <v>13901</v>
      </c>
      <c r="TGN1" t="s">
        <v>13902</v>
      </c>
      <c r="TGO1" t="s">
        <v>13903</v>
      </c>
      <c r="TGP1" t="s">
        <v>13904</v>
      </c>
      <c r="TGQ1" t="s">
        <v>13905</v>
      </c>
      <c r="TGR1" t="s">
        <v>13906</v>
      </c>
      <c r="TGS1" t="s">
        <v>13907</v>
      </c>
      <c r="TGT1" t="s">
        <v>13908</v>
      </c>
      <c r="TGU1" t="s">
        <v>13909</v>
      </c>
      <c r="TGV1" t="s">
        <v>13910</v>
      </c>
      <c r="TGW1" t="s">
        <v>13911</v>
      </c>
      <c r="TGX1" t="s">
        <v>13912</v>
      </c>
      <c r="TGY1" t="s">
        <v>13913</v>
      </c>
      <c r="TGZ1" t="s">
        <v>13914</v>
      </c>
      <c r="THA1" t="s">
        <v>13915</v>
      </c>
      <c r="THB1" t="s">
        <v>13916</v>
      </c>
      <c r="THC1" t="s">
        <v>13917</v>
      </c>
      <c r="THD1" t="s">
        <v>13918</v>
      </c>
      <c r="THE1" t="s">
        <v>13919</v>
      </c>
      <c r="THF1" t="s">
        <v>13920</v>
      </c>
      <c r="THG1" t="s">
        <v>13921</v>
      </c>
      <c r="THH1" t="s">
        <v>13922</v>
      </c>
      <c r="THI1" t="s">
        <v>13923</v>
      </c>
      <c r="THJ1" t="s">
        <v>13924</v>
      </c>
      <c r="THK1" t="s">
        <v>13925</v>
      </c>
      <c r="THL1" t="s">
        <v>13926</v>
      </c>
      <c r="THM1" t="s">
        <v>13927</v>
      </c>
      <c r="THN1" t="s">
        <v>13928</v>
      </c>
      <c r="THO1" t="s">
        <v>13929</v>
      </c>
      <c r="THP1" t="s">
        <v>13930</v>
      </c>
      <c r="THQ1" t="s">
        <v>13931</v>
      </c>
      <c r="THR1" t="s">
        <v>13932</v>
      </c>
      <c r="THS1" t="s">
        <v>13933</v>
      </c>
      <c r="THT1" t="s">
        <v>13934</v>
      </c>
      <c r="THU1" t="s">
        <v>13935</v>
      </c>
      <c r="THV1" t="s">
        <v>13936</v>
      </c>
      <c r="THW1" t="s">
        <v>13937</v>
      </c>
      <c r="THX1" t="s">
        <v>13938</v>
      </c>
      <c r="THY1" t="s">
        <v>13939</v>
      </c>
      <c r="THZ1" t="s">
        <v>13940</v>
      </c>
      <c r="TIA1" t="s">
        <v>13941</v>
      </c>
      <c r="TIB1" t="s">
        <v>13942</v>
      </c>
      <c r="TIC1" t="s">
        <v>13943</v>
      </c>
      <c r="TID1" t="s">
        <v>13944</v>
      </c>
      <c r="TIE1" t="s">
        <v>13945</v>
      </c>
      <c r="TIF1" t="s">
        <v>13946</v>
      </c>
      <c r="TIG1" t="s">
        <v>13947</v>
      </c>
      <c r="TIH1" t="s">
        <v>13948</v>
      </c>
      <c r="TII1" t="s">
        <v>13949</v>
      </c>
      <c r="TIJ1" t="s">
        <v>13950</v>
      </c>
      <c r="TIK1" t="s">
        <v>13951</v>
      </c>
      <c r="TIL1" t="s">
        <v>13952</v>
      </c>
      <c r="TIM1" t="s">
        <v>13953</v>
      </c>
      <c r="TIN1" t="s">
        <v>13954</v>
      </c>
      <c r="TIO1" t="s">
        <v>13955</v>
      </c>
      <c r="TIP1" t="s">
        <v>13956</v>
      </c>
      <c r="TIQ1" t="s">
        <v>13957</v>
      </c>
      <c r="TIR1" t="s">
        <v>13958</v>
      </c>
      <c r="TIS1" t="s">
        <v>13959</v>
      </c>
      <c r="TIT1" t="s">
        <v>13960</v>
      </c>
      <c r="TIU1" t="s">
        <v>13961</v>
      </c>
      <c r="TIV1" t="s">
        <v>13962</v>
      </c>
      <c r="TIW1" t="s">
        <v>13963</v>
      </c>
      <c r="TIX1" t="s">
        <v>13964</v>
      </c>
      <c r="TIY1" t="s">
        <v>13965</v>
      </c>
      <c r="TIZ1" t="s">
        <v>13966</v>
      </c>
      <c r="TJA1" t="s">
        <v>13967</v>
      </c>
      <c r="TJB1" t="s">
        <v>13968</v>
      </c>
      <c r="TJC1" t="s">
        <v>13969</v>
      </c>
      <c r="TJD1" t="s">
        <v>13970</v>
      </c>
      <c r="TJE1" t="s">
        <v>13971</v>
      </c>
      <c r="TJF1" t="s">
        <v>13972</v>
      </c>
      <c r="TJG1" t="s">
        <v>13973</v>
      </c>
      <c r="TJH1" t="s">
        <v>13974</v>
      </c>
      <c r="TJI1" t="s">
        <v>13975</v>
      </c>
      <c r="TJJ1" t="s">
        <v>13976</v>
      </c>
      <c r="TJK1" t="s">
        <v>13977</v>
      </c>
      <c r="TJL1" t="s">
        <v>13978</v>
      </c>
      <c r="TJM1" t="s">
        <v>13979</v>
      </c>
      <c r="TJN1" t="s">
        <v>13980</v>
      </c>
      <c r="TJO1" t="s">
        <v>13981</v>
      </c>
      <c r="TJP1" t="s">
        <v>13982</v>
      </c>
      <c r="TJQ1" t="s">
        <v>13983</v>
      </c>
      <c r="TJR1" t="s">
        <v>13984</v>
      </c>
      <c r="TJS1" t="s">
        <v>13985</v>
      </c>
      <c r="TJT1" t="s">
        <v>13986</v>
      </c>
      <c r="TJU1" t="s">
        <v>13987</v>
      </c>
      <c r="TJV1" t="s">
        <v>13988</v>
      </c>
      <c r="TJW1" t="s">
        <v>13989</v>
      </c>
      <c r="TJX1" t="s">
        <v>13990</v>
      </c>
      <c r="TJY1" t="s">
        <v>13991</v>
      </c>
      <c r="TJZ1" t="s">
        <v>13992</v>
      </c>
      <c r="TKA1" t="s">
        <v>13993</v>
      </c>
      <c r="TKB1" t="s">
        <v>13994</v>
      </c>
      <c r="TKC1" t="s">
        <v>13995</v>
      </c>
      <c r="TKD1" t="s">
        <v>13996</v>
      </c>
      <c r="TKE1" t="s">
        <v>13997</v>
      </c>
      <c r="TKF1" t="s">
        <v>13998</v>
      </c>
      <c r="TKG1" t="s">
        <v>13999</v>
      </c>
      <c r="TKH1" t="s">
        <v>14000</v>
      </c>
      <c r="TKI1" t="s">
        <v>14001</v>
      </c>
      <c r="TKJ1" t="s">
        <v>14002</v>
      </c>
      <c r="TKK1" t="s">
        <v>14003</v>
      </c>
      <c r="TKL1" t="s">
        <v>14004</v>
      </c>
      <c r="TKM1" t="s">
        <v>14005</v>
      </c>
      <c r="TKN1" t="s">
        <v>14006</v>
      </c>
      <c r="TKO1" t="s">
        <v>14007</v>
      </c>
      <c r="TKP1" t="s">
        <v>14008</v>
      </c>
      <c r="TKQ1" t="s">
        <v>14009</v>
      </c>
      <c r="TKR1" t="s">
        <v>14010</v>
      </c>
      <c r="TKS1" t="s">
        <v>14011</v>
      </c>
      <c r="TKT1" t="s">
        <v>14012</v>
      </c>
      <c r="TKU1" t="s">
        <v>14013</v>
      </c>
      <c r="TKV1" t="s">
        <v>14014</v>
      </c>
      <c r="TKW1" t="s">
        <v>14015</v>
      </c>
      <c r="TKX1" t="s">
        <v>14016</v>
      </c>
      <c r="TKY1" t="s">
        <v>14017</v>
      </c>
      <c r="TKZ1" t="s">
        <v>14018</v>
      </c>
      <c r="TLA1" t="s">
        <v>14019</v>
      </c>
      <c r="TLB1" t="s">
        <v>14020</v>
      </c>
      <c r="TLC1" t="s">
        <v>14021</v>
      </c>
      <c r="TLD1" t="s">
        <v>14022</v>
      </c>
      <c r="TLE1" t="s">
        <v>14023</v>
      </c>
      <c r="TLF1" t="s">
        <v>14024</v>
      </c>
      <c r="TLG1" t="s">
        <v>14025</v>
      </c>
      <c r="TLH1" t="s">
        <v>14026</v>
      </c>
      <c r="TLI1" t="s">
        <v>14027</v>
      </c>
      <c r="TLJ1" t="s">
        <v>14028</v>
      </c>
      <c r="TLK1" t="s">
        <v>14029</v>
      </c>
      <c r="TLL1" t="s">
        <v>14030</v>
      </c>
      <c r="TLM1" t="s">
        <v>14031</v>
      </c>
      <c r="TLN1" t="s">
        <v>14032</v>
      </c>
      <c r="TLO1" t="s">
        <v>14033</v>
      </c>
      <c r="TLP1" t="s">
        <v>14034</v>
      </c>
      <c r="TLQ1" t="s">
        <v>14035</v>
      </c>
      <c r="TLR1" t="s">
        <v>14036</v>
      </c>
      <c r="TLS1" t="s">
        <v>14037</v>
      </c>
      <c r="TLT1" t="s">
        <v>14038</v>
      </c>
      <c r="TLU1" t="s">
        <v>14039</v>
      </c>
      <c r="TLV1" t="s">
        <v>14040</v>
      </c>
      <c r="TLW1" t="s">
        <v>14041</v>
      </c>
      <c r="TLX1" t="s">
        <v>14042</v>
      </c>
      <c r="TLY1" t="s">
        <v>14043</v>
      </c>
      <c r="TLZ1" t="s">
        <v>14044</v>
      </c>
      <c r="TMA1" t="s">
        <v>14045</v>
      </c>
      <c r="TMB1" t="s">
        <v>14046</v>
      </c>
      <c r="TMC1" t="s">
        <v>14047</v>
      </c>
      <c r="TMD1" t="s">
        <v>14048</v>
      </c>
      <c r="TME1" t="s">
        <v>14049</v>
      </c>
      <c r="TMF1" t="s">
        <v>14050</v>
      </c>
      <c r="TMG1" t="s">
        <v>14051</v>
      </c>
      <c r="TMH1" t="s">
        <v>14052</v>
      </c>
      <c r="TMI1" t="s">
        <v>14053</v>
      </c>
      <c r="TMJ1" t="s">
        <v>14054</v>
      </c>
      <c r="TMK1" t="s">
        <v>14055</v>
      </c>
      <c r="TML1" t="s">
        <v>14056</v>
      </c>
      <c r="TMM1" t="s">
        <v>14057</v>
      </c>
      <c r="TMN1" t="s">
        <v>14058</v>
      </c>
      <c r="TMO1" t="s">
        <v>14059</v>
      </c>
      <c r="TMP1" t="s">
        <v>14060</v>
      </c>
      <c r="TMQ1" t="s">
        <v>14061</v>
      </c>
      <c r="TMR1" t="s">
        <v>14062</v>
      </c>
      <c r="TMS1" t="s">
        <v>14063</v>
      </c>
      <c r="TMT1" t="s">
        <v>14064</v>
      </c>
      <c r="TMU1" t="s">
        <v>14065</v>
      </c>
      <c r="TMV1" t="s">
        <v>14066</v>
      </c>
      <c r="TMW1" t="s">
        <v>14067</v>
      </c>
      <c r="TMX1" t="s">
        <v>14068</v>
      </c>
      <c r="TMY1" t="s">
        <v>14069</v>
      </c>
      <c r="TMZ1" t="s">
        <v>14070</v>
      </c>
      <c r="TNA1" t="s">
        <v>14071</v>
      </c>
      <c r="TNB1" t="s">
        <v>14072</v>
      </c>
      <c r="TNC1" t="s">
        <v>14073</v>
      </c>
      <c r="TND1" t="s">
        <v>14074</v>
      </c>
      <c r="TNE1" t="s">
        <v>14075</v>
      </c>
      <c r="TNF1" t="s">
        <v>14076</v>
      </c>
      <c r="TNG1" t="s">
        <v>14077</v>
      </c>
      <c r="TNH1" t="s">
        <v>14078</v>
      </c>
      <c r="TNI1" t="s">
        <v>14079</v>
      </c>
      <c r="TNJ1" t="s">
        <v>14080</v>
      </c>
      <c r="TNK1" t="s">
        <v>14081</v>
      </c>
      <c r="TNL1" t="s">
        <v>14082</v>
      </c>
      <c r="TNM1" t="s">
        <v>14083</v>
      </c>
      <c r="TNN1" t="s">
        <v>14084</v>
      </c>
      <c r="TNO1" t="s">
        <v>14085</v>
      </c>
      <c r="TNP1" t="s">
        <v>14086</v>
      </c>
      <c r="TNQ1" t="s">
        <v>14087</v>
      </c>
      <c r="TNR1" t="s">
        <v>14088</v>
      </c>
      <c r="TNS1" t="s">
        <v>14089</v>
      </c>
      <c r="TNT1" t="s">
        <v>14090</v>
      </c>
      <c r="TNU1" t="s">
        <v>14091</v>
      </c>
      <c r="TNV1" t="s">
        <v>14092</v>
      </c>
      <c r="TNW1" t="s">
        <v>14093</v>
      </c>
      <c r="TNX1" t="s">
        <v>14094</v>
      </c>
      <c r="TNY1" t="s">
        <v>14095</v>
      </c>
      <c r="TNZ1" t="s">
        <v>14096</v>
      </c>
      <c r="TOA1" t="s">
        <v>14097</v>
      </c>
      <c r="TOB1" t="s">
        <v>14098</v>
      </c>
      <c r="TOC1" t="s">
        <v>14099</v>
      </c>
      <c r="TOD1" t="s">
        <v>14100</v>
      </c>
      <c r="TOE1" t="s">
        <v>14101</v>
      </c>
      <c r="TOF1" t="s">
        <v>14102</v>
      </c>
      <c r="TOG1" t="s">
        <v>14103</v>
      </c>
      <c r="TOH1" t="s">
        <v>14104</v>
      </c>
      <c r="TOI1" t="s">
        <v>14105</v>
      </c>
      <c r="TOJ1" t="s">
        <v>14106</v>
      </c>
      <c r="TOK1" t="s">
        <v>14107</v>
      </c>
      <c r="TOL1" t="s">
        <v>14108</v>
      </c>
      <c r="TOM1" t="s">
        <v>14109</v>
      </c>
      <c r="TON1" t="s">
        <v>14110</v>
      </c>
      <c r="TOO1" t="s">
        <v>14111</v>
      </c>
      <c r="TOP1" t="s">
        <v>14112</v>
      </c>
      <c r="TOQ1" t="s">
        <v>14113</v>
      </c>
      <c r="TOR1" t="s">
        <v>14114</v>
      </c>
      <c r="TOS1" t="s">
        <v>14115</v>
      </c>
      <c r="TOT1" t="s">
        <v>14116</v>
      </c>
      <c r="TOU1" t="s">
        <v>14117</v>
      </c>
      <c r="TOV1" t="s">
        <v>14118</v>
      </c>
      <c r="TOW1" t="s">
        <v>14119</v>
      </c>
      <c r="TOX1" t="s">
        <v>14120</v>
      </c>
      <c r="TOY1" t="s">
        <v>14121</v>
      </c>
      <c r="TOZ1" t="s">
        <v>14122</v>
      </c>
      <c r="TPA1" t="s">
        <v>14123</v>
      </c>
      <c r="TPB1" t="s">
        <v>14124</v>
      </c>
      <c r="TPC1" t="s">
        <v>14125</v>
      </c>
      <c r="TPD1" t="s">
        <v>14126</v>
      </c>
      <c r="TPE1" t="s">
        <v>14127</v>
      </c>
      <c r="TPF1" t="s">
        <v>14128</v>
      </c>
      <c r="TPG1" t="s">
        <v>14129</v>
      </c>
      <c r="TPH1" t="s">
        <v>14130</v>
      </c>
      <c r="TPI1" t="s">
        <v>14131</v>
      </c>
      <c r="TPJ1" t="s">
        <v>14132</v>
      </c>
      <c r="TPK1" t="s">
        <v>14133</v>
      </c>
      <c r="TPL1" t="s">
        <v>14134</v>
      </c>
      <c r="TPM1" t="s">
        <v>14135</v>
      </c>
      <c r="TPN1" t="s">
        <v>14136</v>
      </c>
      <c r="TPO1" t="s">
        <v>14137</v>
      </c>
      <c r="TPP1" t="s">
        <v>14138</v>
      </c>
      <c r="TPQ1" t="s">
        <v>14139</v>
      </c>
      <c r="TPR1" t="s">
        <v>14140</v>
      </c>
      <c r="TPS1" t="s">
        <v>14141</v>
      </c>
      <c r="TPT1" t="s">
        <v>14142</v>
      </c>
      <c r="TPU1" t="s">
        <v>14143</v>
      </c>
      <c r="TPV1" t="s">
        <v>14144</v>
      </c>
      <c r="TPW1" t="s">
        <v>14145</v>
      </c>
      <c r="TPX1" t="s">
        <v>14146</v>
      </c>
      <c r="TPY1" t="s">
        <v>14147</v>
      </c>
      <c r="TPZ1" t="s">
        <v>14148</v>
      </c>
      <c r="TQA1" t="s">
        <v>14149</v>
      </c>
      <c r="TQB1" t="s">
        <v>14150</v>
      </c>
      <c r="TQC1" t="s">
        <v>14151</v>
      </c>
      <c r="TQD1" t="s">
        <v>14152</v>
      </c>
      <c r="TQE1" t="s">
        <v>14153</v>
      </c>
      <c r="TQF1" t="s">
        <v>14154</v>
      </c>
      <c r="TQG1" t="s">
        <v>14155</v>
      </c>
      <c r="TQH1" t="s">
        <v>14156</v>
      </c>
      <c r="TQI1" t="s">
        <v>14157</v>
      </c>
      <c r="TQJ1" t="s">
        <v>14158</v>
      </c>
      <c r="TQK1" t="s">
        <v>14159</v>
      </c>
      <c r="TQL1" t="s">
        <v>14160</v>
      </c>
      <c r="TQM1" t="s">
        <v>14161</v>
      </c>
      <c r="TQN1" t="s">
        <v>14162</v>
      </c>
      <c r="TQO1" t="s">
        <v>14163</v>
      </c>
      <c r="TQP1" t="s">
        <v>14164</v>
      </c>
      <c r="TQQ1" t="s">
        <v>14165</v>
      </c>
      <c r="TQR1" t="s">
        <v>14166</v>
      </c>
      <c r="TQS1" t="s">
        <v>14167</v>
      </c>
      <c r="TQT1" t="s">
        <v>14168</v>
      </c>
      <c r="TQU1" t="s">
        <v>14169</v>
      </c>
      <c r="TQV1" t="s">
        <v>14170</v>
      </c>
      <c r="TQW1" t="s">
        <v>14171</v>
      </c>
      <c r="TQX1" t="s">
        <v>14172</v>
      </c>
      <c r="TQY1" t="s">
        <v>14173</v>
      </c>
      <c r="TQZ1" t="s">
        <v>14174</v>
      </c>
      <c r="TRA1" t="s">
        <v>14175</v>
      </c>
      <c r="TRB1" t="s">
        <v>14176</v>
      </c>
      <c r="TRC1" t="s">
        <v>14177</v>
      </c>
      <c r="TRD1" t="s">
        <v>14178</v>
      </c>
      <c r="TRE1" t="s">
        <v>14179</v>
      </c>
      <c r="TRF1" t="s">
        <v>14180</v>
      </c>
      <c r="TRG1" t="s">
        <v>14181</v>
      </c>
      <c r="TRH1" t="s">
        <v>14182</v>
      </c>
      <c r="TRI1" t="s">
        <v>14183</v>
      </c>
      <c r="TRJ1" t="s">
        <v>14184</v>
      </c>
      <c r="TRK1" t="s">
        <v>14185</v>
      </c>
      <c r="TRL1" t="s">
        <v>14186</v>
      </c>
      <c r="TRM1" t="s">
        <v>14187</v>
      </c>
      <c r="TRN1" t="s">
        <v>14188</v>
      </c>
      <c r="TRO1" t="s">
        <v>14189</v>
      </c>
      <c r="TRP1" t="s">
        <v>14190</v>
      </c>
      <c r="TRQ1" t="s">
        <v>14191</v>
      </c>
      <c r="TRR1" t="s">
        <v>14192</v>
      </c>
      <c r="TRS1" t="s">
        <v>14193</v>
      </c>
      <c r="TRT1" t="s">
        <v>14194</v>
      </c>
      <c r="TRU1" t="s">
        <v>14195</v>
      </c>
      <c r="TRV1" t="s">
        <v>14196</v>
      </c>
      <c r="TRW1" t="s">
        <v>14197</v>
      </c>
      <c r="TRX1" t="s">
        <v>14198</v>
      </c>
      <c r="TRY1" t="s">
        <v>14199</v>
      </c>
      <c r="TRZ1" t="s">
        <v>14200</v>
      </c>
      <c r="TSA1" t="s">
        <v>14201</v>
      </c>
      <c r="TSB1" t="s">
        <v>14202</v>
      </c>
      <c r="TSC1" t="s">
        <v>14203</v>
      </c>
      <c r="TSD1" t="s">
        <v>14204</v>
      </c>
      <c r="TSE1" t="s">
        <v>14205</v>
      </c>
      <c r="TSF1" t="s">
        <v>14206</v>
      </c>
      <c r="TSG1" t="s">
        <v>14207</v>
      </c>
      <c r="TSH1" t="s">
        <v>14208</v>
      </c>
      <c r="TSI1" t="s">
        <v>14209</v>
      </c>
      <c r="TSJ1" t="s">
        <v>14210</v>
      </c>
      <c r="TSK1" t="s">
        <v>14211</v>
      </c>
      <c r="TSL1" t="s">
        <v>14212</v>
      </c>
      <c r="TSM1" t="s">
        <v>14213</v>
      </c>
      <c r="TSN1" t="s">
        <v>14214</v>
      </c>
      <c r="TSO1" t="s">
        <v>14215</v>
      </c>
      <c r="TSP1" t="s">
        <v>14216</v>
      </c>
      <c r="TSQ1" t="s">
        <v>14217</v>
      </c>
      <c r="TSR1" t="s">
        <v>14218</v>
      </c>
      <c r="TSS1" t="s">
        <v>14219</v>
      </c>
      <c r="TST1" t="s">
        <v>14220</v>
      </c>
      <c r="TSU1" t="s">
        <v>14221</v>
      </c>
      <c r="TSV1" t="s">
        <v>14222</v>
      </c>
      <c r="TSW1" t="s">
        <v>14223</v>
      </c>
      <c r="TSX1" t="s">
        <v>14224</v>
      </c>
      <c r="TSY1" t="s">
        <v>14225</v>
      </c>
      <c r="TSZ1" t="s">
        <v>14226</v>
      </c>
      <c r="TTA1" t="s">
        <v>14227</v>
      </c>
      <c r="TTB1" t="s">
        <v>14228</v>
      </c>
      <c r="TTC1" t="s">
        <v>14229</v>
      </c>
      <c r="TTD1" t="s">
        <v>14230</v>
      </c>
      <c r="TTE1" t="s">
        <v>14231</v>
      </c>
      <c r="TTF1" t="s">
        <v>14232</v>
      </c>
      <c r="TTG1" t="s">
        <v>14233</v>
      </c>
      <c r="TTH1" t="s">
        <v>14234</v>
      </c>
      <c r="TTI1" t="s">
        <v>14235</v>
      </c>
      <c r="TTJ1" t="s">
        <v>14236</v>
      </c>
      <c r="TTK1" t="s">
        <v>14237</v>
      </c>
      <c r="TTL1" t="s">
        <v>14238</v>
      </c>
      <c r="TTM1" t="s">
        <v>14239</v>
      </c>
      <c r="TTN1" t="s">
        <v>14240</v>
      </c>
      <c r="TTO1" t="s">
        <v>14241</v>
      </c>
      <c r="TTP1" t="s">
        <v>14242</v>
      </c>
      <c r="TTQ1" t="s">
        <v>14243</v>
      </c>
      <c r="TTR1" t="s">
        <v>14244</v>
      </c>
      <c r="TTS1" t="s">
        <v>14245</v>
      </c>
      <c r="TTT1" t="s">
        <v>14246</v>
      </c>
      <c r="TTU1" t="s">
        <v>14247</v>
      </c>
      <c r="TTV1" t="s">
        <v>14248</v>
      </c>
      <c r="TTW1" t="s">
        <v>14249</v>
      </c>
      <c r="TTX1" t="s">
        <v>14250</v>
      </c>
      <c r="TTY1" t="s">
        <v>14251</v>
      </c>
      <c r="TTZ1" t="s">
        <v>14252</v>
      </c>
      <c r="TUA1" t="s">
        <v>14253</v>
      </c>
      <c r="TUB1" t="s">
        <v>14254</v>
      </c>
      <c r="TUC1" t="s">
        <v>14255</v>
      </c>
      <c r="TUD1" t="s">
        <v>14256</v>
      </c>
      <c r="TUE1" t="s">
        <v>14257</v>
      </c>
      <c r="TUF1" t="s">
        <v>14258</v>
      </c>
      <c r="TUG1" t="s">
        <v>14259</v>
      </c>
      <c r="TUH1" t="s">
        <v>14260</v>
      </c>
      <c r="TUI1" t="s">
        <v>14261</v>
      </c>
      <c r="TUJ1" t="s">
        <v>14262</v>
      </c>
      <c r="TUK1" t="s">
        <v>14263</v>
      </c>
      <c r="TUL1" t="s">
        <v>14264</v>
      </c>
      <c r="TUM1" t="s">
        <v>14265</v>
      </c>
      <c r="TUN1" t="s">
        <v>14266</v>
      </c>
      <c r="TUO1" t="s">
        <v>14267</v>
      </c>
      <c r="TUP1" t="s">
        <v>14268</v>
      </c>
      <c r="TUQ1" t="s">
        <v>14269</v>
      </c>
      <c r="TUR1" t="s">
        <v>14270</v>
      </c>
      <c r="TUS1" t="s">
        <v>14271</v>
      </c>
      <c r="TUT1" t="s">
        <v>14272</v>
      </c>
      <c r="TUU1" t="s">
        <v>14273</v>
      </c>
      <c r="TUV1" t="s">
        <v>14274</v>
      </c>
      <c r="TUW1" t="s">
        <v>14275</v>
      </c>
      <c r="TUX1" t="s">
        <v>14276</v>
      </c>
      <c r="TUY1" t="s">
        <v>14277</v>
      </c>
      <c r="TUZ1" t="s">
        <v>14278</v>
      </c>
      <c r="TVA1" t="s">
        <v>14279</v>
      </c>
      <c r="TVB1" t="s">
        <v>14280</v>
      </c>
      <c r="TVC1" t="s">
        <v>14281</v>
      </c>
      <c r="TVD1" t="s">
        <v>14282</v>
      </c>
      <c r="TVE1" t="s">
        <v>14283</v>
      </c>
      <c r="TVF1" t="s">
        <v>14284</v>
      </c>
      <c r="TVG1" t="s">
        <v>14285</v>
      </c>
      <c r="TVH1" t="s">
        <v>14286</v>
      </c>
      <c r="TVI1" t="s">
        <v>14287</v>
      </c>
      <c r="TVJ1" t="s">
        <v>14288</v>
      </c>
      <c r="TVK1" t="s">
        <v>14289</v>
      </c>
      <c r="TVL1" t="s">
        <v>14290</v>
      </c>
      <c r="TVM1" t="s">
        <v>14291</v>
      </c>
      <c r="TVN1" t="s">
        <v>14292</v>
      </c>
      <c r="TVO1" t="s">
        <v>14293</v>
      </c>
      <c r="TVP1" t="s">
        <v>14294</v>
      </c>
      <c r="TVQ1" t="s">
        <v>14295</v>
      </c>
      <c r="TVR1" t="s">
        <v>14296</v>
      </c>
      <c r="TVS1" t="s">
        <v>14297</v>
      </c>
      <c r="TVT1" t="s">
        <v>14298</v>
      </c>
      <c r="TVU1" t="s">
        <v>14299</v>
      </c>
      <c r="TVV1" t="s">
        <v>14300</v>
      </c>
      <c r="TVW1" t="s">
        <v>14301</v>
      </c>
      <c r="TVX1" t="s">
        <v>14302</v>
      </c>
      <c r="TVY1" t="s">
        <v>14303</v>
      </c>
      <c r="TVZ1" t="s">
        <v>14304</v>
      </c>
      <c r="TWA1" t="s">
        <v>14305</v>
      </c>
      <c r="TWB1" t="s">
        <v>14306</v>
      </c>
      <c r="TWC1" t="s">
        <v>14307</v>
      </c>
      <c r="TWD1" t="s">
        <v>14308</v>
      </c>
      <c r="TWE1" t="s">
        <v>14309</v>
      </c>
      <c r="TWF1" t="s">
        <v>14310</v>
      </c>
      <c r="TWG1" t="s">
        <v>14311</v>
      </c>
      <c r="TWH1" t="s">
        <v>14312</v>
      </c>
      <c r="TWI1" t="s">
        <v>14313</v>
      </c>
      <c r="TWJ1" t="s">
        <v>14314</v>
      </c>
      <c r="TWK1" t="s">
        <v>14315</v>
      </c>
      <c r="TWL1" t="s">
        <v>14316</v>
      </c>
      <c r="TWM1" t="s">
        <v>14317</v>
      </c>
      <c r="TWN1" t="s">
        <v>14318</v>
      </c>
      <c r="TWO1" t="s">
        <v>14319</v>
      </c>
      <c r="TWP1" t="s">
        <v>14320</v>
      </c>
      <c r="TWQ1" t="s">
        <v>14321</v>
      </c>
      <c r="TWR1" t="s">
        <v>14322</v>
      </c>
      <c r="TWS1" t="s">
        <v>14323</v>
      </c>
      <c r="TWT1" t="s">
        <v>14324</v>
      </c>
      <c r="TWU1" t="s">
        <v>14325</v>
      </c>
      <c r="TWV1" t="s">
        <v>14326</v>
      </c>
      <c r="TWW1" t="s">
        <v>14327</v>
      </c>
      <c r="TWX1" t="s">
        <v>14328</v>
      </c>
      <c r="TWY1" t="s">
        <v>14329</v>
      </c>
      <c r="TWZ1" t="s">
        <v>14330</v>
      </c>
      <c r="TXA1" t="s">
        <v>14331</v>
      </c>
      <c r="TXB1" t="s">
        <v>14332</v>
      </c>
      <c r="TXC1" t="s">
        <v>14333</v>
      </c>
      <c r="TXD1" t="s">
        <v>14334</v>
      </c>
      <c r="TXE1" t="s">
        <v>14335</v>
      </c>
      <c r="TXF1" t="s">
        <v>14336</v>
      </c>
      <c r="TXG1" t="s">
        <v>14337</v>
      </c>
      <c r="TXH1" t="s">
        <v>14338</v>
      </c>
      <c r="TXI1" t="s">
        <v>14339</v>
      </c>
      <c r="TXJ1" t="s">
        <v>14340</v>
      </c>
      <c r="TXK1" t="s">
        <v>14341</v>
      </c>
      <c r="TXL1" t="s">
        <v>14342</v>
      </c>
      <c r="TXM1" t="s">
        <v>14343</v>
      </c>
      <c r="TXN1" t="s">
        <v>14344</v>
      </c>
      <c r="TXO1" t="s">
        <v>14345</v>
      </c>
      <c r="TXP1" t="s">
        <v>14346</v>
      </c>
      <c r="TXQ1" t="s">
        <v>14347</v>
      </c>
      <c r="TXR1" t="s">
        <v>14348</v>
      </c>
      <c r="TXS1" t="s">
        <v>14349</v>
      </c>
      <c r="TXT1" t="s">
        <v>14350</v>
      </c>
      <c r="TXU1" t="s">
        <v>14351</v>
      </c>
      <c r="TXV1" t="s">
        <v>14352</v>
      </c>
      <c r="TXW1" t="s">
        <v>14353</v>
      </c>
      <c r="TXX1" t="s">
        <v>14354</v>
      </c>
      <c r="TXY1" t="s">
        <v>14355</v>
      </c>
      <c r="TXZ1" t="s">
        <v>14356</v>
      </c>
      <c r="TYA1" t="s">
        <v>14357</v>
      </c>
      <c r="TYB1" t="s">
        <v>14358</v>
      </c>
      <c r="TYC1" t="s">
        <v>14359</v>
      </c>
      <c r="TYD1" t="s">
        <v>14360</v>
      </c>
      <c r="TYE1" t="s">
        <v>14361</v>
      </c>
      <c r="TYF1" t="s">
        <v>14362</v>
      </c>
      <c r="TYG1" t="s">
        <v>14363</v>
      </c>
      <c r="TYH1" t="s">
        <v>14364</v>
      </c>
      <c r="TYI1" t="s">
        <v>14365</v>
      </c>
      <c r="TYJ1" t="s">
        <v>14366</v>
      </c>
      <c r="TYK1" t="s">
        <v>14367</v>
      </c>
      <c r="TYL1" t="s">
        <v>14368</v>
      </c>
      <c r="TYM1" t="s">
        <v>14369</v>
      </c>
      <c r="TYN1" t="s">
        <v>14370</v>
      </c>
      <c r="TYO1" t="s">
        <v>14371</v>
      </c>
      <c r="TYP1" t="s">
        <v>14372</v>
      </c>
      <c r="TYQ1" t="s">
        <v>14373</v>
      </c>
      <c r="TYR1" t="s">
        <v>14374</v>
      </c>
      <c r="TYS1" t="s">
        <v>14375</v>
      </c>
      <c r="TYT1" t="s">
        <v>14376</v>
      </c>
      <c r="TYU1" t="s">
        <v>14377</v>
      </c>
      <c r="TYV1" t="s">
        <v>14378</v>
      </c>
      <c r="TYW1" t="s">
        <v>14379</v>
      </c>
      <c r="TYX1" t="s">
        <v>14380</v>
      </c>
      <c r="TYY1" t="s">
        <v>14381</v>
      </c>
      <c r="TYZ1" t="s">
        <v>14382</v>
      </c>
      <c r="TZA1" t="s">
        <v>14383</v>
      </c>
      <c r="TZB1" t="s">
        <v>14384</v>
      </c>
      <c r="TZC1" t="s">
        <v>14385</v>
      </c>
      <c r="TZD1" t="s">
        <v>14386</v>
      </c>
      <c r="TZE1" t="s">
        <v>14387</v>
      </c>
      <c r="TZF1" t="s">
        <v>14388</v>
      </c>
      <c r="TZG1" t="s">
        <v>14389</v>
      </c>
      <c r="TZH1" t="s">
        <v>14390</v>
      </c>
      <c r="TZI1" t="s">
        <v>14391</v>
      </c>
      <c r="TZJ1" t="s">
        <v>14392</v>
      </c>
      <c r="TZK1" t="s">
        <v>14393</v>
      </c>
      <c r="TZL1" t="s">
        <v>14394</v>
      </c>
      <c r="TZM1" t="s">
        <v>14395</v>
      </c>
      <c r="TZN1" t="s">
        <v>14396</v>
      </c>
      <c r="TZO1" t="s">
        <v>14397</v>
      </c>
      <c r="TZP1" t="s">
        <v>14398</v>
      </c>
      <c r="TZQ1" t="s">
        <v>14399</v>
      </c>
      <c r="TZR1" t="s">
        <v>14400</v>
      </c>
      <c r="TZS1" t="s">
        <v>14401</v>
      </c>
      <c r="TZT1" t="s">
        <v>14402</v>
      </c>
      <c r="TZU1" t="s">
        <v>14403</v>
      </c>
      <c r="TZV1" t="s">
        <v>14404</v>
      </c>
      <c r="TZW1" t="s">
        <v>14405</v>
      </c>
      <c r="TZX1" t="s">
        <v>14406</v>
      </c>
      <c r="TZY1" t="s">
        <v>14407</v>
      </c>
      <c r="TZZ1" t="s">
        <v>14408</v>
      </c>
      <c r="UAA1" t="s">
        <v>14409</v>
      </c>
      <c r="UAB1" t="s">
        <v>14410</v>
      </c>
      <c r="UAC1" t="s">
        <v>14411</v>
      </c>
      <c r="UAD1" t="s">
        <v>14412</v>
      </c>
      <c r="UAE1" t="s">
        <v>14413</v>
      </c>
      <c r="UAF1" t="s">
        <v>14414</v>
      </c>
      <c r="UAG1" t="s">
        <v>14415</v>
      </c>
      <c r="UAH1" t="s">
        <v>14416</v>
      </c>
      <c r="UAI1" t="s">
        <v>14417</v>
      </c>
      <c r="UAJ1" t="s">
        <v>14418</v>
      </c>
      <c r="UAK1" t="s">
        <v>14419</v>
      </c>
      <c r="UAL1" t="s">
        <v>14420</v>
      </c>
      <c r="UAM1" t="s">
        <v>14421</v>
      </c>
      <c r="UAN1" t="s">
        <v>14422</v>
      </c>
      <c r="UAO1" t="s">
        <v>14423</v>
      </c>
      <c r="UAP1" t="s">
        <v>14424</v>
      </c>
      <c r="UAQ1" t="s">
        <v>14425</v>
      </c>
      <c r="UAR1" t="s">
        <v>14426</v>
      </c>
      <c r="UAS1" t="s">
        <v>14427</v>
      </c>
      <c r="UAT1" t="s">
        <v>14428</v>
      </c>
      <c r="UAU1" t="s">
        <v>14429</v>
      </c>
      <c r="UAV1" t="s">
        <v>14430</v>
      </c>
      <c r="UAW1" t="s">
        <v>14431</v>
      </c>
      <c r="UAX1" t="s">
        <v>14432</v>
      </c>
      <c r="UAY1" t="s">
        <v>14433</v>
      </c>
      <c r="UAZ1" t="s">
        <v>14434</v>
      </c>
      <c r="UBA1" t="s">
        <v>14435</v>
      </c>
      <c r="UBB1" t="s">
        <v>14436</v>
      </c>
      <c r="UBC1" t="s">
        <v>14437</v>
      </c>
      <c r="UBD1" t="s">
        <v>14438</v>
      </c>
      <c r="UBE1" t="s">
        <v>14439</v>
      </c>
      <c r="UBF1" t="s">
        <v>14440</v>
      </c>
      <c r="UBG1" t="s">
        <v>14441</v>
      </c>
      <c r="UBH1" t="s">
        <v>14442</v>
      </c>
      <c r="UBI1" t="s">
        <v>14443</v>
      </c>
      <c r="UBJ1" t="s">
        <v>14444</v>
      </c>
      <c r="UBK1" t="s">
        <v>14445</v>
      </c>
      <c r="UBL1" t="s">
        <v>14446</v>
      </c>
      <c r="UBM1" t="s">
        <v>14447</v>
      </c>
      <c r="UBN1" t="s">
        <v>14448</v>
      </c>
      <c r="UBO1" t="s">
        <v>14449</v>
      </c>
      <c r="UBP1" t="s">
        <v>14450</v>
      </c>
      <c r="UBQ1" t="s">
        <v>14451</v>
      </c>
      <c r="UBR1" t="s">
        <v>14452</v>
      </c>
      <c r="UBS1" t="s">
        <v>14453</v>
      </c>
      <c r="UBT1" t="s">
        <v>14454</v>
      </c>
      <c r="UBU1" t="s">
        <v>14455</v>
      </c>
      <c r="UBV1" t="s">
        <v>14456</v>
      </c>
      <c r="UBW1" t="s">
        <v>14457</v>
      </c>
      <c r="UBX1" t="s">
        <v>14458</v>
      </c>
      <c r="UBY1" t="s">
        <v>14459</v>
      </c>
      <c r="UBZ1" t="s">
        <v>14460</v>
      </c>
      <c r="UCA1" t="s">
        <v>14461</v>
      </c>
      <c r="UCB1" t="s">
        <v>14462</v>
      </c>
      <c r="UCC1" t="s">
        <v>14463</v>
      </c>
      <c r="UCD1" t="s">
        <v>14464</v>
      </c>
      <c r="UCE1" t="s">
        <v>14465</v>
      </c>
      <c r="UCF1" t="s">
        <v>14466</v>
      </c>
      <c r="UCG1" t="s">
        <v>14467</v>
      </c>
      <c r="UCH1" t="s">
        <v>14468</v>
      </c>
      <c r="UCI1" t="s">
        <v>14469</v>
      </c>
      <c r="UCJ1" t="s">
        <v>14470</v>
      </c>
      <c r="UCK1" t="s">
        <v>14471</v>
      </c>
      <c r="UCL1" t="s">
        <v>14472</v>
      </c>
      <c r="UCM1" t="s">
        <v>14473</v>
      </c>
      <c r="UCN1" t="s">
        <v>14474</v>
      </c>
      <c r="UCO1" t="s">
        <v>14475</v>
      </c>
      <c r="UCP1" t="s">
        <v>14476</v>
      </c>
      <c r="UCQ1" t="s">
        <v>14477</v>
      </c>
      <c r="UCR1" t="s">
        <v>14478</v>
      </c>
      <c r="UCS1" t="s">
        <v>14479</v>
      </c>
      <c r="UCT1" t="s">
        <v>14480</v>
      </c>
      <c r="UCU1" t="s">
        <v>14481</v>
      </c>
      <c r="UCV1" t="s">
        <v>14482</v>
      </c>
      <c r="UCW1" t="s">
        <v>14483</v>
      </c>
      <c r="UCX1" t="s">
        <v>14484</v>
      </c>
      <c r="UCY1" t="s">
        <v>14485</v>
      </c>
      <c r="UCZ1" t="s">
        <v>14486</v>
      </c>
      <c r="UDA1" t="s">
        <v>14487</v>
      </c>
      <c r="UDB1" t="s">
        <v>14488</v>
      </c>
      <c r="UDC1" t="s">
        <v>14489</v>
      </c>
      <c r="UDD1" t="s">
        <v>14490</v>
      </c>
      <c r="UDE1" t="s">
        <v>14491</v>
      </c>
      <c r="UDF1" t="s">
        <v>14492</v>
      </c>
      <c r="UDG1" t="s">
        <v>14493</v>
      </c>
      <c r="UDH1" t="s">
        <v>14494</v>
      </c>
      <c r="UDI1" t="s">
        <v>14495</v>
      </c>
      <c r="UDJ1" t="s">
        <v>14496</v>
      </c>
      <c r="UDK1" t="s">
        <v>14497</v>
      </c>
      <c r="UDL1" t="s">
        <v>14498</v>
      </c>
      <c r="UDM1" t="s">
        <v>14499</v>
      </c>
      <c r="UDN1" t="s">
        <v>14500</v>
      </c>
      <c r="UDO1" t="s">
        <v>14501</v>
      </c>
      <c r="UDP1" t="s">
        <v>14502</v>
      </c>
      <c r="UDQ1" t="s">
        <v>14503</v>
      </c>
      <c r="UDR1" t="s">
        <v>14504</v>
      </c>
      <c r="UDS1" t="s">
        <v>14505</v>
      </c>
      <c r="UDT1" t="s">
        <v>14506</v>
      </c>
      <c r="UDU1" t="s">
        <v>14507</v>
      </c>
      <c r="UDV1" t="s">
        <v>14508</v>
      </c>
      <c r="UDW1" t="s">
        <v>14509</v>
      </c>
      <c r="UDX1" t="s">
        <v>14510</v>
      </c>
      <c r="UDY1" t="s">
        <v>14511</v>
      </c>
      <c r="UDZ1" t="s">
        <v>14512</v>
      </c>
      <c r="UEA1" t="s">
        <v>14513</v>
      </c>
      <c r="UEB1" t="s">
        <v>14514</v>
      </c>
      <c r="UEC1" t="s">
        <v>14515</v>
      </c>
      <c r="UED1" t="s">
        <v>14516</v>
      </c>
      <c r="UEE1" t="s">
        <v>14517</v>
      </c>
      <c r="UEF1" t="s">
        <v>14518</v>
      </c>
      <c r="UEG1" t="s">
        <v>14519</v>
      </c>
      <c r="UEH1" t="s">
        <v>14520</v>
      </c>
      <c r="UEI1" t="s">
        <v>14521</v>
      </c>
      <c r="UEJ1" t="s">
        <v>14522</v>
      </c>
      <c r="UEK1" t="s">
        <v>14523</v>
      </c>
      <c r="UEL1" t="s">
        <v>14524</v>
      </c>
      <c r="UEM1" t="s">
        <v>14525</v>
      </c>
      <c r="UEN1" t="s">
        <v>14526</v>
      </c>
      <c r="UEO1" t="s">
        <v>14527</v>
      </c>
      <c r="UEP1" t="s">
        <v>14528</v>
      </c>
      <c r="UEQ1" t="s">
        <v>14529</v>
      </c>
      <c r="UER1" t="s">
        <v>14530</v>
      </c>
      <c r="UES1" t="s">
        <v>14531</v>
      </c>
      <c r="UET1" t="s">
        <v>14532</v>
      </c>
      <c r="UEU1" t="s">
        <v>14533</v>
      </c>
      <c r="UEV1" t="s">
        <v>14534</v>
      </c>
      <c r="UEW1" t="s">
        <v>14535</v>
      </c>
      <c r="UEX1" t="s">
        <v>14536</v>
      </c>
      <c r="UEY1" t="s">
        <v>14537</v>
      </c>
      <c r="UEZ1" t="s">
        <v>14538</v>
      </c>
      <c r="UFA1" t="s">
        <v>14539</v>
      </c>
      <c r="UFB1" t="s">
        <v>14540</v>
      </c>
      <c r="UFC1" t="s">
        <v>14541</v>
      </c>
      <c r="UFD1" t="s">
        <v>14542</v>
      </c>
      <c r="UFE1" t="s">
        <v>14543</v>
      </c>
      <c r="UFF1" t="s">
        <v>14544</v>
      </c>
      <c r="UFG1" t="s">
        <v>14545</v>
      </c>
      <c r="UFH1" t="s">
        <v>14546</v>
      </c>
      <c r="UFI1" t="s">
        <v>14547</v>
      </c>
      <c r="UFJ1" t="s">
        <v>14548</v>
      </c>
      <c r="UFK1" t="s">
        <v>14549</v>
      </c>
      <c r="UFL1" t="s">
        <v>14550</v>
      </c>
      <c r="UFM1" t="s">
        <v>14551</v>
      </c>
      <c r="UFN1" t="s">
        <v>14552</v>
      </c>
      <c r="UFO1" t="s">
        <v>14553</v>
      </c>
      <c r="UFP1" t="s">
        <v>14554</v>
      </c>
      <c r="UFQ1" t="s">
        <v>14555</v>
      </c>
      <c r="UFR1" t="s">
        <v>14556</v>
      </c>
      <c r="UFS1" t="s">
        <v>14557</v>
      </c>
      <c r="UFT1" t="s">
        <v>14558</v>
      </c>
      <c r="UFU1" t="s">
        <v>14559</v>
      </c>
      <c r="UFV1" t="s">
        <v>14560</v>
      </c>
      <c r="UFW1" t="s">
        <v>14561</v>
      </c>
      <c r="UFX1" t="s">
        <v>14562</v>
      </c>
      <c r="UFY1" t="s">
        <v>14563</v>
      </c>
      <c r="UFZ1" t="s">
        <v>14564</v>
      </c>
      <c r="UGA1" t="s">
        <v>14565</v>
      </c>
      <c r="UGB1" t="s">
        <v>14566</v>
      </c>
      <c r="UGC1" t="s">
        <v>14567</v>
      </c>
      <c r="UGD1" t="s">
        <v>14568</v>
      </c>
      <c r="UGE1" t="s">
        <v>14569</v>
      </c>
      <c r="UGF1" t="s">
        <v>14570</v>
      </c>
      <c r="UGG1" t="s">
        <v>14571</v>
      </c>
      <c r="UGH1" t="s">
        <v>14572</v>
      </c>
      <c r="UGI1" t="s">
        <v>14573</v>
      </c>
      <c r="UGJ1" t="s">
        <v>14574</v>
      </c>
      <c r="UGK1" t="s">
        <v>14575</v>
      </c>
      <c r="UGL1" t="s">
        <v>14576</v>
      </c>
      <c r="UGM1" t="s">
        <v>14577</v>
      </c>
      <c r="UGN1" t="s">
        <v>14578</v>
      </c>
      <c r="UGO1" t="s">
        <v>14579</v>
      </c>
      <c r="UGP1" t="s">
        <v>14580</v>
      </c>
      <c r="UGQ1" t="s">
        <v>14581</v>
      </c>
      <c r="UGR1" t="s">
        <v>14582</v>
      </c>
      <c r="UGS1" t="s">
        <v>14583</v>
      </c>
      <c r="UGT1" t="s">
        <v>14584</v>
      </c>
      <c r="UGU1" t="s">
        <v>14585</v>
      </c>
      <c r="UGV1" t="s">
        <v>14586</v>
      </c>
      <c r="UGW1" t="s">
        <v>14587</v>
      </c>
      <c r="UGX1" t="s">
        <v>14588</v>
      </c>
      <c r="UGY1" t="s">
        <v>14589</v>
      </c>
      <c r="UGZ1" t="s">
        <v>14590</v>
      </c>
      <c r="UHA1" t="s">
        <v>14591</v>
      </c>
      <c r="UHB1" t="s">
        <v>14592</v>
      </c>
      <c r="UHC1" t="s">
        <v>14593</v>
      </c>
      <c r="UHD1" t="s">
        <v>14594</v>
      </c>
      <c r="UHE1" t="s">
        <v>14595</v>
      </c>
      <c r="UHF1" t="s">
        <v>14596</v>
      </c>
      <c r="UHG1" t="s">
        <v>14597</v>
      </c>
      <c r="UHH1" t="s">
        <v>14598</v>
      </c>
      <c r="UHI1" t="s">
        <v>14599</v>
      </c>
      <c r="UHJ1" t="s">
        <v>14600</v>
      </c>
      <c r="UHK1" t="s">
        <v>14601</v>
      </c>
      <c r="UHL1" t="s">
        <v>14602</v>
      </c>
      <c r="UHM1" t="s">
        <v>14603</v>
      </c>
      <c r="UHN1" t="s">
        <v>14604</v>
      </c>
      <c r="UHO1" t="s">
        <v>14605</v>
      </c>
      <c r="UHP1" t="s">
        <v>14606</v>
      </c>
      <c r="UHQ1" t="s">
        <v>14607</v>
      </c>
      <c r="UHR1" t="s">
        <v>14608</v>
      </c>
      <c r="UHS1" t="s">
        <v>14609</v>
      </c>
      <c r="UHT1" t="s">
        <v>14610</v>
      </c>
      <c r="UHU1" t="s">
        <v>14611</v>
      </c>
      <c r="UHV1" t="s">
        <v>14612</v>
      </c>
      <c r="UHW1" t="s">
        <v>14613</v>
      </c>
      <c r="UHX1" t="s">
        <v>14614</v>
      </c>
      <c r="UHY1" t="s">
        <v>14615</v>
      </c>
      <c r="UHZ1" t="s">
        <v>14616</v>
      </c>
      <c r="UIA1" t="s">
        <v>14617</v>
      </c>
      <c r="UIB1" t="s">
        <v>14618</v>
      </c>
      <c r="UIC1" t="s">
        <v>14619</v>
      </c>
      <c r="UID1" t="s">
        <v>14620</v>
      </c>
      <c r="UIE1" t="s">
        <v>14621</v>
      </c>
      <c r="UIF1" t="s">
        <v>14622</v>
      </c>
      <c r="UIG1" t="s">
        <v>14623</v>
      </c>
      <c r="UIH1" t="s">
        <v>14624</v>
      </c>
      <c r="UII1" t="s">
        <v>14625</v>
      </c>
      <c r="UIJ1" t="s">
        <v>14626</v>
      </c>
      <c r="UIK1" t="s">
        <v>14627</v>
      </c>
      <c r="UIL1" t="s">
        <v>14628</v>
      </c>
      <c r="UIM1" t="s">
        <v>14629</v>
      </c>
      <c r="UIN1" t="s">
        <v>14630</v>
      </c>
      <c r="UIO1" t="s">
        <v>14631</v>
      </c>
      <c r="UIP1" t="s">
        <v>14632</v>
      </c>
      <c r="UIQ1" t="s">
        <v>14633</v>
      </c>
      <c r="UIR1" t="s">
        <v>14634</v>
      </c>
      <c r="UIS1" t="s">
        <v>14635</v>
      </c>
      <c r="UIT1" t="s">
        <v>14636</v>
      </c>
      <c r="UIU1" t="s">
        <v>14637</v>
      </c>
      <c r="UIV1" t="s">
        <v>14638</v>
      </c>
      <c r="UIW1" t="s">
        <v>14639</v>
      </c>
      <c r="UIX1" t="s">
        <v>14640</v>
      </c>
      <c r="UIY1" t="s">
        <v>14641</v>
      </c>
      <c r="UIZ1" t="s">
        <v>14642</v>
      </c>
      <c r="UJA1" t="s">
        <v>14643</v>
      </c>
      <c r="UJB1" t="s">
        <v>14644</v>
      </c>
      <c r="UJC1" t="s">
        <v>14645</v>
      </c>
      <c r="UJD1" t="s">
        <v>14646</v>
      </c>
      <c r="UJE1" t="s">
        <v>14647</v>
      </c>
      <c r="UJF1" t="s">
        <v>14648</v>
      </c>
      <c r="UJG1" t="s">
        <v>14649</v>
      </c>
      <c r="UJH1" t="s">
        <v>14650</v>
      </c>
      <c r="UJI1" t="s">
        <v>14651</v>
      </c>
      <c r="UJJ1" t="s">
        <v>14652</v>
      </c>
      <c r="UJK1" t="s">
        <v>14653</v>
      </c>
      <c r="UJL1" t="s">
        <v>14654</v>
      </c>
      <c r="UJM1" t="s">
        <v>14655</v>
      </c>
      <c r="UJN1" t="s">
        <v>14656</v>
      </c>
      <c r="UJO1" t="s">
        <v>14657</v>
      </c>
      <c r="UJP1" t="s">
        <v>14658</v>
      </c>
      <c r="UJQ1" t="s">
        <v>14659</v>
      </c>
      <c r="UJR1" t="s">
        <v>14660</v>
      </c>
      <c r="UJS1" t="s">
        <v>14661</v>
      </c>
      <c r="UJT1" t="s">
        <v>14662</v>
      </c>
      <c r="UJU1" t="s">
        <v>14663</v>
      </c>
      <c r="UJV1" t="s">
        <v>14664</v>
      </c>
      <c r="UJW1" t="s">
        <v>14665</v>
      </c>
      <c r="UJX1" t="s">
        <v>14666</v>
      </c>
      <c r="UJY1" t="s">
        <v>14667</v>
      </c>
      <c r="UJZ1" t="s">
        <v>14668</v>
      </c>
      <c r="UKA1" t="s">
        <v>14669</v>
      </c>
      <c r="UKB1" t="s">
        <v>14670</v>
      </c>
      <c r="UKC1" t="s">
        <v>14671</v>
      </c>
      <c r="UKD1" t="s">
        <v>14672</v>
      </c>
      <c r="UKE1" t="s">
        <v>14673</v>
      </c>
      <c r="UKF1" t="s">
        <v>14674</v>
      </c>
      <c r="UKG1" t="s">
        <v>14675</v>
      </c>
      <c r="UKH1" t="s">
        <v>14676</v>
      </c>
      <c r="UKI1" t="s">
        <v>14677</v>
      </c>
      <c r="UKJ1" t="s">
        <v>14678</v>
      </c>
      <c r="UKK1" t="s">
        <v>14679</v>
      </c>
      <c r="UKL1" t="s">
        <v>14680</v>
      </c>
      <c r="UKM1" t="s">
        <v>14681</v>
      </c>
      <c r="UKN1" t="s">
        <v>14682</v>
      </c>
      <c r="UKO1" t="s">
        <v>14683</v>
      </c>
      <c r="UKP1" t="s">
        <v>14684</v>
      </c>
      <c r="UKQ1" t="s">
        <v>14685</v>
      </c>
      <c r="UKR1" t="s">
        <v>14686</v>
      </c>
      <c r="UKS1" t="s">
        <v>14687</v>
      </c>
      <c r="UKT1" t="s">
        <v>14688</v>
      </c>
      <c r="UKU1" t="s">
        <v>14689</v>
      </c>
      <c r="UKV1" t="s">
        <v>14690</v>
      </c>
      <c r="UKW1" t="s">
        <v>14691</v>
      </c>
      <c r="UKX1" t="s">
        <v>14692</v>
      </c>
      <c r="UKY1" t="s">
        <v>14693</v>
      </c>
      <c r="UKZ1" t="s">
        <v>14694</v>
      </c>
      <c r="ULA1" t="s">
        <v>14695</v>
      </c>
      <c r="ULB1" t="s">
        <v>14696</v>
      </c>
      <c r="ULC1" t="s">
        <v>14697</v>
      </c>
      <c r="ULD1" t="s">
        <v>14698</v>
      </c>
      <c r="ULE1" t="s">
        <v>14699</v>
      </c>
      <c r="ULF1" t="s">
        <v>14700</v>
      </c>
      <c r="ULG1" t="s">
        <v>14701</v>
      </c>
      <c r="ULH1" t="s">
        <v>14702</v>
      </c>
      <c r="ULI1" t="s">
        <v>14703</v>
      </c>
      <c r="ULJ1" t="s">
        <v>14704</v>
      </c>
      <c r="ULK1" t="s">
        <v>14705</v>
      </c>
      <c r="ULL1" t="s">
        <v>14706</v>
      </c>
      <c r="ULM1" t="s">
        <v>14707</v>
      </c>
      <c r="ULN1" t="s">
        <v>14708</v>
      </c>
      <c r="ULO1" t="s">
        <v>14709</v>
      </c>
      <c r="ULP1" t="s">
        <v>14710</v>
      </c>
      <c r="ULQ1" t="s">
        <v>14711</v>
      </c>
      <c r="ULR1" t="s">
        <v>14712</v>
      </c>
      <c r="ULS1" t="s">
        <v>14713</v>
      </c>
      <c r="ULT1" t="s">
        <v>14714</v>
      </c>
      <c r="ULU1" t="s">
        <v>14715</v>
      </c>
      <c r="ULV1" t="s">
        <v>14716</v>
      </c>
      <c r="ULW1" t="s">
        <v>14717</v>
      </c>
      <c r="ULX1" t="s">
        <v>14718</v>
      </c>
      <c r="ULY1" t="s">
        <v>14719</v>
      </c>
      <c r="ULZ1" t="s">
        <v>14720</v>
      </c>
      <c r="UMA1" t="s">
        <v>14721</v>
      </c>
      <c r="UMB1" t="s">
        <v>14722</v>
      </c>
      <c r="UMC1" t="s">
        <v>14723</v>
      </c>
      <c r="UMD1" t="s">
        <v>14724</v>
      </c>
      <c r="UME1" t="s">
        <v>14725</v>
      </c>
      <c r="UMF1" t="s">
        <v>14726</v>
      </c>
      <c r="UMG1" t="s">
        <v>14727</v>
      </c>
      <c r="UMH1" t="s">
        <v>14728</v>
      </c>
      <c r="UMI1" t="s">
        <v>14729</v>
      </c>
      <c r="UMJ1" t="s">
        <v>14730</v>
      </c>
      <c r="UMK1" t="s">
        <v>14731</v>
      </c>
      <c r="UML1" t="s">
        <v>14732</v>
      </c>
      <c r="UMM1" t="s">
        <v>14733</v>
      </c>
      <c r="UMN1" t="s">
        <v>14734</v>
      </c>
      <c r="UMO1" t="s">
        <v>14735</v>
      </c>
      <c r="UMP1" t="s">
        <v>14736</v>
      </c>
      <c r="UMQ1" t="s">
        <v>14737</v>
      </c>
      <c r="UMR1" t="s">
        <v>14738</v>
      </c>
      <c r="UMS1" t="s">
        <v>14739</v>
      </c>
      <c r="UMT1" t="s">
        <v>14740</v>
      </c>
      <c r="UMU1" t="s">
        <v>14741</v>
      </c>
      <c r="UMV1" t="s">
        <v>14742</v>
      </c>
      <c r="UMW1" t="s">
        <v>14743</v>
      </c>
      <c r="UMX1" t="s">
        <v>14744</v>
      </c>
      <c r="UMY1" t="s">
        <v>14745</v>
      </c>
      <c r="UMZ1" t="s">
        <v>14746</v>
      </c>
      <c r="UNA1" t="s">
        <v>14747</v>
      </c>
      <c r="UNB1" t="s">
        <v>14748</v>
      </c>
      <c r="UNC1" t="s">
        <v>14749</v>
      </c>
      <c r="UND1" t="s">
        <v>14750</v>
      </c>
      <c r="UNE1" t="s">
        <v>14751</v>
      </c>
      <c r="UNF1" t="s">
        <v>14752</v>
      </c>
      <c r="UNG1" t="s">
        <v>14753</v>
      </c>
      <c r="UNH1" t="s">
        <v>14754</v>
      </c>
      <c r="UNI1" t="s">
        <v>14755</v>
      </c>
      <c r="UNJ1" t="s">
        <v>14756</v>
      </c>
      <c r="UNK1" t="s">
        <v>14757</v>
      </c>
      <c r="UNL1" t="s">
        <v>14758</v>
      </c>
      <c r="UNM1" t="s">
        <v>14759</v>
      </c>
      <c r="UNN1" t="s">
        <v>14760</v>
      </c>
      <c r="UNO1" t="s">
        <v>14761</v>
      </c>
      <c r="UNP1" t="s">
        <v>14762</v>
      </c>
      <c r="UNQ1" t="s">
        <v>14763</v>
      </c>
      <c r="UNR1" t="s">
        <v>14764</v>
      </c>
      <c r="UNS1" t="s">
        <v>14765</v>
      </c>
      <c r="UNT1" t="s">
        <v>14766</v>
      </c>
      <c r="UNU1" t="s">
        <v>14767</v>
      </c>
      <c r="UNV1" t="s">
        <v>14768</v>
      </c>
      <c r="UNW1" t="s">
        <v>14769</v>
      </c>
      <c r="UNX1" t="s">
        <v>14770</v>
      </c>
      <c r="UNY1" t="s">
        <v>14771</v>
      </c>
      <c r="UNZ1" t="s">
        <v>14772</v>
      </c>
      <c r="UOA1" t="s">
        <v>14773</v>
      </c>
      <c r="UOB1" t="s">
        <v>14774</v>
      </c>
      <c r="UOC1" t="s">
        <v>14775</v>
      </c>
      <c r="UOD1" t="s">
        <v>14776</v>
      </c>
      <c r="UOE1" t="s">
        <v>14777</v>
      </c>
      <c r="UOF1" t="s">
        <v>14778</v>
      </c>
      <c r="UOG1" t="s">
        <v>14779</v>
      </c>
      <c r="UOH1" t="s">
        <v>14780</v>
      </c>
      <c r="UOI1" t="s">
        <v>14781</v>
      </c>
      <c r="UOJ1" t="s">
        <v>14782</v>
      </c>
      <c r="UOK1" t="s">
        <v>14783</v>
      </c>
      <c r="UOL1" t="s">
        <v>14784</v>
      </c>
      <c r="UOM1" t="s">
        <v>14785</v>
      </c>
      <c r="UON1" t="s">
        <v>14786</v>
      </c>
      <c r="UOO1" t="s">
        <v>14787</v>
      </c>
      <c r="UOP1" t="s">
        <v>14788</v>
      </c>
      <c r="UOQ1" t="s">
        <v>14789</v>
      </c>
      <c r="UOR1" t="s">
        <v>14790</v>
      </c>
      <c r="UOS1" t="s">
        <v>14791</v>
      </c>
      <c r="UOT1" t="s">
        <v>14792</v>
      </c>
      <c r="UOU1" t="s">
        <v>14793</v>
      </c>
      <c r="UOV1" t="s">
        <v>14794</v>
      </c>
      <c r="UOW1" t="s">
        <v>14795</v>
      </c>
      <c r="UOX1" t="s">
        <v>14796</v>
      </c>
      <c r="UOY1" t="s">
        <v>14797</v>
      </c>
      <c r="UOZ1" t="s">
        <v>14798</v>
      </c>
      <c r="UPA1" t="s">
        <v>14799</v>
      </c>
      <c r="UPB1" t="s">
        <v>14800</v>
      </c>
      <c r="UPC1" t="s">
        <v>14801</v>
      </c>
      <c r="UPD1" t="s">
        <v>14802</v>
      </c>
      <c r="UPE1" t="s">
        <v>14803</v>
      </c>
      <c r="UPF1" t="s">
        <v>14804</v>
      </c>
      <c r="UPG1" t="s">
        <v>14805</v>
      </c>
      <c r="UPH1" t="s">
        <v>14806</v>
      </c>
      <c r="UPI1" t="s">
        <v>14807</v>
      </c>
      <c r="UPJ1" t="s">
        <v>14808</v>
      </c>
      <c r="UPK1" t="s">
        <v>14809</v>
      </c>
      <c r="UPL1" t="s">
        <v>14810</v>
      </c>
      <c r="UPM1" t="s">
        <v>14811</v>
      </c>
      <c r="UPN1" t="s">
        <v>14812</v>
      </c>
      <c r="UPO1" t="s">
        <v>14813</v>
      </c>
      <c r="UPP1" t="s">
        <v>14814</v>
      </c>
      <c r="UPQ1" t="s">
        <v>14815</v>
      </c>
      <c r="UPR1" t="s">
        <v>14816</v>
      </c>
      <c r="UPS1" t="s">
        <v>14817</v>
      </c>
      <c r="UPT1" t="s">
        <v>14818</v>
      </c>
      <c r="UPU1" t="s">
        <v>14819</v>
      </c>
      <c r="UPV1" t="s">
        <v>14820</v>
      </c>
      <c r="UPW1" t="s">
        <v>14821</v>
      </c>
      <c r="UPX1" t="s">
        <v>14822</v>
      </c>
      <c r="UPY1" t="s">
        <v>14823</v>
      </c>
      <c r="UPZ1" t="s">
        <v>14824</v>
      </c>
      <c r="UQA1" t="s">
        <v>14825</v>
      </c>
      <c r="UQB1" t="s">
        <v>14826</v>
      </c>
      <c r="UQC1" t="s">
        <v>14827</v>
      </c>
      <c r="UQD1" t="s">
        <v>14828</v>
      </c>
      <c r="UQE1" t="s">
        <v>14829</v>
      </c>
      <c r="UQF1" t="s">
        <v>14830</v>
      </c>
      <c r="UQG1" t="s">
        <v>14831</v>
      </c>
      <c r="UQH1" t="s">
        <v>14832</v>
      </c>
      <c r="UQI1" t="s">
        <v>14833</v>
      </c>
      <c r="UQJ1" t="s">
        <v>14834</v>
      </c>
      <c r="UQK1" t="s">
        <v>14835</v>
      </c>
      <c r="UQL1" t="s">
        <v>14836</v>
      </c>
      <c r="UQM1" t="s">
        <v>14837</v>
      </c>
      <c r="UQN1" t="s">
        <v>14838</v>
      </c>
      <c r="UQO1" t="s">
        <v>14839</v>
      </c>
      <c r="UQP1" t="s">
        <v>14840</v>
      </c>
      <c r="UQQ1" t="s">
        <v>14841</v>
      </c>
      <c r="UQR1" t="s">
        <v>14842</v>
      </c>
      <c r="UQS1" t="s">
        <v>14843</v>
      </c>
      <c r="UQT1" t="s">
        <v>14844</v>
      </c>
      <c r="UQU1" t="s">
        <v>14845</v>
      </c>
      <c r="UQV1" t="s">
        <v>14846</v>
      </c>
      <c r="UQW1" t="s">
        <v>14847</v>
      </c>
      <c r="UQX1" t="s">
        <v>14848</v>
      </c>
      <c r="UQY1" t="s">
        <v>14849</v>
      </c>
      <c r="UQZ1" t="s">
        <v>14850</v>
      </c>
      <c r="URA1" t="s">
        <v>14851</v>
      </c>
      <c r="URB1" t="s">
        <v>14852</v>
      </c>
      <c r="URC1" t="s">
        <v>14853</v>
      </c>
      <c r="URD1" t="s">
        <v>14854</v>
      </c>
      <c r="URE1" t="s">
        <v>14855</v>
      </c>
      <c r="URF1" t="s">
        <v>14856</v>
      </c>
      <c r="URG1" t="s">
        <v>14857</v>
      </c>
      <c r="URH1" t="s">
        <v>14858</v>
      </c>
      <c r="URI1" t="s">
        <v>14859</v>
      </c>
      <c r="URJ1" t="s">
        <v>14860</v>
      </c>
      <c r="URK1" t="s">
        <v>14861</v>
      </c>
      <c r="URL1" t="s">
        <v>14862</v>
      </c>
      <c r="URM1" t="s">
        <v>14863</v>
      </c>
      <c r="URN1" t="s">
        <v>14864</v>
      </c>
      <c r="URO1" t="s">
        <v>14865</v>
      </c>
      <c r="URP1" t="s">
        <v>14866</v>
      </c>
      <c r="URQ1" t="s">
        <v>14867</v>
      </c>
      <c r="URR1" t="s">
        <v>14868</v>
      </c>
      <c r="URS1" t="s">
        <v>14869</v>
      </c>
      <c r="URT1" t="s">
        <v>14870</v>
      </c>
      <c r="URU1" t="s">
        <v>14871</v>
      </c>
      <c r="URV1" t="s">
        <v>14872</v>
      </c>
      <c r="URW1" t="s">
        <v>14873</v>
      </c>
      <c r="URX1" t="s">
        <v>14874</v>
      </c>
      <c r="URY1" t="s">
        <v>14875</v>
      </c>
      <c r="URZ1" t="s">
        <v>14876</v>
      </c>
      <c r="USA1" t="s">
        <v>14877</v>
      </c>
      <c r="USB1" t="s">
        <v>14878</v>
      </c>
      <c r="USC1" t="s">
        <v>14879</v>
      </c>
      <c r="USD1" t="s">
        <v>14880</v>
      </c>
      <c r="USE1" t="s">
        <v>14881</v>
      </c>
      <c r="USF1" t="s">
        <v>14882</v>
      </c>
      <c r="USG1" t="s">
        <v>14883</v>
      </c>
      <c r="USH1" t="s">
        <v>14884</v>
      </c>
      <c r="USI1" t="s">
        <v>14885</v>
      </c>
      <c r="USJ1" t="s">
        <v>14886</v>
      </c>
      <c r="USK1" t="s">
        <v>14887</v>
      </c>
      <c r="USL1" t="s">
        <v>14888</v>
      </c>
      <c r="USM1" t="s">
        <v>14889</v>
      </c>
      <c r="USN1" t="s">
        <v>14890</v>
      </c>
      <c r="USO1" t="s">
        <v>14891</v>
      </c>
      <c r="USP1" t="s">
        <v>14892</v>
      </c>
      <c r="USQ1" t="s">
        <v>14893</v>
      </c>
      <c r="USR1" t="s">
        <v>14894</v>
      </c>
      <c r="USS1" t="s">
        <v>14895</v>
      </c>
      <c r="UST1" t="s">
        <v>14896</v>
      </c>
      <c r="USU1" t="s">
        <v>14897</v>
      </c>
      <c r="USV1" t="s">
        <v>14898</v>
      </c>
      <c r="USW1" t="s">
        <v>14899</v>
      </c>
      <c r="USX1" t="s">
        <v>14900</v>
      </c>
      <c r="USY1" t="s">
        <v>14901</v>
      </c>
      <c r="USZ1" t="s">
        <v>14902</v>
      </c>
      <c r="UTA1" t="s">
        <v>14903</v>
      </c>
      <c r="UTB1" t="s">
        <v>14904</v>
      </c>
      <c r="UTC1" t="s">
        <v>14905</v>
      </c>
      <c r="UTD1" t="s">
        <v>14906</v>
      </c>
      <c r="UTE1" t="s">
        <v>14907</v>
      </c>
      <c r="UTF1" t="s">
        <v>14908</v>
      </c>
      <c r="UTG1" t="s">
        <v>14909</v>
      </c>
      <c r="UTH1" t="s">
        <v>14910</v>
      </c>
      <c r="UTI1" t="s">
        <v>14911</v>
      </c>
      <c r="UTJ1" t="s">
        <v>14912</v>
      </c>
      <c r="UTK1" t="s">
        <v>14913</v>
      </c>
      <c r="UTL1" t="s">
        <v>14914</v>
      </c>
      <c r="UTM1" t="s">
        <v>14915</v>
      </c>
      <c r="UTN1" t="s">
        <v>14916</v>
      </c>
      <c r="UTO1" t="s">
        <v>14917</v>
      </c>
      <c r="UTP1" t="s">
        <v>14918</v>
      </c>
      <c r="UTQ1" t="s">
        <v>14919</v>
      </c>
      <c r="UTR1" t="s">
        <v>14920</v>
      </c>
      <c r="UTS1" t="s">
        <v>14921</v>
      </c>
      <c r="UTT1" t="s">
        <v>14922</v>
      </c>
      <c r="UTU1" t="s">
        <v>14923</v>
      </c>
      <c r="UTV1" t="s">
        <v>14924</v>
      </c>
      <c r="UTW1" t="s">
        <v>14925</v>
      </c>
      <c r="UTX1" t="s">
        <v>14926</v>
      </c>
      <c r="UTY1" t="s">
        <v>14927</v>
      </c>
      <c r="UTZ1" t="s">
        <v>14928</v>
      </c>
      <c r="UUA1" t="s">
        <v>14929</v>
      </c>
      <c r="UUB1" t="s">
        <v>14930</v>
      </c>
      <c r="UUC1" t="s">
        <v>14931</v>
      </c>
      <c r="UUD1" t="s">
        <v>14932</v>
      </c>
      <c r="UUE1" t="s">
        <v>14933</v>
      </c>
      <c r="UUF1" t="s">
        <v>14934</v>
      </c>
      <c r="UUG1" t="s">
        <v>14935</v>
      </c>
      <c r="UUH1" t="s">
        <v>14936</v>
      </c>
      <c r="UUI1" t="s">
        <v>14937</v>
      </c>
      <c r="UUJ1" t="s">
        <v>14938</v>
      </c>
      <c r="UUK1" t="s">
        <v>14939</v>
      </c>
      <c r="UUL1" t="s">
        <v>14940</v>
      </c>
      <c r="UUM1" t="s">
        <v>14941</v>
      </c>
      <c r="UUN1" t="s">
        <v>14942</v>
      </c>
      <c r="UUO1" t="s">
        <v>14943</v>
      </c>
      <c r="UUP1" t="s">
        <v>14944</v>
      </c>
      <c r="UUQ1" t="s">
        <v>14945</v>
      </c>
      <c r="UUR1" t="s">
        <v>14946</v>
      </c>
      <c r="UUS1" t="s">
        <v>14947</v>
      </c>
      <c r="UUT1" t="s">
        <v>14948</v>
      </c>
      <c r="UUU1" t="s">
        <v>14949</v>
      </c>
      <c r="UUV1" t="s">
        <v>14950</v>
      </c>
      <c r="UUW1" t="s">
        <v>14951</v>
      </c>
      <c r="UUX1" t="s">
        <v>14952</v>
      </c>
      <c r="UUY1" t="s">
        <v>14953</v>
      </c>
      <c r="UUZ1" t="s">
        <v>14954</v>
      </c>
      <c r="UVA1" t="s">
        <v>14955</v>
      </c>
      <c r="UVB1" t="s">
        <v>14956</v>
      </c>
      <c r="UVC1" t="s">
        <v>14957</v>
      </c>
      <c r="UVD1" t="s">
        <v>14958</v>
      </c>
      <c r="UVE1" t="s">
        <v>14959</v>
      </c>
      <c r="UVF1" t="s">
        <v>14960</v>
      </c>
      <c r="UVG1" t="s">
        <v>14961</v>
      </c>
      <c r="UVH1" t="s">
        <v>14962</v>
      </c>
      <c r="UVI1" t="s">
        <v>14963</v>
      </c>
      <c r="UVJ1" t="s">
        <v>14964</v>
      </c>
      <c r="UVK1" t="s">
        <v>14965</v>
      </c>
      <c r="UVL1" t="s">
        <v>14966</v>
      </c>
      <c r="UVM1" t="s">
        <v>14967</v>
      </c>
      <c r="UVN1" t="s">
        <v>14968</v>
      </c>
      <c r="UVO1" t="s">
        <v>14969</v>
      </c>
      <c r="UVP1" t="s">
        <v>14970</v>
      </c>
      <c r="UVQ1" t="s">
        <v>14971</v>
      </c>
      <c r="UVR1" t="s">
        <v>14972</v>
      </c>
      <c r="UVS1" t="s">
        <v>14973</v>
      </c>
      <c r="UVT1" t="s">
        <v>14974</v>
      </c>
      <c r="UVU1" t="s">
        <v>14975</v>
      </c>
      <c r="UVV1" t="s">
        <v>14976</v>
      </c>
      <c r="UVW1" t="s">
        <v>14977</v>
      </c>
      <c r="UVX1" t="s">
        <v>14978</v>
      </c>
      <c r="UVY1" t="s">
        <v>14979</v>
      </c>
      <c r="UVZ1" t="s">
        <v>14980</v>
      </c>
      <c r="UWA1" t="s">
        <v>14981</v>
      </c>
      <c r="UWB1" t="s">
        <v>14982</v>
      </c>
      <c r="UWC1" t="s">
        <v>14983</v>
      </c>
      <c r="UWD1" t="s">
        <v>14984</v>
      </c>
      <c r="UWE1" t="s">
        <v>14985</v>
      </c>
      <c r="UWF1" t="s">
        <v>14986</v>
      </c>
      <c r="UWG1" t="s">
        <v>14987</v>
      </c>
      <c r="UWH1" t="s">
        <v>14988</v>
      </c>
      <c r="UWI1" t="s">
        <v>14989</v>
      </c>
      <c r="UWJ1" t="s">
        <v>14990</v>
      </c>
      <c r="UWK1" t="s">
        <v>14991</v>
      </c>
      <c r="UWL1" t="s">
        <v>14992</v>
      </c>
      <c r="UWM1" t="s">
        <v>14993</v>
      </c>
      <c r="UWN1" t="s">
        <v>14994</v>
      </c>
      <c r="UWO1" t="s">
        <v>14995</v>
      </c>
      <c r="UWP1" t="s">
        <v>14996</v>
      </c>
      <c r="UWQ1" t="s">
        <v>14997</v>
      </c>
      <c r="UWR1" t="s">
        <v>14998</v>
      </c>
      <c r="UWS1" t="s">
        <v>14999</v>
      </c>
      <c r="UWT1" t="s">
        <v>15000</v>
      </c>
      <c r="UWU1" t="s">
        <v>15001</v>
      </c>
      <c r="UWV1" t="s">
        <v>15002</v>
      </c>
      <c r="UWW1" t="s">
        <v>15003</v>
      </c>
      <c r="UWX1" t="s">
        <v>15004</v>
      </c>
      <c r="UWY1" t="s">
        <v>15005</v>
      </c>
      <c r="UWZ1" t="s">
        <v>15006</v>
      </c>
      <c r="UXA1" t="s">
        <v>15007</v>
      </c>
      <c r="UXB1" t="s">
        <v>15008</v>
      </c>
      <c r="UXC1" t="s">
        <v>15009</v>
      </c>
      <c r="UXD1" t="s">
        <v>15010</v>
      </c>
      <c r="UXE1" t="s">
        <v>15011</v>
      </c>
      <c r="UXF1" t="s">
        <v>15012</v>
      </c>
      <c r="UXG1" t="s">
        <v>15013</v>
      </c>
      <c r="UXH1" t="s">
        <v>15014</v>
      </c>
      <c r="UXI1" t="s">
        <v>15015</v>
      </c>
      <c r="UXJ1" t="s">
        <v>15016</v>
      </c>
      <c r="UXK1" t="s">
        <v>15017</v>
      </c>
      <c r="UXL1" t="s">
        <v>15018</v>
      </c>
      <c r="UXM1" t="s">
        <v>15019</v>
      </c>
      <c r="UXN1" t="s">
        <v>15020</v>
      </c>
      <c r="UXO1" t="s">
        <v>15021</v>
      </c>
      <c r="UXP1" t="s">
        <v>15022</v>
      </c>
      <c r="UXQ1" t="s">
        <v>15023</v>
      </c>
      <c r="UXR1" t="s">
        <v>15024</v>
      </c>
      <c r="UXS1" t="s">
        <v>15025</v>
      </c>
      <c r="UXT1" t="s">
        <v>15026</v>
      </c>
      <c r="UXU1" t="s">
        <v>15027</v>
      </c>
      <c r="UXV1" t="s">
        <v>15028</v>
      </c>
      <c r="UXW1" t="s">
        <v>15029</v>
      </c>
      <c r="UXX1" t="s">
        <v>15030</v>
      </c>
      <c r="UXY1" t="s">
        <v>15031</v>
      </c>
      <c r="UXZ1" t="s">
        <v>15032</v>
      </c>
      <c r="UYA1" t="s">
        <v>15033</v>
      </c>
      <c r="UYB1" t="s">
        <v>15034</v>
      </c>
      <c r="UYC1" t="s">
        <v>15035</v>
      </c>
      <c r="UYD1" t="s">
        <v>15036</v>
      </c>
      <c r="UYE1" t="s">
        <v>15037</v>
      </c>
      <c r="UYF1" t="s">
        <v>15038</v>
      </c>
      <c r="UYG1" t="s">
        <v>15039</v>
      </c>
      <c r="UYH1" t="s">
        <v>15040</v>
      </c>
      <c r="UYI1" t="s">
        <v>15041</v>
      </c>
      <c r="UYJ1" t="s">
        <v>15042</v>
      </c>
      <c r="UYK1" t="s">
        <v>15043</v>
      </c>
      <c r="UYL1" t="s">
        <v>15044</v>
      </c>
      <c r="UYM1" t="s">
        <v>15045</v>
      </c>
      <c r="UYN1" t="s">
        <v>15046</v>
      </c>
      <c r="UYO1" t="s">
        <v>15047</v>
      </c>
      <c r="UYP1" t="s">
        <v>15048</v>
      </c>
      <c r="UYQ1" t="s">
        <v>15049</v>
      </c>
      <c r="UYR1" t="s">
        <v>15050</v>
      </c>
      <c r="UYS1" t="s">
        <v>15051</v>
      </c>
      <c r="UYT1" t="s">
        <v>15052</v>
      </c>
      <c r="UYU1" t="s">
        <v>15053</v>
      </c>
      <c r="UYV1" t="s">
        <v>15054</v>
      </c>
      <c r="UYW1" t="s">
        <v>15055</v>
      </c>
      <c r="UYX1" t="s">
        <v>15056</v>
      </c>
      <c r="UYY1" t="s">
        <v>15057</v>
      </c>
      <c r="UYZ1" t="s">
        <v>15058</v>
      </c>
      <c r="UZA1" t="s">
        <v>15059</v>
      </c>
      <c r="UZB1" t="s">
        <v>15060</v>
      </c>
      <c r="UZC1" t="s">
        <v>15061</v>
      </c>
      <c r="UZD1" t="s">
        <v>15062</v>
      </c>
      <c r="UZE1" t="s">
        <v>15063</v>
      </c>
      <c r="UZF1" t="s">
        <v>15064</v>
      </c>
      <c r="UZG1" t="s">
        <v>15065</v>
      </c>
      <c r="UZH1" t="s">
        <v>15066</v>
      </c>
      <c r="UZI1" t="s">
        <v>15067</v>
      </c>
      <c r="UZJ1" t="s">
        <v>15068</v>
      </c>
      <c r="UZK1" t="s">
        <v>15069</v>
      </c>
      <c r="UZL1" t="s">
        <v>15070</v>
      </c>
      <c r="UZM1" t="s">
        <v>15071</v>
      </c>
      <c r="UZN1" t="s">
        <v>15072</v>
      </c>
      <c r="UZO1" t="s">
        <v>15073</v>
      </c>
      <c r="UZP1" t="s">
        <v>15074</v>
      </c>
      <c r="UZQ1" t="s">
        <v>15075</v>
      </c>
      <c r="UZR1" t="s">
        <v>15076</v>
      </c>
      <c r="UZS1" t="s">
        <v>15077</v>
      </c>
      <c r="UZT1" t="s">
        <v>15078</v>
      </c>
      <c r="UZU1" t="s">
        <v>15079</v>
      </c>
      <c r="UZV1" t="s">
        <v>15080</v>
      </c>
      <c r="UZW1" t="s">
        <v>15081</v>
      </c>
      <c r="UZX1" t="s">
        <v>15082</v>
      </c>
      <c r="UZY1" t="s">
        <v>15083</v>
      </c>
      <c r="UZZ1" t="s">
        <v>15084</v>
      </c>
      <c r="VAA1" t="s">
        <v>15085</v>
      </c>
      <c r="VAB1" t="s">
        <v>15086</v>
      </c>
      <c r="VAC1" t="s">
        <v>15087</v>
      </c>
      <c r="VAD1" t="s">
        <v>15088</v>
      </c>
      <c r="VAE1" t="s">
        <v>15089</v>
      </c>
      <c r="VAF1" t="s">
        <v>15090</v>
      </c>
      <c r="VAG1" t="s">
        <v>15091</v>
      </c>
      <c r="VAH1" t="s">
        <v>15092</v>
      </c>
      <c r="VAI1" t="s">
        <v>15093</v>
      </c>
      <c r="VAJ1" t="s">
        <v>15094</v>
      </c>
      <c r="VAK1" t="s">
        <v>15095</v>
      </c>
      <c r="VAL1" t="s">
        <v>15096</v>
      </c>
      <c r="VAM1" t="s">
        <v>15097</v>
      </c>
      <c r="VAN1" t="s">
        <v>15098</v>
      </c>
      <c r="VAO1" t="s">
        <v>15099</v>
      </c>
      <c r="VAP1" t="s">
        <v>15100</v>
      </c>
      <c r="VAQ1" t="s">
        <v>15101</v>
      </c>
      <c r="VAR1" t="s">
        <v>15102</v>
      </c>
      <c r="VAS1" t="s">
        <v>15103</v>
      </c>
      <c r="VAT1" t="s">
        <v>15104</v>
      </c>
      <c r="VAU1" t="s">
        <v>15105</v>
      </c>
      <c r="VAV1" t="s">
        <v>15106</v>
      </c>
      <c r="VAW1" t="s">
        <v>15107</v>
      </c>
      <c r="VAX1" t="s">
        <v>15108</v>
      </c>
      <c r="VAY1" t="s">
        <v>15109</v>
      </c>
      <c r="VAZ1" t="s">
        <v>15110</v>
      </c>
      <c r="VBA1" t="s">
        <v>15111</v>
      </c>
      <c r="VBB1" t="s">
        <v>15112</v>
      </c>
      <c r="VBC1" t="s">
        <v>15113</v>
      </c>
      <c r="VBD1" t="s">
        <v>15114</v>
      </c>
      <c r="VBE1" t="s">
        <v>15115</v>
      </c>
      <c r="VBF1" t="s">
        <v>15116</v>
      </c>
      <c r="VBG1" t="s">
        <v>15117</v>
      </c>
      <c r="VBH1" t="s">
        <v>15118</v>
      </c>
      <c r="VBI1" t="s">
        <v>15119</v>
      </c>
      <c r="VBJ1" t="s">
        <v>15120</v>
      </c>
      <c r="VBK1" t="s">
        <v>15121</v>
      </c>
      <c r="VBL1" t="s">
        <v>15122</v>
      </c>
      <c r="VBM1" t="s">
        <v>15123</v>
      </c>
      <c r="VBN1" t="s">
        <v>15124</v>
      </c>
      <c r="VBO1" t="s">
        <v>15125</v>
      </c>
      <c r="VBP1" t="s">
        <v>15126</v>
      </c>
      <c r="VBQ1" t="s">
        <v>15127</v>
      </c>
      <c r="VBR1" t="s">
        <v>15128</v>
      </c>
      <c r="VBS1" t="s">
        <v>15129</v>
      </c>
      <c r="VBT1" t="s">
        <v>15130</v>
      </c>
      <c r="VBU1" t="s">
        <v>15131</v>
      </c>
      <c r="VBV1" t="s">
        <v>15132</v>
      </c>
      <c r="VBW1" t="s">
        <v>15133</v>
      </c>
      <c r="VBX1" t="s">
        <v>15134</v>
      </c>
      <c r="VBY1" t="s">
        <v>15135</v>
      </c>
      <c r="VBZ1" t="s">
        <v>15136</v>
      </c>
      <c r="VCA1" t="s">
        <v>15137</v>
      </c>
      <c r="VCB1" t="s">
        <v>15138</v>
      </c>
      <c r="VCC1" t="s">
        <v>15139</v>
      </c>
      <c r="VCD1" t="s">
        <v>15140</v>
      </c>
      <c r="VCE1" t="s">
        <v>15141</v>
      </c>
      <c r="VCF1" t="s">
        <v>15142</v>
      </c>
      <c r="VCG1" t="s">
        <v>15143</v>
      </c>
      <c r="VCH1" t="s">
        <v>15144</v>
      </c>
      <c r="VCI1" t="s">
        <v>15145</v>
      </c>
      <c r="VCJ1" t="s">
        <v>15146</v>
      </c>
      <c r="VCK1" t="s">
        <v>15147</v>
      </c>
      <c r="VCL1" t="s">
        <v>15148</v>
      </c>
      <c r="VCM1" t="s">
        <v>15149</v>
      </c>
      <c r="VCN1" t="s">
        <v>15150</v>
      </c>
      <c r="VCO1" t="s">
        <v>15151</v>
      </c>
      <c r="VCP1" t="s">
        <v>15152</v>
      </c>
      <c r="VCQ1" t="s">
        <v>15153</v>
      </c>
      <c r="VCR1" t="s">
        <v>15154</v>
      </c>
      <c r="VCS1" t="s">
        <v>15155</v>
      </c>
      <c r="VCT1" t="s">
        <v>15156</v>
      </c>
      <c r="VCU1" t="s">
        <v>15157</v>
      </c>
      <c r="VCV1" t="s">
        <v>15158</v>
      </c>
      <c r="VCW1" t="s">
        <v>15159</v>
      </c>
      <c r="VCX1" t="s">
        <v>15160</v>
      </c>
      <c r="VCY1" t="s">
        <v>15161</v>
      </c>
      <c r="VCZ1" t="s">
        <v>15162</v>
      </c>
      <c r="VDA1" t="s">
        <v>15163</v>
      </c>
      <c r="VDB1" t="s">
        <v>15164</v>
      </c>
      <c r="VDC1" t="s">
        <v>15165</v>
      </c>
      <c r="VDD1" t="s">
        <v>15166</v>
      </c>
      <c r="VDE1" t="s">
        <v>15167</v>
      </c>
      <c r="VDF1" t="s">
        <v>15168</v>
      </c>
      <c r="VDG1" t="s">
        <v>15169</v>
      </c>
      <c r="VDH1" t="s">
        <v>15170</v>
      </c>
      <c r="VDI1" t="s">
        <v>15171</v>
      </c>
      <c r="VDJ1" t="s">
        <v>15172</v>
      </c>
      <c r="VDK1" t="s">
        <v>15173</v>
      </c>
      <c r="VDL1" t="s">
        <v>15174</v>
      </c>
      <c r="VDM1" t="s">
        <v>15175</v>
      </c>
      <c r="VDN1" t="s">
        <v>15176</v>
      </c>
      <c r="VDO1" t="s">
        <v>15177</v>
      </c>
      <c r="VDP1" t="s">
        <v>15178</v>
      </c>
      <c r="VDQ1" t="s">
        <v>15179</v>
      </c>
      <c r="VDR1" t="s">
        <v>15180</v>
      </c>
      <c r="VDS1" t="s">
        <v>15181</v>
      </c>
      <c r="VDT1" t="s">
        <v>15182</v>
      </c>
      <c r="VDU1" t="s">
        <v>15183</v>
      </c>
      <c r="VDV1" t="s">
        <v>15184</v>
      </c>
      <c r="VDW1" t="s">
        <v>15185</v>
      </c>
      <c r="VDX1" t="s">
        <v>15186</v>
      </c>
      <c r="VDY1" t="s">
        <v>15187</v>
      </c>
      <c r="VDZ1" t="s">
        <v>15188</v>
      </c>
      <c r="VEA1" t="s">
        <v>15189</v>
      </c>
      <c r="VEB1" t="s">
        <v>15190</v>
      </c>
      <c r="VEC1" t="s">
        <v>15191</v>
      </c>
      <c r="VED1" t="s">
        <v>15192</v>
      </c>
      <c r="VEE1" t="s">
        <v>15193</v>
      </c>
      <c r="VEF1" t="s">
        <v>15194</v>
      </c>
      <c r="VEG1" t="s">
        <v>15195</v>
      </c>
      <c r="VEH1" t="s">
        <v>15196</v>
      </c>
      <c r="VEI1" t="s">
        <v>15197</v>
      </c>
      <c r="VEJ1" t="s">
        <v>15198</v>
      </c>
      <c r="VEK1" t="s">
        <v>15199</v>
      </c>
      <c r="VEL1" t="s">
        <v>15200</v>
      </c>
      <c r="VEM1" t="s">
        <v>15201</v>
      </c>
      <c r="VEN1" t="s">
        <v>15202</v>
      </c>
      <c r="VEO1" t="s">
        <v>15203</v>
      </c>
      <c r="VEP1" t="s">
        <v>15204</v>
      </c>
      <c r="VEQ1" t="s">
        <v>15205</v>
      </c>
      <c r="VER1" t="s">
        <v>15206</v>
      </c>
      <c r="VES1" t="s">
        <v>15207</v>
      </c>
      <c r="VET1" t="s">
        <v>15208</v>
      </c>
      <c r="VEU1" t="s">
        <v>15209</v>
      </c>
      <c r="VEV1" t="s">
        <v>15210</v>
      </c>
      <c r="VEW1" t="s">
        <v>15211</v>
      </c>
      <c r="VEX1" t="s">
        <v>15212</v>
      </c>
      <c r="VEY1" t="s">
        <v>15213</v>
      </c>
      <c r="VEZ1" t="s">
        <v>15214</v>
      </c>
      <c r="VFA1" t="s">
        <v>15215</v>
      </c>
      <c r="VFB1" t="s">
        <v>15216</v>
      </c>
      <c r="VFC1" t="s">
        <v>15217</v>
      </c>
      <c r="VFD1" t="s">
        <v>15218</v>
      </c>
      <c r="VFE1" t="s">
        <v>15219</v>
      </c>
      <c r="VFF1" t="s">
        <v>15220</v>
      </c>
      <c r="VFG1" t="s">
        <v>15221</v>
      </c>
      <c r="VFH1" t="s">
        <v>15222</v>
      </c>
      <c r="VFI1" t="s">
        <v>15223</v>
      </c>
      <c r="VFJ1" t="s">
        <v>15224</v>
      </c>
      <c r="VFK1" t="s">
        <v>15225</v>
      </c>
      <c r="VFL1" t="s">
        <v>15226</v>
      </c>
      <c r="VFM1" t="s">
        <v>15227</v>
      </c>
      <c r="VFN1" t="s">
        <v>15228</v>
      </c>
      <c r="VFO1" t="s">
        <v>15229</v>
      </c>
      <c r="VFP1" t="s">
        <v>15230</v>
      </c>
      <c r="VFQ1" t="s">
        <v>15231</v>
      </c>
      <c r="VFR1" t="s">
        <v>15232</v>
      </c>
      <c r="VFS1" t="s">
        <v>15233</v>
      </c>
      <c r="VFT1" t="s">
        <v>15234</v>
      </c>
      <c r="VFU1" t="s">
        <v>15235</v>
      </c>
      <c r="VFV1" t="s">
        <v>15236</v>
      </c>
      <c r="VFW1" t="s">
        <v>15237</v>
      </c>
      <c r="VFX1" t="s">
        <v>15238</v>
      </c>
      <c r="VFY1" t="s">
        <v>15239</v>
      </c>
      <c r="VFZ1" t="s">
        <v>15240</v>
      </c>
      <c r="VGA1" t="s">
        <v>15241</v>
      </c>
      <c r="VGB1" t="s">
        <v>15242</v>
      </c>
      <c r="VGC1" t="s">
        <v>15243</v>
      </c>
      <c r="VGD1" t="s">
        <v>15244</v>
      </c>
      <c r="VGE1" t="s">
        <v>15245</v>
      </c>
      <c r="VGF1" t="s">
        <v>15246</v>
      </c>
      <c r="VGG1" t="s">
        <v>15247</v>
      </c>
      <c r="VGH1" t="s">
        <v>15248</v>
      </c>
      <c r="VGI1" t="s">
        <v>15249</v>
      </c>
      <c r="VGJ1" t="s">
        <v>15250</v>
      </c>
      <c r="VGK1" t="s">
        <v>15251</v>
      </c>
      <c r="VGL1" t="s">
        <v>15252</v>
      </c>
      <c r="VGM1" t="s">
        <v>15253</v>
      </c>
      <c r="VGN1" t="s">
        <v>15254</v>
      </c>
      <c r="VGO1" t="s">
        <v>15255</v>
      </c>
      <c r="VGP1" t="s">
        <v>15256</v>
      </c>
      <c r="VGQ1" t="s">
        <v>15257</v>
      </c>
      <c r="VGR1" t="s">
        <v>15258</v>
      </c>
      <c r="VGS1" t="s">
        <v>15259</v>
      </c>
      <c r="VGT1" t="s">
        <v>15260</v>
      </c>
      <c r="VGU1" t="s">
        <v>15261</v>
      </c>
      <c r="VGV1" t="s">
        <v>15262</v>
      </c>
      <c r="VGW1" t="s">
        <v>15263</v>
      </c>
      <c r="VGX1" t="s">
        <v>15264</v>
      </c>
      <c r="VGY1" t="s">
        <v>15265</v>
      </c>
      <c r="VGZ1" t="s">
        <v>15266</v>
      </c>
      <c r="VHA1" t="s">
        <v>15267</v>
      </c>
      <c r="VHB1" t="s">
        <v>15268</v>
      </c>
      <c r="VHC1" t="s">
        <v>15269</v>
      </c>
      <c r="VHD1" t="s">
        <v>15270</v>
      </c>
      <c r="VHE1" t="s">
        <v>15271</v>
      </c>
      <c r="VHF1" t="s">
        <v>15272</v>
      </c>
      <c r="VHG1" t="s">
        <v>15273</v>
      </c>
      <c r="VHH1" t="s">
        <v>15274</v>
      </c>
      <c r="VHI1" t="s">
        <v>15275</v>
      </c>
      <c r="VHJ1" t="s">
        <v>15276</v>
      </c>
      <c r="VHK1" t="s">
        <v>15277</v>
      </c>
      <c r="VHL1" t="s">
        <v>15278</v>
      </c>
      <c r="VHM1" t="s">
        <v>15279</v>
      </c>
      <c r="VHN1" t="s">
        <v>15280</v>
      </c>
      <c r="VHO1" t="s">
        <v>15281</v>
      </c>
      <c r="VHP1" t="s">
        <v>15282</v>
      </c>
      <c r="VHQ1" t="s">
        <v>15283</v>
      </c>
      <c r="VHR1" t="s">
        <v>15284</v>
      </c>
      <c r="VHS1" t="s">
        <v>15285</v>
      </c>
      <c r="VHT1" t="s">
        <v>15286</v>
      </c>
      <c r="VHU1" t="s">
        <v>15287</v>
      </c>
      <c r="VHV1" t="s">
        <v>15288</v>
      </c>
      <c r="VHW1" t="s">
        <v>15289</v>
      </c>
      <c r="VHX1" t="s">
        <v>15290</v>
      </c>
      <c r="VHY1" t="s">
        <v>15291</v>
      </c>
      <c r="VHZ1" t="s">
        <v>15292</v>
      </c>
      <c r="VIA1" t="s">
        <v>15293</v>
      </c>
      <c r="VIB1" t="s">
        <v>15294</v>
      </c>
      <c r="VIC1" t="s">
        <v>15295</v>
      </c>
      <c r="VID1" t="s">
        <v>15296</v>
      </c>
      <c r="VIE1" t="s">
        <v>15297</v>
      </c>
      <c r="VIF1" t="s">
        <v>15298</v>
      </c>
      <c r="VIG1" t="s">
        <v>15299</v>
      </c>
      <c r="VIH1" t="s">
        <v>15300</v>
      </c>
      <c r="VII1" t="s">
        <v>15301</v>
      </c>
      <c r="VIJ1" t="s">
        <v>15302</v>
      </c>
      <c r="VIK1" t="s">
        <v>15303</v>
      </c>
      <c r="VIL1" t="s">
        <v>15304</v>
      </c>
      <c r="VIM1" t="s">
        <v>15305</v>
      </c>
      <c r="VIN1" t="s">
        <v>15306</v>
      </c>
      <c r="VIO1" t="s">
        <v>15307</v>
      </c>
      <c r="VIP1" t="s">
        <v>15308</v>
      </c>
      <c r="VIQ1" t="s">
        <v>15309</v>
      </c>
      <c r="VIR1" t="s">
        <v>15310</v>
      </c>
      <c r="VIS1" t="s">
        <v>15311</v>
      </c>
      <c r="VIT1" t="s">
        <v>15312</v>
      </c>
      <c r="VIU1" t="s">
        <v>15313</v>
      </c>
      <c r="VIV1" t="s">
        <v>15314</v>
      </c>
      <c r="VIW1" t="s">
        <v>15315</v>
      </c>
      <c r="VIX1" t="s">
        <v>15316</v>
      </c>
      <c r="VIY1" t="s">
        <v>15317</v>
      </c>
      <c r="VIZ1" t="s">
        <v>15318</v>
      </c>
      <c r="VJA1" t="s">
        <v>15319</v>
      </c>
      <c r="VJB1" t="s">
        <v>15320</v>
      </c>
      <c r="VJC1" t="s">
        <v>15321</v>
      </c>
      <c r="VJD1" t="s">
        <v>15322</v>
      </c>
      <c r="VJE1" t="s">
        <v>15323</v>
      </c>
      <c r="VJF1" t="s">
        <v>15324</v>
      </c>
      <c r="VJG1" t="s">
        <v>15325</v>
      </c>
      <c r="VJH1" t="s">
        <v>15326</v>
      </c>
      <c r="VJI1" t="s">
        <v>15327</v>
      </c>
      <c r="VJJ1" t="s">
        <v>15328</v>
      </c>
      <c r="VJK1" t="s">
        <v>15329</v>
      </c>
      <c r="VJL1" t="s">
        <v>15330</v>
      </c>
      <c r="VJM1" t="s">
        <v>15331</v>
      </c>
      <c r="VJN1" t="s">
        <v>15332</v>
      </c>
      <c r="VJO1" t="s">
        <v>15333</v>
      </c>
      <c r="VJP1" t="s">
        <v>15334</v>
      </c>
      <c r="VJQ1" t="s">
        <v>15335</v>
      </c>
      <c r="VJR1" t="s">
        <v>15336</v>
      </c>
      <c r="VJS1" t="s">
        <v>15337</v>
      </c>
      <c r="VJT1" t="s">
        <v>15338</v>
      </c>
      <c r="VJU1" t="s">
        <v>15339</v>
      </c>
      <c r="VJV1" t="s">
        <v>15340</v>
      </c>
      <c r="VJW1" t="s">
        <v>15341</v>
      </c>
      <c r="VJX1" t="s">
        <v>15342</v>
      </c>
      <c r="VJY1" t="s">
        <v>15343</v>
      </c>
      <c r="VJZ1" t="s">
        <v>15344</v>
      </c>
      <c r="VKA1" t="s">
        <v>15345</v>
      </c>
      <c r="VKB1" t="s">
        <v>15346</v>
      </c>
      <c r="VKC1" t="s">
        <v>15347</v>
      </c>
      <c r="VKD1" t="s">
        <v>15348</v>
      </c>
      <c r="VKE1" t="s">
        <v>15349</v>
      </c>
      <c r="VKF1" t="s">
        <v>15350</v>
      </c>
      <c r="VKG1" t="s">
        <v>15351</v>
      </c>
      <c r="VKH1" t="s">
        <v>15352</v>
      </c>
      <c r="VKI1" t="s">
        <v>15353</v>
      </c>
      <c r="VKJ1" t="s">
        <v>15354</v>
      </c>
      <c r="VKK1" t="s">
        <v>15355</v>
      </c>
      <c r="VKL1" t="s">
        <v>15356</v>
      </c>
      <c r="VKM1" t="s">
        <v>15357</v>
      </c>
      <c r="VKN1" t="s">
        <v>15358</v>
      </c>
      <c r="VKO1" t="s">
        <v>15359</v>
      </c>
      <c r="VKP1" t="s">
        <v>15360</v>
      </c>
      <c r="VKQ1" t="s">
        <v>15361</v>
      </c>
      <c r="VKR1" t="s">
        <v>15362</v>
      </c>
      <c r="VKS1" t="s">
        <v>15363</v>
      </c>
      <c r="VKT1" t="s">
        <v>15364</v>
      </c>
      <c r="VKU1" t="s">
        <v>15365</v>
      </c>
      <c r="VKV1" t="s">
        <v>15366</v>
      </c>
      <c r="VKW1" t="s">
        <v>15367</v>
      </c>
      <c r="VKX1" t="s">
        <v>15368</v>
      </c>
      <c r="VKY1" t="s">
        <v>15369</v>
      </c>
      <c r="VKZ1" t="s">
        <v>15370</v>
      </c>
      <c r="VLA1" t="s">
        <v>15371</v>
      </c>
      <c r="VLB1" t="s">
        <v>15372</v>
      </c>
      <c r="VLC1" t="s">
        <v>15373</v>
      </c>
      <c r="VLD1" t="s">
        <v>15374</v>
      </c>
      <c r="VLE1" t="s">
        <v>15375</v>
      </c>
      <c r="VLF1" t="s">
        <v>15376</v>
      </c>
      <c r="VLG1" t="s">
        <v>15377</v>
      </c>
      <c r="VLH1" t="s">
        <v>15378</v>
      </c>
      <c r="VLI1" t="s">
        <v>15379</v>
      </c>
      <c r="VLJ1" t="s">
        <v>15380</v>
      </c>
      <c r="VLK1" t="s">
        <v>15381</v>
      </c>
      <c r="VLL1" t="s">
        <v>15382</v>
      </c>
      <c r="VLM1" t="s">
        <v>15383</v>
      </c>
      <c r="VLN1" t="s">
        <v>15384</v>
      </c>
      <c r="VLO1" t="s">
        <v>15385</v>
      </c>
      <c r="VLP1" t="s">
        <v>15386</v>
      </c>
      <c r="VLQ1" t="s">
        <v>15387</v>
      </c>
      <c r="VLR1" t="s">
        <v>15388</v>
      </c>
      <c r="VLS1" t="s">
        <v>15389</v>
      </c>
      <c r="VLT1" t="s">
        <v>15390</v>
      </c>
      <c r="VLU1" t="s">
        <v>15391</v>
      </c>
      <c r="VLV1" t="s">
        <v>15392</v>
      </c>
      <c r="VLW1" t="s">
        <v>15393</v>
      </c>
      <c r="VLX1" t="s">
        <v>15394</v>
      </c>
      <c r="VLY1" t="s">
        <v>15395</v>
      </c>
      <c r="VLZ1" t="s">
        <v>15396</v>
      </c>
      <c r="VMA1" t="s">
        <v>15397</v>
      </c>
      <c r="VMB1" t="s">
        <v>15398</v>
      </c>
      <c r="VMC1" t="s">
        <v>15399</v>
      </c>
      <c r="VMD1" t="s">
        <v>15400</v>
      </c>
      <c r="VME1" t="s">
        <v>15401</v>
      </c>
      <c r="VMF1" t="s">
        <v>15402</v>
      </c>
      <c r="VMG1" t="s">
        <v>15403</v>
      </c>
      <c r="VMH1" t="s">
        <v>15404</v>
      </c>
      <c r="VMI1" t="s">
        <v>15405</v>
      </c>
      <c r="VMJ1" t="s">
        <v>15406</v>
      </c>
      <c r="VMK1" t="s">
        <v>15407</v>
      </c>
      <c r="VML1" t="s">
        <v>15408</v>
      </c>
      <c r="VMM1" t="s">
        <v>15409</v>
      </c>
      <c r="VMN1" t="s">
        <v>15410</v>
      </c>
      <c r="VMO1" t="s">
        <v>15411</v>
      </c>
      <c r="VMP1" t="s">
        <v>15412</v>
      </c>
      <c r="VMQ1" t="s">
        <v>15413</v>
      </c>
      <c r="VMR1" t="s">
        <v>15414</v>
      </c>
      <c r="VMS1" t="s">
        <v>15415</v>
      </c>
      <c r="VMT1" t="s">
        <v>15416</v>
      </c>
      <c r="VMU1" t="s">
        <v>15417</v>
      </c>
      <c r="VMV1" t="s">
        <v>15418</v>
      </c>
      <c r="VMW1" t="s">
        <v>15419</v>
      </c>
      <c r="VMX1" t="s">
        <v>15420</v>
      </c>
      <c r="VMY1" t="s">
        <v>15421</v>
      </c>
      <c r="VMZ1" t="s">
        <v>15422</v>
      </c>
      <c r="VNA1" t="s">
        <v>15423</v>
      </c>
      <c r="VNB1" t="s">
        <v>15424</v>
      </c>
      <c r="VNC1" t="s">
        <v>15425</v>
      </c>
      <c r="VND1" t="s">
        <v>15426</v>
      </c>
      <c r="VNE1" t="s">
        <v>15427</v>
      </c>
      <c r="VNF1" t="s">
        <v>15428</v>
      </c>
      <c r="VNG1" t="s">
        <v>15429</v>
      </c>
      <c r="VNH1" t="s">
        <v>15430</v>
      </c>
      <c r="VNI1" t="s">
        <v>15431</v>
      </c>
      <c r="VNJ1" t="s">
        <v>15432</v>
      </c>
      <c r="VNK1" t="s">
        <v>15433</v>
      </c>
      <c r="VNL1" t="s">
        <v>15434</v>
      </c>
      <c r="VNM1" t="s">
        <v>15435</v>
      </c>
      <c r="VNN1" t="s">
        <v>15436</v>
      </c>
      <c r="VNO1" t="s">
        <v>15437</v>
      </c>
      <c r="VNP1" t="s">
        <v>15438</v>
      </c>
      <c r="VNQ1" t="s">
        <v>15439</v>
      </c>
      <c r="VNR1" t="s">
        <v>15440</v>
      </c>
      <c r="VNS1" t="s">
        <v>15441</v>
      </c>
      <c r="VNT1" t="s">
        <v>15442</v>
      </c>
      <c r="VNU1" t="s">
        <v>15443</v>
      </c>
      <c r="VNV1" t="s">
        <v>15444</v>
      </c>
      <c r="VNW1" t="s">
        <v>15445</v>
      </c>
      <c r="VNX1" t="s">
        <v>15446</v>
      </c>
      <c r="VNY1" t="s">
        <v>15447</v>
      </c>
      <c r="VNZ1" t="s">
        <v>15448</v>
      </c>
      <c r="VOA1" t="s">
        <v>15449</v>
      </c>
      <c r="VOB1" t="s">
        <v>15450</v>
      </c>
      <c r="VOC1" t="s">
        <v>15451</v>
      </c>
      <c r="VOD1" t="s">
        <v>15452</v>
      </c>
      <c r="VOE1" t="s">
        <v>15453</v>
      </c>
      <c r="VOF1" t="s">
        <v>15454</v>
      </c>
      <c r="VOG1" t="s">
        <v>15455</v>
      </c>
      <c r="VOH1" t="s">
        <v>15456</v>
      </c>
      <c r="VOI1" t="s">
        <v>15457</v>
      </c>
      <c r="VOJ1" t="s">
        <v>15458</v>
      </c>
      <c r="VOK1" t="s">
        <v>15459</v>
      </c>
      <c r="VOL1" t="s">
        <v>15460</v>
      </c>
      <c r="VOM1" t="s">
        <v>15461</v>
      </c>
      <c r="VON1" t="s">
        <v>15462</v>
      </c>
      <c r="VOO1" t="s">
        <v>15463</v>
      </c>
      <c r="VOP1" t="s">
        <v>15464</v>
      </c>
      <c r="VOQ1" t="s">
        <v>15465</v>
      </c>
      <c r="VOR1" t="s">
        <v>15466</v>
      </c>
      <c r="VOS1" t="s">
        <v>15467</v>
      </c>
      <c r="VOT1" t="s">
        <v>15468</v>
      </c>
      <c r="VOU1" t="s">
        <v>15469</v>
      </c>
      <c r="VOV1" t="s">
        <v>15470</v>
      </c>
      <c r="VOW1" t="s">
        <v>15471</v>
      </c>
      <c r="VOX1" t="s">
        <v>15472</v>
      </c>
      <c r="VOY1" t="s">
        <v>15473</v>
      </c>
      <c r="VOZ1" t="s">
        <v>15474</v>
      </c>
      <c r="VPA1" t="s">
        <v>15475</v>
      </c>
      <c r="VPB1" t="s">
        <v>15476</v>
      </c>
      <c r="VPC1" t="s">
        <v>15477</v>
      </c>
      <c r="VPD1" t="s">
        <v>15478</v>
      </c>
      <c r="VPE1" t="s">
        <v>15479</v>
      </c>
      <c r="VPF1" t="s">
        <v>15480</v>
      </c>
      <c r="VPG1" t="s">
        <v>15481</v>
      </c>
      <c r="VPH1" t="s">
        <v>15482</v>
      </c>
      <c r="VPI1" t="s">
        <v>15483</v>
      </c>
      <c r="VPJ1" t="s">
        <v>15484</v>
      </c>
      <c r="VPK1" t="s">
        <v>15485</v>
      </c>
      <c r="VPL1" t="s">
        <v>15486</v>
      </c>
      <c r="VPM1" t="s">
        <v>15487</v>
      </c>
      <c r="VPN1" t="s">
        <v>15488</v>
      </c>
      <c r="VPO1" t="s">
        <v>15489</v>
      </c>
      <c r="VPP1" t="s">
        <v>15490</v>
      </c>
      <c r="VPQ1" t="s">
        <v>15491</v>
      </c>
      <c r="VPR1" t="s">
        <v>15492</v>
      </c>
      <c r="VPS1" t="s">
        <v>15493</v>
      </c>
      <c r="VPT1" t="s">
        <v>15494</v>
      </c>
      <c r="VPU1" t="s">
        <v>15495</v>
      </c>
      <c r="VPV1" t="s">
        <v>15496</v>
      </c>
      <c r="VPW1" t="s">
        <v>15497</v>
      </c>
      <c r="VPX1" t="s">
        <v>15498</v>
      </c>
      <c r="VPY1" t="s">
        <v>15499</v>
      </c>
      <c r="VPZ1" t="s">
        <v>15500</v>
      </c>
      <c r="VQA1" t="s">
        <v>15501</v>
      </c>
      <c r="VQB1" t="s">
        <v>15502</v>
      </c>
      <c r="VQC1" t="s">
        <v>15503</v>
      </c>
      <c r="VQD1" t="s">
        <v>15504</v>
      </c>
      <c r="VQE1" t="s">
        <v>15505</v>
      </c>
      <c r="VQF1" t="s">
        <v>15506</v>
      </c>
      <c r="VQG1" t="s">
        <v>15507</v>
      </c>
      <c r="VQH1" t="s">
        <v>15508</v>
      </c>
      <c r="VQI1" t="s">
        <v>15509</v>
      </c>
      <c r="VQJ1" t="s">
        <v>15510</v>
      </c>
      <c r="VQK1" t="s">
        <v>15511</v>
      </c>
      <c r="VQL1" t="s">
        <v>15512</v>
      </c>
      <c r="VQM1" t="s">
        <v>15513</v>
      </c>
      <c r="VQN1" t="s">
        <v>15514</v>
      </c>
      <c r="VQO1" t="s">
        <v>15515</v>
      </c>
      <c r="VQP1" t="s">
        <v>15516</v>
      </c>
      <c r="VQQ1" t="s">
        <v>15517</v>
      </c>
      <c r="VQR1" t="s">
        <v>15518</v>
      </c>
      <c r="VQS1" t="s">
        <v>15519</v>
      </c>
      <c r="VQT1" t="s">
        <v>15520</v>
      </c>
      <c r="VQU1" t="s">
        <v>15521</v>
      </c>
      <c r="VQV1" t="s">
        <v>15522</v>
      </c>
      <c r="VQW1" t="s">
        <v>15523</v>
      </c>
      <c r="VQX1" t="s">
        <v>15524</v>
      </c>
      <c r="VQY1" t="s">
        <v>15525</v>
      </c>
      <c r="VQZ1" t="s">
        <v>15526</v>
      </c>
      <c r="VRA1" t="s">
        <v>15527</v>
      </c>
      <c r="VRB1" t="s">
        <v>15528</v>
      </c>
      <c r="VRC1" t="s">
        <v>15529</v>
      </c>
      <c r="VRD1" t="s">
        <v>15530</v>
      </c>
      <c r="VRE1" t="s">
        <v>15531</v>
      </c>
      <c r="VRF1" t="s">
        <v>15532</v>
      </c>
      <c r="VRG1" t="s">
        <v>15533</v>
      </c>
      <c r="VRH1" t="s">
        <v>15534</v>
      </c>
      <c r="VRI1" t="s">
        <v>15535</v>
      </c>
      <c r="VRJ1" t="s">
        <v>15536</v>
      </c>
      <c r="VRK1" t="s">
        <v>15537</v>
      </c>
      <c r="VRL1" t="s">
        <v>15538</v>
      </c>
      <c r="VRM1" t="s">
        <v>15539</v>
      </c>
      <c r="VRN1" t="s">
        <v>15540</v>
      </c>
      <c r="VRO1" t="s">
        <v>15541</v>
      </c>
      <c r="VRP1" t="s">
        <v>15542</v>
      </c>
      <c r="VRQ1" t="s">
        <v>15543</v>
      </c>
      <c r="VRR1" t="s">
        <v>15544</v>
      </c>
      <c r="VRS1" t="s">
        <v>15545</v>
      </c>
      <c r="VRT1" t="s">
        <v>15546</v>
      </c>
      <c r="VRU1" t="s">
        <v>15547</v>
      </c>
      <c r="VRV1" t="s">
        <v>15548</v>
      </c>
      <c r="VRW1" t="s">
        <v>15549</v>
      </c>
      <c r="VRX1" t="s">
        <v>15550</v>
      </c>
      <c r="VRY1" t="s">
        <v>15551</v>
      </c>
      <c r="VRZ1" t="s">
        <v>15552</v>
      </c>
      <c r="VSA1" t="s">
        <v>15553</v>
      </c>
      <c r="VSB1" t="s">
        <v>15554</v>
      </c>
      <c r="VSC1" t="s">
        <v>15555</v>
      </c>
      <c r="VSD1" t="s">
        <v>15556</v>
      </c>
      <c r="VSE1" t="s">
        <v>15557</v>
      </c>
      <c r="VSF1" t="s">
        <v>15558</v>
      </c>
      <c r="VSG1" t="s">
        <v>15559</v>
      </c>
      <c r="VSH1" t="s">
        <v>15560</v>
      </c>
      <c r="VSI1" t="s">
        <v>15561</v>
      </c>
      <c r="VSJ1" t="s">
        <v>15562</v>
      </c>
      <c r="VSK1" t="s">
        <v>15563</v>
      </c>
      <c r="VSL1" t="s">
        <v>15564</v>
      </c>
      <c r="VSM1" t="s">
        <v>15565</v>
      </c>
      <c r="VSN1" t="s">
        <v>15566</v>
      </c>
      <c r="VSO1" t="s">
        <v>15567</v>
      </c>
      <c r="VSP1" t="s">
        <v>15568</v>
      </c>
      <c r="VSQ1" t="s">
        <v>15569</v>
      </c>
      <c r="VSR1" t="s">
        <v>15570</v>
      </c>
      <c r="VSS1" t="s">
        <v>15571</v>
      </c>
      <c r="VST1" t="s">
        <v>15572</v>
      </c>
      <c r="VSU1" t="s">
        <v>15573</v>
      </c>
      <c r="VSV1" t="s">
        <v>15574</v>
      </c>
      <c r="VSW1" t="s">
        <v>15575</v>
      </c>
      <c r="VSX1" t="s">
        <v>15576</v>
      </c>
      <c r="VSY1" t="s">
        <v>15577</v>
      </c>
      <c r="VSZ1" t="s">
        <v>15578</v>
      </c>
      <c r="VTA1" t="s">
        <v>15579</v>
      </c>
      <c r="VTB1" t="s">
        <v>15580</v>
      </c>
      <c r="VTC1" t="s">
        <v>15581</v>
      </c>
      <c r="VTD1" t="s">
        <v>15582</v>
      </c>
      <c r="VTE1" t="s">
        <v>15583</v>
      </c>
      <c r="VTF1" t="s">
        <v>15584</v>
      </c>
      <c r="VTG1" t="s">
        <v>15585</v>
      </c>
      <c r="VTH1" t="s">
        <v>15586</v>
      </c>
      <c r="VTI1" t="s">
        <v>15587</v>
      </c>
      <c r="VTJ1" t="s">
        <v>15588</v>
      </c>
      <c r="VTK1" t="s">
        <v>15589</v>
      </c>
      <c r="VTL1" t="s">
        <v>15590</v>
      </c>
      <c r="VTM1" t="s">
        <v>15591</v>
      </c>
      <c r="VTN1" t="s">
        <v>15592</v>
      </c>
      <c r="VTO1" t="s">
        <v>15593</v>
      </c>
      <c r="VTP1" t="s">
        <v>15594</v>
      </c>
      <c r="VTQ1" t="s">
        <v>15595</v>
      </c>
      <c r="VTR1" t="s">
        <v>15596</v>
      </c>
      <c r="VTS1" t="s">
        <v>15597</v>
      </c>
      <c r="VTT1" t="s">
        <v>15598</v>
      </c>
      <c r="VTU1" t="s">
        <v>15599</v>
      </c>
      <c r="VTV1" t="s">
        <v>15600</v>
      </c>
      <c r="VTW1" t="s">
        <v>15601</v>
      </c>
      <c r="VTX1" t="s">
        <v>15602</v>
      </c>
      <c r="VTY1" t="s">
        <v>15603</v>
      </c>
      <c r="VTZ1" t="s">
        <v>15604</v>
      </c>
      <c r="VUA1" t="s">
        <v>15605</v>
      </c>
      <c r="VUB1" t="s">
        <v>15606</v>
      </c>
      <c r="VUC1" t="s">
        <v>15607</v>
      </c>
      <c r="VUD1" t="s">
        <v>15608</v>
      </c>
      <c r="VUE1" t="s">
        <v>15609</v>
      </c>
      <c r="VUF1" t="s">
        <v>15610</v>
      </c>
      <c r="VUG1" t="s">
        <v>15611</v>
      </c>
      <c r="VUH1" t="s">
        <v>15612</v>
      </c>
      <c r="VUI1" t="s">
        <v>15613</v>
      </c>
      <c r="VUJ1" t="s">
        <v>15614</v>
      </c>
      <c r="VUK1" t="s">
        <v>15615</v>
      </c>
      <c r="VUL1" t="s">
        <v>15616</v>
      </c>
      <c r="VUM1" t="s">
        <v>15617</v>
      </c>
      <c r="VUN1" t="s">
        <v>15618</v>
      </c>
      <c r="VUO1" t="s">
        <v>15619</v>
      </c>
      <c r="VUP1" t="s">
        <v>15620</v>
      </c>
      <c r="VUQ1" t="s">
        <v>15621</v>
      </c>
      <c r="VUR1" t="s">
        <v>15622</v>
      </c>
      <c r="VUS1" t="s">
        <v>15623</v>
      </c>
      <c r="VUT1" t="s">
        <v>15624</v>
      </c>
      <c r="VUU1" t="s">
        <v>15625</v>
      </c>
      <c r="VUV1" t="s">
        <v>15626</v>
      </c>
      <c r="VUW1" t="s">
        <v>15627</v>
      </c>
      <c r="VUX1" t="s">
        <v>15628</v>
      </c>
      <c r="VUY1" t="s">
        <v>15629</v>
      </c>
      <c r="VUZ1" t="s">
        <v>15630</v>
      </c>
      <c r="VVA1" t="s">
        <v>15631</v>
      </c>
      <c r="VVB1" t="s">
        <v>15632</v>
      </c>
      <c r="VVC1" t="s">
        <v>15633</v>
      </c>
      <c r="VVD1" t="s">
        <v>15634</v>
      </c>
      <c r="VVE1" t="s">
        <v>15635</v>
      </c>
      <c r="VVF1" t="s">
        <v>15636</v>
      </c>
      <c r="VVG1" t="s">
        <v>15637</v>
      </c>
      <c r="VVH1" t="s">
        <v>15638</v>
      </c>
      <c r="VVI1" t="s">
        <v>15639</v>
      </c>
      <c r="VVJ1" t="s">
        <v>15640</v>
      </c>
      <c r="VVK1" t="s">
        <v>15641</v>
      </c>
      <c r="VVL1" t="s">
        <v>15642</v>
      </c>
      <c r="VVM1" t="s">
        <v>15643</v>
      </c>
      <c r="VVN1" t="s">
        <v>15644</v>
      </c>
      <c r="VVO1" t="s">
        <v>15645</v>
      </c>
      <c r="VVP1" t="s">
        <v>15646</v>
      </c>
      <c r="VVQ1" t="s">
        <v>15647</v>
      </c>
      <c r="VVR1" t="s">
        <v>15648</v>
      </c>
      <c r="VVS1" t="s">
        <v>15649</v>
      </c>
      <c r="VVT1" t="s">
        <v>15650</v>
      </c>
      <c r="VVU1" t="s">
        <v>15651</v>
      </c>
      <c r="VVV1" t="s">
        <v>15652</v>
      </c>
      <c r="VVW1" t="s">
        <v>15653</v>
      </c>
      <c r="VVX1" t="s">
        <v>15654</v>
      </c>
      <c r="VVY1" t="s">
        <v>15655</v>
      </c>
      <c r="VVZ1" t="s">
        <v>15656</v>
      </c>
      <c r="VWA1" t="s">
        <v>15657</v>
      </c>
      <c r="VWB1" t="s">
        <v>15658</v>
      </c>
      <c r="VWC1" t="s">
        <v>15659</v>
      </c>
      <c r="VWD1" t="s">
        <v>15660</v>
      </c>
      <c r="VWE1" t="s">
        <v>15661</v>
      </c>
      <c r="VWF1" t="s">
        <v>15662</v>
      </c>
      <c r="VWG1" t="s">
        <v>15663</v>
      </c>
      <c r="VWH1" t="s">
        <v>15664</v>
      </c>
      <c r="VWI1" t="s">
        <v>15665</v>
      </c>
      <c r="VWJ1" t="s">
        <v>15666</v>
      </c>
      <c r="VWK1" t="s">
        <v>15667</v>
      </c>
      <c r="VWL1" t="s">
        <v>15668</v>
      </c>
      <c r="VWM1" t="s">
        <v>15669</v>
      </c>
      <c r="VWN1" t="s">
        <v>15670</v>
      </c>
      <c r="VWO1" t="s">
        <v>15671</v>
      </c>
      <c r="VWP1" t="s">
        <v>15672</v>
      </c>
      <c r="VWQ1" t="s">
        <v>15673</v>
      </c>
      <c r="VWR1" t="s">
        <v>15674</v>
      </c>
      <c r="VWS1" t="s">
        <v>15675</v>
      </c>
      <c r="VWT1" t="s">
        <v>15676</v>
      </c>
      <c r="VWU1" t="s">
        <v>15677</v>
      </c>
      <c r="VWV1" t="s">
        <v>15678</v>
      </c>
      <c r="VWW1" t="s">
        <v>15679</v>
      </c>
      <c r="VWX1" t="s">
        <v>15680</v>
      </c>
      <c r="VWY1" t="s">
        <v>15681</v>
      </c>
      <c r="VWZ1" t="s">
        <v>15682</v>
      </c>
      <c r="VXA1" t="s">
        <v>15683</v>
      </c>
      <c r="VXB1" t="s">
        <v>15684</v>
      </c>
      <c r="VXC1" t="s">
        <v>15685</v>
      </c>
      <c r="VXD1" t="s">
        <v>15686</v>
      </c>
      <c r="VXE1" t="s">
        <v>15687</v>
      </c>
      <c r="VXF1" t="s">
        <v>15688</v>
      </c>
      <c r="VXG1" t="s">
        <v>15689</v>
      </c>
      <c r="VXH1" t="s">
        <v>15690</v>
      </c>
      <c r="VXI1" t="s">
        <v>15691</v>
      </c>
      <c r="VXJ1" t="s">
        <v>15692</v>
      </c>
      <c r="VXK1" t="s">
        <v>15693</v>
      </c>
      <c r="VXL1" t="s">
        <v>15694</v>
      </c>
      <c r="VXM1" t="s">
        <v>15695</v>
      </c>
      <c r="VXN1" t="s">
        <v>15696</v>
      </c>
      <c r="VXO1" t="s">
        <v>15697</v>
      </c>
      <c r="VXP1" t="s">
        <v>15698</v>
      </c>
      <c r="VXQ1" t="s">
        <v>15699</v>
      </c>
      <c r="VXR1" t="s">
        <v>15700</v>
      </c>
      <c r="VXS1" t="s">
        <v>15701</v>
      </c>
      <c r="VXT1" t="s">
        <v>15702</v>
      </c>
      <c r="VXU1" t="s">
        <v>15703</v>
      </c>
      <c r="VXV1" t="s">
        <v>15704</v>
      </c>
      <c r="VXW1" t="s">
        <v>15705</v>
      </c>
      <c r="VXX1" t="s">
        <v>15706</v>
      </c>
      <c r="VXY1" t="s">
        <v>15707</v>
      </c>
      <c r="VXZ1" t="s">
        <v>15708</v>
      </c>
      <c r="VYA1" t="s">
        <v>15709</v>
      </c>
      <c r="VYB1" t="s">
        <v>15710</v>
      </c>
      <c r="VYC1" t="s">
        <v>15711</v>
      </c>
      <c r="VYD1" t="s">
        <v>15712</v>
      </c>
      <c r="VYE1" t="s">
        <v>15713</v>
      </c>
      <c r="VYF1" t="s">
        <v>15714</v>
      </c>
      <c r="VYG1" t="s">
        <v>15715</v>
      </c>
      <c r="VYH1" t="s">
        <v>15716</v>
      </c>
      <c r="VYI1" t="s">
        <v>15717</v>
      </c>
      <c r="VYJ1" t="s">
        <v>15718</v>
      </c>
      <c r="VYK1" t="s">
        <v>15719</v>
      </c>
      <c r="VYL1" t="s">
        <v>15720</v>
      </c>
      <c r="VYM1" t="s">
        <v>15721</v>
      </c>
      <c r="VYN1" t="s">
        <v>15722</v>
      </c>
      <c r="VYO1" t="s">
        <v>15723</v>
      </c>
      <c r="VYP1" t="s">
        <v>15724</v>
      </c>
      <c r="VYQ1" t="s">
        <v>15725</v>
      </c>
      <c r="VYR1" t="s">
        <v>15726</v>
      </c>
      <c r="VYS1" t="s">
        <v>15727</v>
      </c>
      <c r="VYT1" t="s">
        <v>15728</v>
      </c>
      <c r="VYU1" t="s">
        <v>15729</v>
      </c>
      <c r="VYV1" t="s">
        <v>15730</v>
      </c>
      <c r="VYW1" t="s">
        <v>15731</v>
      </c>
      <c r="VYX1" t="s">
        <v>15732</v>
      </c>
      <c r="VYY1" t="s">
        <v>15733</v>
      </c>
      <c r="VYZ1" t="s">
        <v>15734</v>
      </c>
      <c r="VZA1" t="s">
        <v>15735</v>
      </c>
      <c r="VZB1" t="s">
        <v>15736</v>
      </c>
      <c r="VZC1" t="s">
        <v>15737</v>
      </c>
      <c r="VZD1" t="s">
        <v>15738</v>
      </c>
      <c r="VZE1" t="s">
        <v>15739</v>
      </c>
      <c r="VZF1" t="s">
        <v>15740</v>
      </c>
      <c r="VZG1" t="s">
        <v>15741</v>
      </c>
      <c r="VZH1" t="s">
        <v>15742</v>
      </c>
      <c r="VZI1" t="s">
        <v>15743</v>
      </c>
      <c r="VZJ1" t="s">
        <v>15744</v>
      </c>
      <c r="VZK1" t="s">
        <v>15745</v>
      </c>
      <c r="VZL1" t="s">
        <v>15746</v>
      </c>
      <c r="VZM1" t="s">
        <v>15747</v>
      </c>
      <c r="VZN1" t="s">
        <v>15748</v>
      </c>
      <c r="VZO1" t="s">
        <v>15749</v>
      </c>
      <c r="VZP1" t="s">
        <v>15750</v>
      </c>
      <c r="VZQ1" t="s">
        <v>15751</v>
      </c>
      <c r="VZR1" t="s">
        <v>15752</v>
      </c>
      <c r="VZS1" t="s">
        <v>15753</v>
      </c>
      <c r="VZT1" t="s">
        <v>15754</v>
      </c>
      <c r="VZU1" t="s">
        <v>15755</v>
      </c>
      <c r="VZV1" t="s">
        <v>15756</v>
      </c>
      <c r="VZW1" t="s">
        <v>15757</v>
      </c>
      <c r="VZX1" t="s">
        <v>15758</v>
      </c>
      <c r="VZY1" t="s">
        <v>15759</v>
      </c>
      <c r="VZZ1" t="s">
        <v>15760</v>
      </c>
      <c r="WAA1" t="s">
        <v>15761</v>
      </c>
      <c r="WAB1" t="s">
        <v>15762</v>
      </c>
      <c r="WAC1" t="s">
        <v>15763</v>
      </c>
      <c r="WAD1" t="s">
        <v>15764</v>
      </c>
      <c r="WAE1" t="s">
        <v>15765</v>
      </c>
      <c r="WAF1" t="s">
        <v>15766</v>
      </c>
      <c r="WAG1" t="s">
        <v>15767</v>
      </c>
      <c r="WAH1" t="s">
        <v>15768</v>
      </c>
      <c r="WAI1" t="s">
        <v>15769</v>
      </c>
      <c r="WAJ1" t="s">
        <v>15770</v>
      </c>
      <c r="WAK1" t="s">
        <v>15771</v>
      </c>
      <c r="WAL1" t="s">
        <v>15772</v>
      </c>
      <c r="WAM1" t="s">
        <v>15773</v>
      </c>
      <c r="WAN1" t="s">
        <v>15774</v>
      </c>
      <c r="WAO1" t="s">
        <v>15775</v>
      </c>
      <c r="WAP1" t="s">
        <v>15776</v>
      </c>
      <c r="WAQ1" t="s">
        <v>15777</v>
      </c>
      <c r="WAR1" t="s">
        <v>15778</v>
      </c>
      <c r="WAS1" t="s">
        <v>15779</v>
      </c>
      <c r="WAT1" t="s">
        <v>15780</v>
      </c>
      <c r="WAU1" t="s">
        <v>15781</v>
      </c>
      <c r="WAV1" t="s">
        <v>15782</v>
      </c>
      <c r="WAW1" t="s">
        <v>15783</v>
      </c>
      <c r="WAX1" t="s">
        <v>15784</v>
      </c>
      <c r="WAY1" t="s">
        <v>15785</v>
      </c>
      <c r="WAZ1" t="s">
        <v>15786</v>
      </c>
      <c r="WBA1" t="s">
        <v>15787</v>
      </c>
      <c r="WBB1" t="s">
        <v>15788</v>
      </c>
      <c r="WBC1" t="s">
        <v>15789</v>
      </c>
      <c r="WBD1" t="s">
        <v>15790</v>
      </c>
      <c r="WBE1" t="s">
        <v>15791</v>
      </c>
      <c r="WBF1" t="s">
        <v>15792</v>
      </c>
      <c r="WBG1" t="s">
        <v>15793</v>
      </c>
      <c r="WBH1" t="s">
        <v>15794</v>
      </c>
      <c r="WBI1" t="s">
        <v>15795</v>
      </c>
      <c r="WBJ1" t="s">
        <v>15796</v>
      </c>
      <c r="WBK1" t="s">
        <v>15797</v>
      </c>
      <c r="WBL1" t="s">
        <v>15798</v>
      </c>
      <c r="WBM1" t="s">
        <v>15799</v>
      </c>
      <c r="WBN1" t="s">
        <v>15800</v>
      </c>
      <c r="WBO1" t="s">
        <v>15801</v>
      </c>
      <c r="WBP1" t="s">
        <v>15802</v>
      </c>
      <c r="WBQ1" t="s">
        <v>15803</v>
      </c>
      <c r="WBR1" t="s">
        <v>15804</v>
      </c>
      <c r="WBS1" t="s">
        <v>15805</v>
      </c>
      <c r="WBT1" t="s">
        <v>15806</v>
      </c>
      <c r="WBU1" t="s">
        <v>15807</v>
      </c>
      <c r="WBV1" t="s">
        <v>15808</v>
      </c>
      <c r="WBW1" t="s">
        <v>15809</v>
      </c>
      <c r="WBX1" t="s">
        <v>15810</v>
      </c>
      <c r="WBY1" t="s">
        <v>15811</v>
      </c>
      <c r="WBZ1" t="s">
        <v>15812</v>
      </c>
      <c r="WCA1" t="s">
        <v>15813</v>
      </c>
      <c r="WCB1" t="s">
        <v>15814</v>
      </c>
      <c r="WCC1" t="s">
        <v>15815</v>
      </c>
      <c r="WCD1" t="s">
        <v>15816</v>
      </c>
      <c r="WCE1" t="s">
        <v>15817</v>
      </c>
      <c r="WCF1" t="s">
        <v>15818</v>
      </c>
      <c r="WCG1" t="s">
        <v>15819</v>
      </c>
      <c r="WCH1" t="s">
        <v>15820</v>
      </c>
      <c r="WCI1" t="s">
        <v>15821</v>
      </c>
      <c r="WCJ1" t="s">
        <v>15822</v>
      </c>
      <c r="WCK1" t="s">
        <v>15823</v>
      </c>
      <c r="WCL1" t="s">
        <v>15824</v>
      </c>
      <c r="WCM1" t="s">
        <v>15825</v>
      </c>
      <c r="WCN1" t="s">
        <v>15826</v>
      </c>
      <c r="WCO1" t="s">
        <v>15827</v>
      </c>
      <c r="WCP1" t="s">
        <v>15828</v>
      </c>
      <c r="WCQ1" t="s">
        <v>15829</v>
      </c>
      <c r="WCR1" t="s">
        <v>15830</v>
      </c>
      <c r="WCS1" t="s">
        <v>15831</v>
      </c>
      <c r="WCT1" t="s">
        <v>15832</v>
      </c>
      <c r="WCU1" t="s">
        <v>15833</v>
      </c>
      <c r="WCV1" t="s">
        <v>15834</v>
      </c>
      <c r="WCW1" t="s">
        <v>15835</v>
      </c>
      <c r="WCX1" t="s">
        <v>15836</v>
      </c>
      <c r="WCY1" t="s">
        <v>15837</v>
      </c>
      <c r="WCZ1" t="s">
        <v>15838</v>
      </c>
      <c r="WDA1" t="s">
        <v>15839</v>
      </c>
      <c r="WDB1" t="s">
        <v>15840</v>
      </c>
      <c r="WDC1" t="s">
        <v>15841</v>
      </c>
      <c r="WDD1" t="s">
        <v>15842</v>
      </c>
      <c r="WDE1" t="s">
        <v>15843</v>
      </c>
      <c r="WDF1" t="s">
        <v>15844</v>
      </c>
      <c r="WDG1" t="s">
        <v>15845</v>
      </c>
      <c r="WDH1" t="s">
        <v>15846</v>
      </c>
      <c r="WDI1" t="s">
        <v>15847</v>
      </c>
      <c r="WDJ1" t="s">
        <v>15848</v>
      </c>
      <c r="WDK1" t="s">
        <v>15849</v>
      </c>
      <c r="WDL1" t="s">
        <v>15850</v>
      </c>
      <c r="WDM1" t="s">
        <v>15851</v>
      </c>
      <c r="WDN1" t="s">
        <v>15852</v>
      </c>
      <c r="WDO1" t="s">
        <v>15853</v>
      </c>
      <c r="WDP1" t="s">
        <v>15854</v>
      </c>
      <c r="WDQ1" t="s">
        <v>15855</v>
      </c>
      <c r="WDR1" t="s">
        <v>15856</v>
      </c>
      <c r="WDS1" t="s">
        <v>15857</v>
      </c>
      <c r="WDT1" t="s">
        <v>15858</v>
      </c>
      <c r="WDU1" t="s">
        <v>15859</v>
      </c>
      <c r="WDV1" t="s">
        <v>15860</v>
      </c>
      <c r="WDW1" t="s">
        <v>15861</v>
      </c>
      <c r="WDX1" t="s">
        <v>15862</v>
      </c>
      <c r="WDY1" t="s">
        <v>15863</v>
      </c>
      <c r="WDZ1" t="s">
        <v>15864</v>
      </c>
      <c r="WEA1" t="s">
        <v>15865</v>
      </c>
      <c r="WEB1" t="s">
        <v>15866</v>
      </c>
      <c r="WEC1" t="s">
        <v>15867</v>
      </c>
      <c r="WED1" t="s">
        <v>15868</v>
      </c>
      <c r="WEE1" t="s">
        <v>15869</v>
      </c>
      <c r="WEF1" t="s">
        <v>15870</v>
      </c>
      <c r="WEG1" t="s">
        <v>15871</v>
      </c>
      <c r="WEH1" t="s">
        <v>15872</v>
      </c>
      <c r="WEI1" t="s">
        <v>15873</v>
      </c>
      <c r="WEJ1" t="s">
        <v>15874</v>
      </c>
      <c r="WEK1" t="s">
        <v>15875</v>
      </c>
      <c r="WEL1" t="s">
        <v>15876</v>
      </c>
      <c r="WEM1" t="s">
        <v>15877</v>
      </c>
      <c r="WEN1" t="s">
        <v>15878</v>
      </c>
      <c r="WEO1" t="s">
        <v>15879</v>
      </c>
      <c r="WEP1" t="s">
        <v>15880</v>
      </c>
      <c r="WEQ1" t="s">
        <v>15881</v>
      </c>
      <c r="WER1" t="s">
        <v>15882</v>
      </c>
      <c r="WES1" t="s">
        <v>15883</v>
      </c>
      <c r="WET1" t="s">
        <v>15884</v>
      </c>
      <c r="WEU1" t="s">
        <v>15885</v>
      </c>
      <c r="WEV1" t="s">
        <v>15886</v>
      </c>
      <c r="WEW1" t="s">
        <v>15887</v>
      </c>
      <c r="WEX1" t="s">
        <v>15888</v>
      </c>
      <c r="WEY1" t="s">
        <v>15889</v>
      </c>
      <c r="WEZ1" t="s">
        <v>15890</v>
      </c>
      <c r="WFA1" t="s">
        <v>15891</v>
      </c>
      <c r="WFB1" t="s">
        <v>15892</v>
      </c>
      <c r="WFC1" t="s">
        <v>15893</v>
      </c>
      <c r="WFD1" t="s">
        <v>15894</v>
      </c>
      <c r="WFE1" t="s">
        <v>15895</v>
      </c>
      <c r="WFF1" t="s">
        <v>15896</v>
      </c>
      <c r="WFG1" t="s">
        <v>15897</v>
      </c>
      <c r="WFH1" t="s">
        <v>15898</v>
      </c>
      <c r="WFI1" t="s">
        <v>15899</v>
      </c>
      <c r="WFJ1" t="s">
        <v>15900</v>
      </c>
      <c r="WFK1" t="s">
        <v>15901</v>
      </c>
      <c r="WFL1" t="s">
        <v>15902</v>
      </c>
      <c r="WFM1" t="s">
        <v>15903</v>
      </c>
      <c r="WFN1" t="s">
        <v>15904</v>
      </c>
      <c r="WFO1" t="s">
        <v>15905</v>
      </c>
      <c r="WFP1" t="s">
        <v>15906</v>
      </c>
      <c r="WFQ1" t="s">
        <v>15907</v>
      </c>
      <c r="WFR1" t="s">
        <v>15908</v>
      </c>
      <c r="WFS1" t="s">
        <v>15909</v>
      </c>
      <c r="WFT1" t="s">
        <v>15910</v>
      </c>
      <c r="WFU1" t="s">
        <v>15911</v>
      </c>
      <c r="WFV1" t="s">
        <v>15912</v>
      </c>
      <c r="WFW1" t="s">
        <v>15913</v>
      </c>
      <c r="WFX1" t="s">
        <v>15914</v>
      </c>
      <c r="WFY1" t="s">
        <v>15915</v>
      </c>
      <c r="WFZ1" t="s">
        <v>15916</v>
      </c>
      <c r="WGA1" t="s">
        <v>15917</v>
      </c>
      <c r="WGB1" t="s">
        <v>15918</v>
      </c>
      <c r="WGC1" t="s">
        <v>15919</v>
      </c>
      <c r="WGD1" t="s">
        <v>15920</v>
      </c>
      <c r="WGE1" t="s">
        <v>15921</v>
      </c>
      <c r="WGF1" t="s">
        <v>15922</v>
      </c>
      <c r="WGG1" t="s">
        <v>15923</v>
      </c>
      <c r="WGH1" t="s">
        <v>15924</v>
      </c>
      <c r="WGI1" t="s">
        <v>15925</v>
      </c>
      <c r="WGJ1" t="s">
        <v>15926</v>
      </c>
      <c r="WGK1" t="s">
        <v>15927</v>
      </c>
      <c r="WGL1" t="s">
        <v>15928</v>
      </c>
      <c r="WGM1" t="s">
        <v>15929</v>
      </c>
      <c r="WGN1" t="s">
        <v>15930</v>
      </c>
      <c r="WGO1" t="s">
        <v>15931</v>
      </c>
      <c r="WGP1" t="s">
        <v>15932</v>
      </c>
      <c r="WGQ1" t="s">
        <v>15933</v>
      </c>
      <c r="WGR1" t="s">
        <v>15934</v>
      </c>
      <c r="WGS1" t="s">
        <v>15935</v>
      </c>
      <c r="WGT1" t="s">
        <v>15936</v>
      </c>
      <c r="WGU1" t="s">
        <v>15937</v>
      </c>
      <c r="WGV1" t="s">
        <v>15938</v>
      </c>
      <c r="WGW1" t="s">
        <v>15939</v>
      </c>
      <c r="WGX1" t="s">
        <v>15940</v>
      </c>
      <c r="WGY1" t="s">
        <v>15941</v>
      </c>
      <c r="WGZ1" t="s">
        <v>15942</v>
      </c>
      <c r="WHA1" t="s">
        <v>15943</v>
      </c>
      <c r="WHB1" t="s">
        <v>15944</v>
      </c>
      <c r="WHC1" t="s">
        <v>15945</v>
      </c>
      <c r="WHD1" t="s">
        <v>15946</v>
      </c>
      <c r="WHE1" t="s">
        <v>15947</v>
      </c>
      <c r="WHF1" t="s">
        <v>15948</v>
      </c>
      <c r="WHG1" t="s">
        <v>15949</v>
      </c>
      <c r="WHH1" t="s">
        <v>15950</v>
      </c>
      <c r="WHI1" t="s">
        <v>15951</v>
      </c>
      <c r="WHJ1" t="s">
        <v>15952</v>
      </c>
      <c r="WHK1" t="s">
        <v>15953</v>
      </c>
      <c r="WHL1" t="s">
        <v>15954</v>
      </c>
      <c r="WHM1" t="s">
        <v>15955</v>
      </c>
      <c r="WHN1" t="s">
        <v>15956</v>
      </c>
      <c r="WHO1" t="s">
        <v>15957</v>
      </c>
      <c r="WHP1" t="s">
        <v>15958</v>
      </c>
      <c r="WHQ1" t="s">
        <v>15959</v>
      </c>
      <c r="WHR1" t="s">
        <v>15960</v>
      </c>
      <c r="WHS1" t="s">
        <v>15961</v>
      </c>
      <c r="WHT1" t="s">
        <v>15962</v>
      </c>
      <c r="WHU1" t="s">
        <v>15963</v>
      </c>
      <c r="WHV1" t="s">
        <v>15964</v>
      </c>
      <c r="WHW1" t="s">
        <v>15965</v>
      </c>
      <c r="WHX1" t="s">
        <v>15966</v>
      </c>
      <c r="WHY1" t="s">
        <v>15967</v>
      </c>
      <c r="WHZ1" t="s">
        <v>15968</v>
      </c>
      <c r="WIA1" t="s">
        <v>15969</v>
      </c>
      <c r="WIB1" t="s">
        <v>15970</v>
      </c>
      <c r="WIC1" t="s">
        <v>15971</v>
      </c>
      <c r="WID1" t="s">
        <v>15972</v>
      </c>
      <c r="WIE1" t="s">
        <v>15973</v>
      </c>
      <c r="WIF1" t="s">
        <v>15974</v>
      </c>
      <c r="WIG1" t="s">
        <v>15975</v>
      </c>
      <c r="WIH1" t="s">
        <v>15976</v>
      </c>
      <c r="WII1" t="s">
        <v>15977</v>
      </c>
      <c r="WIJ1" t="s">
        <v>15978</v>
      </c>
      <c r="WIK1" t="s">
        <v>15979</v>
      </c>
      <c r="WIL1" t="s">
        <v>15980</v>
      </c>
      <c r="WIM1" t="s">
        <v>15981</v>
      </c>
      <c r="WIN1" t="s">
        <v>15982</v>
      </c>
      <c r="WIO1" t="s">
        <v>15983</v>
      </c>
      <c r="WIP1" t="s">
        <v>15984</v>
      </c>
      <c r="WIQ1" t="s">
        <v>15985</v>
      </c>
      <c r="WIR1" t="s">
        <v>15986</v>
      </c>
      <c r="WIS1" t="s">
        <v>15987</v>
      </c>
      <c r="WIT1" t="s">
        <v>15988</v>
      </c>
      <c r="WIU1" t="s">
        <v>15989</v>
      </c>
      <c r="WIV1" t="s">
        <v>15990</v>
      </c>
      <c r="WIW1" t="s">
        <v>15991</v>
      </c>
      <c r="WIX1" t="s">
        <v>15992</v>
      </c>
      <c r="WIY1" t="s">
        <v>15993</v>
      </c>
      <c r="WIZ1" t="s">
        <v>15994</v>
      </c>
      <c r="WJA1" t="s">
        <v>15995</v>
      </c>
      <c r="WJB1" t="s">
        <v>15996</v>
      </c>
      <c r="WJC1" t="s">
        <v>15997</v>
      </c>
      <c r="WJD1" t="s">
        <v>15998</v>
      </c>
      <c r="WJE1" t="s">
        <v>15999</v>
      </c>
      <c r="WJF1" t="s">
        <v>16000</v>
      </c>
      <c r="WJG1" t="s">
        <v>16001</v>
      </c>
      <c r="WJH1" t="s">
        <v>16002</v>
      </c>
      <c r="WJI1" t="s">
        <v>16003</v>
      </c>
      <c r="WJJ1" t="s">
        <v>16004</v>
      </c>
      <c r="WJK1" t="s">
        <v>16005</v>
      </c>
      <c r="WJL1" t="s">
        <v>16006</v>
      </c>
      <c r="WJM1" t="s">
        <v>16007</v>
      </c>
      <c r="WJN1" t="s">
        <v>16008</v>
      </c>
      <c r="WJO1" t="s">
        <v>16009</v>
      </c>
      <c r="WJP1" t="s">
        <v>16010</v>
      </c>
      <c r="WJQ1" t="s">
        <v>16011</v>
      </c>
      <c r="WJR1" t="s">
        <v>16012</v>
      </c>
      <c r="WJS1" t="s">
        <v>16013</v>
      </c>
      <c r="WJT1" t="s">
        <v>16014</v>
      </c>
      <c r="WJU1" t="s">
        <v>16015</v>
      </c>
      <c r="WJV1" t="s">
        <v>16016</v>
      </c>
      <c r="WJW1" t="s">
        <v>16017</v>
      </c>
      <c r="WJX1" t="s">
        <v>16018</v>
      </c>
      <c r="WJY1" t="s">
        <v>16019</v>
      </c>
      <c r="WJZ1" t="s">
        <v>16020</v>
      </c>
      <c r="WKA1" t="s">
        <v>16021</v>
      </c>
      <c r="WKB1" t="s">
        <v>16022</v>
      </c>
      <c r="WKC1" t="s">
        <v>16023</v>
      </c>
      <c r="WKD1" t="s">
        <v>16024</v>
      </c>
      <c r="WKE1" t="s">
        <v>16025</v>
      </c>
      <c r="WKF1" t="s">
        <v>16026</v>
      </c>
      <c r="WKG1" t="s">
        <v>16027</v>
      </c>
      <c r="WKH1" t="s">
        <v>16028</v>
      </c>
      <c r="WKI1" t="s">
        <v>16029</v>
      </c>
      <c r="WKJ1" t="s">
        <v>16030</v>
      </c>
      <c r="WKK1" t="s">
        <v>16031</v>
      </c>
      <c r="WKL1" t="s">
        <v>16032</v>
      </c>
      <c r="WKM1" t="s">
        <v>16033</v>
      </c>
      <c r="WKN1" t="s">
        <v>16034</v>
      </c>
      <c r="WKO1" t="s">
        <v>16035</v>
      </c>
      <c r="WKP1" t="s">
        <v>16036</v>
      </c>
      <c r="WKQ1" t="s">
        <v>16037</v>
      </c>
      <c r="WKR1" t="s">
        <v>16038</v>
      </c>
      <c r="WKS1" t="s">
        <v>16039</v>
      </c>
      <c r="WKT1" t="s">
        <v>16040</v>
      </c>
      <c r="WKU1" t="s">
        <v>16041</v>
      </c>
      <c r="WKV1" t="s">
        <v>16042</v>
      </c>
      <c r="WKW1" t="s">
        <v>16043</v>
      </c>
      <c r="WKX1" t="s">
        <v>16044</v>
      </c>
      <c r="WKY1" t="s">
        <v>16045</v>
      </c>
      <c r="WKZ1" t="s">
        <v>16046</v>
      </c>
      <c r="WLA1" t="s">
        <v>16047</v>
      </c>
      <c r="WLB1" t="s">
        <v>16048</v>
      </c>
      <c r="WLC1" t="s">
        <v>16049</v>
      </c>
      <c r="WLD1" t="s">
        <v>16050</v>
      </c>
      <c r="WLE1" t="s">
        <v>16051</v>
      </c>
      <c r="WLF1" t="s">
        <v>16052</v>
      </c>
      <c r="WLG1" t="s">
        <v>16053</v>
      </c>
      <c r="WLH1" t="s">
        <v>16054</v>
      </c>
      <c r="WLI1" t="s">
        <v>16055</v>
      </c>
      <c r="WLJ1" t="s">
        <v>16056</v>
      </c>
      <c r="WLK1" t="s">
        <v>16057</v>
      </c>
      <c r="WLL1" t="s">
        <v>16058</v>
      </c>
      <c r="WLM1" t="s">
        <v>16059</v>
      </c>
      <c r="WLN1" t="s">
        <v>16060</v>
      </c>
      <c r="WLO1" t="s">
        <v>16061</v>
      </c>
      <c r="WLP1" t="s">
        <v>16062</v>
      </c>
      <c r="WLQ1" t="s">
        <v>16063</v>
      </c>
      <c r="WLR1" t="s">
        <v>16064</v>
      </c>
      <c r="WLS1" t="s">
        <v>16065</v>
      </c>
      <c r="WLT1" t="s">
        <v>16066</v>
      </c>
      <c r="WLU1" t="s">
        <v>16067</v>
      </c>
      <c r="WLV1" t="s">
        <v>16068</v>
      </c>
      <c r="WLW1" t="s">
        <v>16069</v>
      </c>
      <c r="WLX1" t="s">
        <v>16070</v>
      </c>
      <c r="WLY1" t="s">
        <v>16071</v>
      </c>
      <c r="WLZ1" t="s">
        <v>16072</v>
      </c>
      <c r="WMA1" t="s">
        <v>16073</v>
      </c>
      <c r="WMB1" t="s">
        <v>16074</v>
      </c>
      <c r="WMC1" t="s">
        <v>16075</v>
      </c>
      <c r="WMD1" t="s">
        <v>16076</v>
      </c>
      <c r="WME1" t="s">
        <v>16077</v>
      </c>
      <c r="WMF1" t="s">
        <v>16078</v>
      </c>
      <c r="WMG1" t="s">
        <v>16079</v>
      </c>
      <c r="WMH1" t="s">
        <v>16080</v>
      </c>
      <c r="WMI1" t="s">
        <v>16081</v>
      </c>
      <c r="WMJ1" t="s">
        <v>16082</v>
      </c>
      <c r="WMK1" t="s">
        <v>16083</v>
      </c>
      <c r="WML1" t="s">
        <v>16084</v>
      </c>
      <c r="WMM1" t="s">
        <v>16085</v>
      </c>
      <c r="WMN1" t="s">
        <v>16086</v>
      </c>
      <c r="WMO1" t="s">
        <v>16087</v>
      </c>
      <c r="WMP1" t="s">
        <v>16088</v>
      </c>
      <c r="WMQ1" t="s">
        <v>16089</v>
      </c>
      <c r="WMR1" t="s">
        <v>16090</v>
      </c>
      <c r="WMS1" t="s">
        <v>16091</v>
      </c>
      <c r="WMT1" t="s">
        <v>16092</v>
      </c>
      <c r="WMU1" t="s">
        <v>16093</v>
      </c>
      <c r="WMV1" t="s">
        <v>16094</v>
      </c>
      <c r="WMW1" t="s">
        <v>16095</v>
      </c>
      <c r="WMX1" t="s">
        <v>16096</v>
      </c>
      <c r="WMY1" t="s">
        <v>16097</v>
      </c>
      <c r="WMZ1" t="s">
        <v>16098</v>
      </c>
      <c r="WNA1" t="s">
        <v>16099</v>
      </c>
      <c r="WNB1" t="s">
        <v>16100</v>
      </c>
      <c r="WNC1" t="s">
        <v>16101</v>
      </c>
      <c r="WND1" t="s">
        <v>16102</v>
      </c>
      <c r="WNE1" t="s">
        <v>16103</v>
      </c>
      <c r="WNF1" t="s">
        <v>16104</v>
      </c>
      <c r="WNG1" t="s">
        <v>16105</v>
      </c>
      <c r="WNH1" t="s">
        <v>16106</v>
      </c>
      <c r="WNI1" t="s">
        <v>16107</v>
      </c>
      <c r="WNJ1" t="s">
        <v>16108</v>
      </c>
      <c r="WNK1" t="s">
        <v>16109</v>
      </c>
      <c r="WNL1" t="s">
        <v>16110</v>
      </c>
      <c r="WNM1" t="s">
        <v>16111</v>
      </c>
      <c r="WNN1" t="s">
        <v>16112</v>
      </c>
      <c r="WNO1" t="s">
        <v>16113</v>
      </c>
      <c r="WNP1" t="s">
        <v>16114</v>
      </c>
      <c r="WNQ1" t="s">
        <v>16115</v>
      </c>
      <c r="WNR1" t="s">
        <v>16116</v>
      </c>
      <c r="WNS1" t="s">
        <v>16117</v>
      </c>
      <c r="WNT1" t="s">
        <v>16118</v>
      </c>
      <c r="WNU1" t="s">
        <v>16119</v>
      </c>
      <c r="WNV1" t="s">
        <v>16120</v>
      </c>
      <c r="WNW1" t="s">
        <v>16121</v>
      </c>
      <c r="WNX1" t="s">
        <v>16122</v>
      </c>
      <c r="WNY1" t="s">
        <v>16123</v>
      </c>
      <c r="WNZ1" t="s">
        <v>16124</v>
      </c>
      <c r="WOA1" t="s">
        <v>16125</v>
      </c>
      <c r="WOB1" t="s">
        <v>16126</v>
      </c>
      <c r="WOC1" t="s">
        <v>16127</v>
      </c>
      <c r="WOD1" t="s">
        <v>16128</v>
      </c>
      <c r="WOE1" t="s">
        <v>16129</v>
      </c>
      <c r="WOF1" t="s">
        <v>16130</v>
      </c>
      <c r="WOG1" t="s">
        <v>16131</v>
      </c>
      <c r="WOH1" t="s">
        <v>16132</v>
      </c>
      <c r="WOI1" t="s">
        <v>16133</v>
      </c>
      <c r="WOJ1" t="s">
        <v>16134</v>
      </c>
      <c r="WOK1" t="s">
        <v>16135</v>
      </c>
      <c r="WOL1" t="s">
        <v>16136</v>
      </c>
      <c r="WOM1" t="s">
        <v>16137</v>
      </c>
      <c r="WON1" t="s">
        <v>16138</v>
      </c>
      <c r="WOO1" t="s">
        <v>16139</v>
      </c>
      <c r="WOP1" t="s">
        <v>16140</v>
      </c>
      <c r="WOQ1" t="s">
        <v>16141</v>
      </c>
      <c r="WOR1" t="s">
        <v>16142</v>
      </c>
      <c r="WOS1" t="s">
        <v>16143</v>
      </c>
      <c r="WOT1" t="s">
        <v>16144</v>
      </c>
      <c r="WOU1" t="s">
        <v>16145</v>
      </c>
      <c r="WOV1" t="s">
        <v>16146</v>
      </c>
      <c r="WOW1" t="s">
        <v>16147</v>
      </c>
      <c r="WOX1" t="s">
        <v>16148</v>
      </c>
      <c r="WOY1" t="s">
        <v>16149</v>
      </c>
      <c r="WOZ1" t="s">
        <v>16150</v>
      </c>
      <c r="WPA1" t="s">
        <v>16151</v>
      </c>
      <c r="WPB1" t="s">
        <v>16152</v>
      </c>
      <c r="WPC1" t="s">
        <v>16153</v>
      </c>
      <c r="WPD1" t="s">
        <v>16154</v>
      </c>
      <c r="WPE1" t="s">
        <v>16155</v>
      </c>
      <c r="WPF1" t="s">
        <v>16156</v>
      </c>
      <c r="WPG1" t="s">
        <v>16157</v>
      </c>
      <c r="WPH1" t="s">
        <v>16158</v>
      </c>
      <c r="WPI1" t="s">
        <v>16159</v>
      </c>
      <c r="WPJ1" t="s">
        <v>16160</v>
      </c>
      <c r="WPK1" t="s">
        <v>16161</v>
      </c>
      <c r="WPL1" t="s">
        <v>16162</v>
      </c>
      <c r="WPM1" t="s">
        <v>16163</v>
      </c>
      <c r="WPN1" t="s">
        <v>16164</v>
      </c>
      <c r="WPO1" t="s">
        <v>16165</v>
      </c>
      <c r="WPP1" t="s">
        <v>16166</v>
      </c>
      <c r="WPQ1" t="s">
        <v>16167</v>
      </c>
      <c r="WPR1" t="s">
        <v>16168</v>
      </c>
      <c r="WPS1" t="s">
        <v>16169</v>
      </c>
      <c r="WPT1" t="s">
        <v>16170</v>
      </c>
      <c r="WPU1" t="s">
        <v>16171</v>
      </c>
      <c r="WPV1" t="s">
        <v>16172</v>
      </c>
      <c r="WPW1" t="s">
        <v>16173</v>
      </c>
      <c r="WPX1" t="s">
        <v>16174</v>
      </c>
      <c r="WPY1" t="s">
        <v>16175</v>
      </c>
      <c r="WPZ1" t="s">
        <v>16176</v>
      </c>
      <c r="WQA1" t="s">
        <v>16177</v>
      </c>
      <c r="WQB1" t="s">
        <v>16178</v>
      </c>
      <c r="WQC1" t="s">
        <v>16179</v>
      </c>
      <c r="WQD1" t="s">
        <v>16180</v>
      </c>
      <c r="WQE1" t="s">
        <v>16181</v>
      </c>
      <c r="WQF1" t="s">
        <v>16182</v>
      </c>
      <c r="WQG1" t="s">
        <v>16183</v>
      </c>
      <c r="WQH1" t="s">
        <v>16184</v>
      </c>
      <c r="WQI1" t="s">
        <v>16185</v>
      </c>
      <c r="WQJ1" t="s">
        <v>16186</v>
      </c>
      <c r="WQK1" t="s">
        <v>16187</v>
      </c>
      <c r="WQL1" t="s">
        <v>16188</v>
      </c>
      <c r="WQM1" t="s">
        <v>16189</v>
      </c>
      <c r="WQN1" t="s">
        <v>16190</v>
      </c>
      <c r="WQO1" t="s">
        <v>16191</v>
      </c>
      <c r="WQP1" t="s">
        <v>16192</v>
      </c>
      <c r="WQQ1" t="s">
        <v>16193</v>
      </c>
      <c r="WQR1" t="s">
        <v>16194</v>
      </c>
      <c r="WQS1" t="s">
        <v>16195</v>
      </c>
      <c r="WQT1" t="s">
        <v>16196</v>
      </c>
      <c r="WQU1" t="s">
        <v>16197</v>
      </c>
      <c r="WQV1" t="s">
        <v>16198</v>
      </c>
      <c r="WQW1" t="s">
        <v>16199</v>
      </c>
      <c r="WQX1" t="s">
        <v>16200</v>
      </c>
      <c r="WQY1" t="s">
        <v>16201</v>
      </c>
      <c r="WQZ1" t="s">
        <v>16202</v>
      </c>
      <c r="WRA1" t="s">
        <v>16203</v>
      </c>
      <c r="WRB1" t="s">
        <v>16204</v>
      </c>
      <c r="WRC1" t="s">
        <v>16205</v>
      </c>
      <c r="WRD1" t="s">
        <v>16206</v>
      </c>
      <c r="WRE1" t="s">
        <v>16207</v>
      </c>
      <c r="WRF1" t="s">
        <v>16208</v>
      </c>
      <c r="WRG1" t="s">
        <v>16209</v>
      </c>
      <c r="WRH1" t="s">
        <v>16210</v>
      </c>
      <c r="WRI1" t="s">
        <v>16211</v>
      </c>
      <c r="WRJ1" t="s">
        <v>16212</v>
      </c>
      <c r="WRK1" t="s">
        <v>16213</v>
      </c>
      <c r="WRL1" t="s">
        <v>16214</v>
      </c>
      <c r="WRM1" t="s">
        <v>16215</v>
      </c>
      <c r="WRN1" t="s">
        <v>16216</v>
      </c>
      <c r="WRO1" t="s">
        <v>16217</v>
      </c>
      <c r="WRP1" t="s">
        <v>16218</v>
      </c>
      <c r="WRQ1" t="s">
        <v>16219</v>
      </c>
      <c r="WRR1" t="s">
        <v>16220</v>
      </c>
      <c r="WRS1" t="s">
        <v>16221</v>
      </c>
      <c r="WRT1" t="s">
        <v>16222</v>
      </c>
      <c r="WRU1" t="s">
        <v>16223</v>
      </c>
      <c r="WRV1" t="s">
        <v>16224</v>
      </c>
      <c r="WRW1" t="s">
        <v>16225</v>
      </c>
      <c r="WRX1" t="s">
        <v>16226</v>
      </c>
      <c r="WRY1" t="s">
        <v>16227</v>
      </c>
      <c r="WRZ1" t="s">
        <v>16228</v>
      </c>
      <c r="WSA1" t="s">
        <v>16229</v>
      </c>
      <c r="WSB1" t="s">
        <v>16230</v>
      </c>
      <c r="WSC1" t="s">
        <v>16231</v>
      </c>
      <c r="WSD1" t="s">
        <v>16232</v>
      </c>
      <c r="WSE1" t="s">
        <v>16233</v>
      </c>
      <c r="WSF1" t="s">
        <v>16234</v>
      </c>
      <c r="WSG1" t="s">
        <v>16235</v>
      </c>
      <c r="WSH1" t="s">
        <v>16236</v>
      </c>
      <c r="WSI1" t="s">
        <v>16237</v>
      </c>
      <c r="WSJ1" t="s">
        <v>16238</v>
      </c>
      <c r="WSK1" t="s">
        <v>16239</v>
      </c>
      <c r="WSL1" t="s">
        <v>16240</v>
      </c>
      <c r="WSM1" t="s">
        <v>16241</v>
      </c>
      <c r="WSN1" t="s">
        <v>16242</v>
      </c>
      <c r="WSO1" t="s">
        <v>16243</v>
      </c>
      <c r="WSP1" t="s">
        <v>16244</v>
      </c>
      <c r="WSQ1" t="s">
        <v>16245</v>
      </c>
      <c r="WSR1" t="s">
        <v>16246</v>
      </c>
      <c r="WSS1" t="s">
        <v>16247</v>
      </c>
      <c r="WST1" t="s">
        <v>16248</v>
      </c>
      <c r="WSU1" t="s">
        <v>16249</v>
      </c>
      <c r="WSV1" t="s">
        <v>16250</v>
      </c>
      <c r="WSW1" t="s">
        <v>16251</v>
      </c>
      <c r="WSX1" t="s">
        <v>16252</v>
      </c>
      <c r="WSY1" t="s">
        <v>16253</v>
      </c>
      <c r="WSZ1" t="s">
        <v>16254</v>
      </c>
      <c r="WTA1" t="s">
        <v>16255</v>
      </c>
      <c r="WTB1" t="s">
        <v>16256</v>
      </c>
      <c r="WTC1" t="s">
        <v>16257</v>
      </c>
      <c r="WTD1" t="s">
        <v>16258</v>
      </c>
      <c r="WTE1" t="s">
        <v>16259</v>
      </c>
      <c r="WTF1" t="s">
        <v>16260</v>
      </c>
      <c r="WTG1" t="s">
        <v>16261</v>
      </c>
      <c r="WTH1" t="s">
        <v>16262</v>
      </c>
      <c r="WTI1" t="s">
        <v>16263</v>
      </c>
      <c r="WTJ1" t="s">
        <v>16264</v>
      </c>
      <c r="WTK1" t="s">
        <v>16265</v>
      </c>
      <c r="WTL1" t="s">
        <v>16266</v>
      </c>
      <c r="WTM1" t="s">
        <v>16267</v>
      </c>
      <c r="WTN1" t="s">
        <v>16268</v>
      </c>
      <c r="WTO1" t="s">
        <v>16269</v>
      </c>
      <c r="WTP1" t="s">
        <v>16270</v>
      </c>
      <c r="WTQ1" t="s">
        <v>16271</v>
      </c>
      <c r="WTR1" t="s">
        <v>16272</v>
      </c>
      <c r="WTS1" t="s">
        <v>16273</v>
      </c>
      <c r="WTT1" t="s">
        <v>16274</v>
      </c>
      <c r="WTU1" t="s">
        <v>16275</v>
      </c>
      <c r="WTV1" t="s">
        <v>16276</v>
      </c>
      <c r="WTW1" t="s">
        <v>16277</v>
      </c>
      <c r="WTX1" t="s">
        <v>16278</v>
      </c>
      <c r="WTY1" t="s">
        <v>16279</v>
      </c>
      <c r="WTZ1" t="s">
        <v>16280</v>
      </c>
      <c r="WUA1" t="s">
        <v>16281</v>
      </c>
      <c r="WUB1" t="s">
        <v>16282</v>
      </c>
      <c r="WUC1" t="s">
        <v>16283</v>
      </c>
      <c r="WUD1" t="s">
        <v>16284</v>
      </c>
      <c r="WUE1" t="s">
        <v>16285</v>
      </c>
      <c r="WUF1" t="s">
        <v>16286</v>
      </c>
      <c r="WUG1" t="s">
        <v>16287</v>
      </c>
      <c r="WUH1" t="s">
        <v>16288</v>
      </c>
      <c r="WUI1" t="s">
        <v>16289</v>
      </c>
      <c r="WUJ1" t="s">
        <v>16290</v>
      </c>
      <c r="WUK1" t="s">
        <v>16291</v>
      </c>
      <c r="WUL1" t="s">
        <v>16292</v>
      </c>
      <c r="WUM1" t="s">
        <v>16293</v>
      </c>
      <c r="WUN1" t="s">
        <v>16294</v>
      </c>
      <c r="WUO1" t="s">
        <v>16295</v>
      </c>
      <c r="WUP1" t="s">
        <v>16296</v>
      </c>
      <c r="WUQ1" t="s">
        <v>16297</v>
      </c>
      <c r="WUR1" t="s">
        <v>16298</v>
      </c>
      <c r="WUS1" t="s">
        <v>16299</v>
      </c>
      <c r="WUT1" t="s">
        <v>16300</v>
      </c>
      <c r="WUU1" t="s">
        <v>16301</v>
      </c>
      <c r="WUV1" t="s">
        <v>16302</v>
      </c>
      <c r="WUW1" t="s">
        <v>16303</v>
      </c>
      <c r="WUX1" t="s">
        <v>16304</v>
      </c>
      <c r="WUY1" t="s">
        <v>16305</v>
      </c>
      <c r="WUZ1" t="s">
        <v>16306</v>
      </c>
      <c r="WVA1" t="s">
        <v>16307</v>
      </c>
      <c r="WVB1" t="s">
        <v>16308</v>
      </c>
      <c r="WVC1" t="s">
        <v>16309</v>
      </c>
      <c r="WVD1" t="s">
        <v>16310</v>
      </c>
      <c r="WVE1" t="s">
        <v>16311</v>
      </c>
      <c r="WVF1" t="s">
        <v>16312</v>
      </c>
      <c r="WVG1" t="s">
        <v>16313</v>
      </c>
      <c r="WVH1" t="s">
        <v>16314</v>
      </c>
      <c r="WVI1" t="s">
        <v>16315</v>
      </c>
      <c r="WVJ1" t="s">
        <v>16316</v>
      </c>
      <c r="WVK1" t="s">
        <v>16317</v>
      </c>
      <c r="WVL1" t="s">
        <v>16318</v>
      </c>
      <c r="WVM1" t="s">
        <v>16319</v>
      </c>
      <c r="WVN1" t="s">
        <v>16320</v>
      </c>
      <c r="WVO1" t="s">
        <v>16321</v>
      </c>
      <c r="WVP1" t="s">
        <v>16322</v>
      </c>
      <c r="WVQ1" t="s">
        <v>16323</v>
      </c>
      <c r="WVR1" t="s">
        <v>16324</v>
      </c>
      <c r="WVS1" t="s">
        <v>16325</v>
      </c>
      <c r="WVT1" t="s">
        <v>16326</v>
      </c>
      <c r="WVU1" t="s">
        <v>16327</v>
      </c>
      <c r="WVV1" t="s">
        <v>16328</v>
      </c>
      <c r="WVW1" t="s">
        <v>16329</v>
      </c>
      <c r="WVX1" t="s">
        <v>16330</v>
      </c>
      <c r="WVY1" t="s">
        <v>16331</v>
      </c>
      <c r="WVZ1" t="s">
        <v>16332</v>
      </c>
      <c r="WWA1" t="s">
        <v>16333</v>
      </c>
      <c r="WWB1" t="s">
        <v>16334</v>
      </c>
      <c r="WWC1" t="s">
        <v>16335</v>
      </c>
      <c r="WWD1" t="s">
        <v>16336</v>
      </c>
      <c r="WWE1" t="s">
        <v>16337</v>
      </c>
      <c r="WWF1" t="s">
        <v>16338</v>
      </c>
      <c r="WWG1" t="s">
        <v>16339</v>
      </c>
      <c r="WWH1" t="s">
        <v>16340</v>
      </c>
      <c r="WWI1" t="s">
        <v>16341</v>
      </c>
      <c r="WWJ1" t="s">
        <v>16342</v>
      </c>
      <c r="WWK1" t="s">
        <v>16343</v>
      </c>
      <c r="WWL1" t="s">
        <v>16344</v>
      </c>
      <c r="WWM1" t="s">
        <v>16345</v>
      </c>
      <c r="WWN1" t="s">
        <v>16346</v>
      </c>
      <c r="WWO1" t="s">
        <v>16347</v>
      </c>
      <c r="WWP1" t="s">
        <v>16348</v>
      </c>
      <c r="WWQ1" t="s">
        <v>16349</v>
      </c>
      <c r="WWR1" t="s">
        <v>16350</v>
      </c>
      <c r="WWS1" t="s">
        <v>16351</v>
      </c>
      <c r="WWT1" t="s">
        <v>16352</v>
      </c>
      <c r="WWU1" t="s">
        <v>16353</v>
      </c>
      <c r="WWV1" t="s">
        <v>16354</v>
      </c>
      <c r="WWW1" t="s">
        <v>16355</v>
      </c>
      <c r="WWX1" t="s">
        <v>16356</v>
      </c>
      <c r="WWY1" t="s">
        <v>16357</v>
      </c>
      <c r="WWZ1" t="s">
        <v>16358</v>
      </c>
      <c r="WXA1" t="s">
        <v>16359</v>
      </c>
      <c r="WXB1" t="s">
        <v>16360</v>
      </c>
      <c r="WXC1" t="s">
        <v>16361</v>
      </c>
      <c r="WXD1" t="s">
        <v>16362</v>
      </c>
      <c r="WXE1" t="s">
        <v>16363</v>
      </c>
      <c r="WXF1" t="s">
        <v>16364</v>
      </c>
      <c r="WXG1" t="s">
        <v>16365</v>
      </c>
      <c r="WXH1" t="s">
        <v>16366</v>
      </c>
      <c r="WXI1" t="s">
        <v>16367</v>
      </c>
      <c r="WXJ1" t="s">
        <v>16368</v>
      </c>
      <c r="WXK1" t="s">
        <v>16369</v>
      </c>
      <c r="WXL1" t="s">
        <v>16370</v>
      </c>
      <c r="WXM1" t="s">
        <v>16371</v>
      </c>
      <c r="WXN1" t="s">
        <v>16372</v>
      </c>
      <c r="WXO1" t="s">
        <v>16373</v>
      </c>
      <c r="WXP1" t="s">
        <v>16374</v>
      </c>
      <c r="WXQ1" t="s">
        <v>16375</v>
      </c>
      <c r="WXR1" t="s">
        <v>16376</v>
      </c>
      <c r="WXS1" t="s">
        <v>16377</v>
      </c>
      <c r="WXT1" t="s">
        <v>16378</v>
      </c>
      <c r="WXU1" t="s">
        <v>16379</v>
      </c>
      <c r="WXV1" t="s">
        <v>16380</v>
      </c>
      <c r="WXW1" t="s">
        <v>16381</v>
      </c>
      <c r="WXX1" t="s">
        <v>16382</v>
      </c>
      <c r="WXY1" t="s">
        <v>16383</v>
      </c>
      <c r="WXZ1" t="s">
        <v>16384</v>
      </c>
      <c r="WYA1" t="s">
        <v>16385</v>
      </c>
      <c r="WYB1" t="s">
        <v>16386</v>
      </c>
      <c r="WYC1" t="s">
        <v>16387</v>
      </c>
      <c r="WYD1" t="s">
        <v>16388</v>
      </c>
      <c r="WYE1" t="s">
        <v>16389</v>
      </c>
      <c r="WYF1" t="s">
        <v>16390</v>
      </c>
      <c r="WYG1" t="s">
        <v>16391</v>
      </c>
      <c r="WYH1" t="s">
        <v>16392</v>
      </c>
      <c r="WYI1" t="s">
        <v>16393</v>
      </c>
      <c r="WYJ1" t="s">
        <v>16394</v>
      </c>
      <c r="WYK1" t="s">
        <v>16395</v>
      </c>
      <c r="WYL1" t="s">
        <v>16396</v>
      </c>
      <c r="WYM1" t="s">
        <v>16397</v>
      </c>
      <c r="WYN1" t="s">
        <v>16398</v>
      </c>
      <c r="WYO1" t="s">
        <v>16399</v>
      </c>
      <c r="WYP1" t="s">
        <v>16400</v>
      </c>
      <c r="WYQ1" t="s">
        <v>16401</v>
      </c>
      <c r="WYR1" t="s">
        <v>16402</v>
      </c>
      <c r="WYS1" t="s">
        <v>16403</v>
      </c>
      <c r="WYT1" t="s">
        <v>16404</v>
      </c>
      <c r="WYU1" t="s">
        <v>16405</v>
      </c>
      <c r="WYV1" t="s">
        <v>16406</v>
      </c>
      <c r="WYW1" t="s">
        <v>16407</v>
      </c>
      <c r="WYX1" t="s">
        <v>16408</v>
      </c>
      <c r="WYY1" t="s">
        <v>16409</v>
      </c>
      <c r="WYZ1" t="s">
        <v>16410</v>
      </c>
      <c r="WZA1" t="s">
        <v>16411</v>
      </c>
      <c r="WZB1" t="s">
        <v>16412</v>
      </c>
      <c r="WZC1" t="s">
        <v>16413</v>
      </c>
      <c r="WZD1" t="s">
        <v>16414</v>
      </c>
      <c r="WZE1" t="s">
        <v>16415</v>
      </c>
      <c r="WZF1" t="s">
        <v>16416</v>
      </c>
      <c r="WZG1" t="s">
        <v>16417</v>
      </c>
      <c r="WZH1" t="s">
        <v>16418</v>
      </c>
      <c r="WZI1" t="s">
        <v>16419</v>
      </c>
      <c r="WZJ1" t="s">
        <v>16420</v>
      </c>
      <c r="WZK1" t="s">
        <v>16421</v>
      </c>
      <c r="WZL1" t="s">
        <v>16422</v>
      </c>
      <c r="WZM1" t="s">
        <v>16423</v>
      </c>
      <c r="WZN1" t="s">
        <v>16424</v>
      </c>
      <c r="WZO1" t="s">
        <v>16425</v>
      </c>
      <c r="WZP1" t="s">
        <v>16426</v>
      </c>
      <c r="WZQ1" t="s">
        <v>16427</v>
      </c>
      <c r="WZR1" t="s">
        <v>16428</v>
      </c>
      <c r="WZS1" t="s">
        <v>16429</v>
      </c>
      <c r="WZT1" t="s">
        <v>16430</v>
      </c>
      <c r="WZU1" t="s">
        <v>16431</v>
      </c>
      <c r="WZV1" t="s">
        <v>16432</v>
      </c>
      <c r="WZW1" t="s">
        <v>16433</v>
      </c>
      <c r="WZX1" t="s">
        <v>16434</v>
      </c>
      <c r="WZY1" t="s">
        <v>16435</v>
      </c>
      <c r="WZZ1" t="s">
        <v>16436</v>
      </c>
      <c r="XAA1" t="s">
        <v>16437</v>
      </c>
      <c r="XAB1" t="s">
        <v>16438</v>
      </c>
      <c r="XAC1" t="s">
        <v>16439</v>
      </c>
      <c r="XAD1" t="s">
        <v>16440</v>
      </c>
      <c r="XAE1" t="s">
        <v>16441</v>
      </c>
      <c r="XAF1" t="s">
        <v>16442</v>
      </c>
      <c r="XAG1" t="s">
        <v>16443</v>
      </c>
      <c r="XAH1" t="s">
        <v>16444</v>
      </c>
      <c r="XAI1" t="s">
        <v>16445</v>
      </c>
      <c r="XAJ1" t="s">
        <v>16446</v>
      </c>
      <c r="XAK1" t="s">
        <v>16447</v>
      </c>
      <c r="XAL1" t="s">
        <v>16448</v>
      </c>
      <c r="XAM1" t="s">
        <v>16449</v>
      </c>
      <c r="XAN1" t="s">
        <v>16450</v>
      </c>
      <c r="XAO1" t="s">
        <v>16451</v>
      </c>
      <c r="XAP1" t="s">
        <v>16452</v>
      </c>
      <c r="XAQ1" t="s">
        <v>16453</v>
      </c>
      <c r="XAR1" t="s">
        <v>16454</v>
      </c>
      <c r="XAS1" t="s">
        <v>16455</v>
      </c>
      <c r="XAT1" t="s">
        <v>16456</v>
      </c>
      <c r="XAU1" t="s">
        <v>16457</v>
      </c>
      <c r="XAV1" t="s">
        <v>16458</v>
      </c>
      <c r="XAW1" t="s">
        <v>16459</v>
      </c>
      <c r="XAX1" t="s">
        <v>16460</v>
      </c>
      <c r="XAY1" t="s">
        <v>16461</v>
      </c>
      <c r="XAZ1" t="s">
        <v>16462</v>
      </c>
      <c r="XBA1" t="s">
        <v>16463</v>
      </c>
      <c r="XBB1" t="s">
        <v>16464</v>
      </c>
      <c r="XBC1" t="s">
        <v>16465</v>
      </c>
      <c r="XBD1" t="s">
        <v>16466</v>
      </c>
      <c r="XBE1" t="s">
        <v>16467</v>
      </c>
      <c r="XBF1" t="s">
        <v>16468</v>
      </c>
      <c r="XBG1" t="s">
        <v>16469</v>
      </c>
      <c r="XBH1" t="s">
        <v>16470</v>
      </c>
      <c r="XBI1" t="s">
        <v>16471</v>
      </c>
      <c r="XBJ1" t="s">
        <v>16472</v>
      </c>
      <c r="XBK1" t="s">
        <v>16473</v>
      </c>
      <c r="XBL1" t="s">
        <v>16474</v>
      </c>
      <c r="XBM1" t="s">
        <v>16475</v>
      </c>
      <c r="XBN1" t="s">
        <v>16476</v>
      </c>
      <c r="XBO1" t="s">
        <v>16477</v>
      </c>
      <c r="XBP1" t="s">
        <v>16478</v>
      </c>
      <c r="XBQ1" t="s">
        <v>16479</v>
      </c>
      <c r="XBR1" t="s">
        <v>16480</v>
      </c>
      <c r="XBS1" t="s">
        <v>16481</v>
      </c>
      <c r="XBT1" t="s">
        <v>16482</v>
      </c>
      <c r="XBU1" t="s">
        <v>16483</v>
      </c>
      <c r="XBV1" t="s">
        <v>16484</v>
      </c>
      <c r="XBW1" t="s">
        <v>16485</v>
      </c>
      <c r="XBX1" t="s">
        <v>16486</v>
      </c>
      <c r="XBY1" t="s">
        <v>16487</v>
      </c>
      <c r="XBZ1" t="s">
        <v>16488</v>
      </c>
      <c r="XCA1" t="s">
        <v>16489</v>
      </c>
      <c r="XCB1" t="s">
        <v>16490</v>
      </c>
      <c r="XCC1" t="s">
        <v>16491</v>
      </c>
      <c r="XCD1" t="s">
        <v>16492</v>
      </c>
      <c r="XCE1" t="s">
        <v>16493</v>
      </c>
      <c r="XCF1" t="s">
        <v>16494</v>
      </c>
      <c r="XCG1" t="s">
        <v>16495</v>
      </c>
      <c r="XCH1" t="s">
        <v>16496</v>
      </c>
      <c r="XCI1" t="s">
        <v>16497</v>
      </c>
      <c r="XCJ1" t="s">
        <v>16498</v>
      </c>
      <c r="XCK1" t="s">
        <v>16499</v>
      </c>
      <c r="XCL1" t="s">
        <v>16500</v>
      </c>
      <c r="XCM1" t="s">
        <v>16501</v>
      </c>
      <c r="XCN1" t="s">
        <v>16502</v>
      </c>
      <c r="XCO1" t="s">
        <v>16503</v>
      </c>
      <c r="XCP1" t="s">
        <v>16504</v>
      </c>
      <c r="XCQ1" t="s">
        <v>16505</v>
      </c>
      <c r="XCR1" t="s">
        <v>16506</v>
      </c>
      <c r="XCS1" t="s">
        <v>16507</v>
      </c>
      <c r="XCT1" t="s">
        <v>16508</v>
      </c>
      <c r="XCU1" t="s">
        <v>16509</v>
      </c>
      <c r="XCV1" t="s">
        <v>16510</v>
      </c>
      <c r="XCW1" t="s">
        <v>16511</v>
      </c>
      <c r="XCX1" t="s">
        <v>16512</v>
      </c>
      <c r="XCY1" t="s">
        <v>16513</v>
      </c>
      <c r="XCZ1" t="s">
        <v>16514</v>
      </c>
      <c r="XDA1" t="s">
        <v>16515</v>
      </c>
      <c r="XDB1" t="s">
        <v>16516</v>
      </c>
      <c r="XDC1" t="s">
        <v>16517</v>
      </c>
      <c r="XDD1" t="s">
        <v>16518</v>
      </c>
      <c r="XDE1" t="s">
        <v>16519</v>
      </c>
      <c r="XDF1" t="s">
        <v>16520</v>
      </c>
      <c r="XDG1" t="s">
        <v>16521</v>
      </c>
      <c r="XDH1" t="s">
        <v>16522</v>
      </c>
      <c r="XDI1" t="s">
        <v>16523</v>
      </c>
      <c r="XDJ1" t="s">
        <v>16524</v>
      </c>
      <c r="XDK1" t="s">
        <v>16525</v>
      </c>
      <c r="XDL1" t="s">
        <v>16526</v>
      </c>
      <c r="XDM1" t="s">
        <v>16527</v>
      </c>
      <c r="XDN1" t="s">
        <v>16528</v>
      </c>
      <c r="XDO1" t="s">
        <v>16529</v>
      </c>
      <c r="XDP1" t="s">
        <v>16530</v>
      </c>
      <c r="XDQ1" t="s">
        <v>16531</v>
      </c>
      <c r="XDR1" t="s">
        <v>16532</v>
      </c>
      <c r="XDS1" t="s">
        <v>16533</v>
      </c>
      <c r="XDT1" t="s">
        <v>16534</v>
      </c>
      <c r="XDU1" t="s">
        <v>16535</v>
      </c>
      <c r="XDV1" t="s">
        <v>16536</v>
      </c>
      <c r="XDW1" t="s">
        <v>16537</v>
      </c>
      <c r="XDX1" t="s">
        <v>16538</v>
      </c>
      <c r="XDY1" t="s">
        <v>16539</v>
      </c>
      <c r="XDZ1" t="s">
        <v>16540</v>
      </c>
      <c r="XEA1" t="s">
        <v>16541</v>
      </c>
      <c r="XEB1" t="s">
        <v>16542</v>
      </c>
      <c r="XEC1" t="s">
        <v>16543</v>
      </c>
      <c r="XED1" t="s">
        <v>16544</v>
      </c>
      <c r="XEE1" t="s">
        <v>16545</v>
      </c>
      <c r="XEF1" t="s">
        <v>16546</v>
      </c>
      <c r="XEG1" t="s">
        <v>16547</v>
      </c>
      <c r="XEH1" t="s">
        <v>16548</v>
      </c>
      <c r="XEI1" t="s">
        <v>16549</v>
      </c>
      <c r="XEJ1" t="s">
        <v>16550</v>
      </c>
      <c r="XEK1" t="s">
        <v>16551</v>
      </c>
      <c r="XEL1" t="s">
        <v>16552</v>
      </c>
      <c r="XEM1" t="s">
        <v>16553</v>
      </c>
      <c r="XEN1" t="s">
        <v>16554</v>
      </c>
      <c r="XEO1" t="s">
        <v>16555</v>
      </c>
      <c r="XEP1" t="s">
        <v>16556</v>
      </c>
      <c r="XEQ1" t="s">
        <v>16557</v>
      </c>
      <c r="XER1" t="s">
        <v>16558</v>
      </c>
      <c r="XES1" t="s">
        <v>16559</v>
      </c>
      <c r="XET1" t="s">
        <v>16560</v>
      </c>
      <c r="XEU1" t="s">
        <v>16561</v>
      </c>
      <c r="XEV1" t="s">
        <v>16562</v>
      </c>
      <c r="XEW1" t="s">
        <v>16563</v>
      </c>
      <c r="XEX1" t="s">
        <v>16564</v>
      </c>
      <c r="XEY1" t="s">
        <v>16565</v>
      </c>
      <c r="XEZ1" t="s">
        <v>16566</v>
      </c>
      <c r="XFA1" t="s">
        <v>16567</v>
      </c>
      <c r="XFB1" t="s">
        <v>16568</v>
      </c>
      <c r="XFC1" t="s">
        <v>16569</v>
      </c>
      <c r="XFD1" t="s">
        <v>16570</v>
      </c>
    </row>
    <row r="2" spans="1:16384" ht="12.75">
      <c r="A2" s="19">
        <v>45906.678841006942</v>
      </c>
      <c r="B2" s="18" t="s">
        <v>190</v>
      </c>
      <c r="C2" s="18" t="s">
        <v>137</v>
      </c>
      <c r="D2" s="18" t="s">
        <v>191</v>
      </c>
      <c r="F2" s="18">
        <v>249</v>
      </c>
      <c r="G2" s="18">
        <v>4</v>
      </c>
      <c r="H2" s="18">
        <v>80</v>
      </c>
      <c r="I2" s="18">
        <v>5</v>
      </c>
      <c r="J2" s="18">
        <v>233</v>
      </c>
      <c r="K2" s="18">
        <v>0</v>
      </c>
      <c r="L2" s="18">
        <v>111</v>
      </c>
      <c r="M2" s="18">
        <v>9</v>
      </c>
      <c r="N2" s="18">
        <v>139</v>
      </c>
      <c r="P2" s="18">
        <v>20</v>
      </c>
      <c r="Q2" s="18">
        <v>11</v>
      </c>
      <c r="R2" s="18">
        <v>710</v>
      </c>
      <c r="S2" s="18">
        <v>3888</v>
      </c>
      <c r="T2" s="18">
        <v>873</v>
      </c>
      <c r="U2" s="18">
        <v>977</v>
      </c>
      <c r="V2" s="18">
        <v>287</v>
      </c>
      <c r="W2" s="18">
        <v>114</v>
      </c>
      <c r="X2" s="18">
        <v>608</v>
      </c>
      <c r="Y2" s="18">
        <v>3994</v>
      </c>
      <c r="Z2" s="18">
        <v>834</v>
      </c>
      <c r="AA2" s="18">
        <v>9946</v>
      </c>
      <c r="AB2" s="18">
        <v>2638</v>
      </c>
      <c r="AC2" s="18">
        <v>662</v>
      </c>
      <c r="AD2" s="18">
        <v>984</v>
      </c>
      <c r="AE2" s="18">
        <v>262</v>
      </c>
      <c r="AF2" s="18">
        <v>1328</v>
      </c>
      <c r="AG2" s="18">
        <v>8026</v>
      </c>
      <c r="AH2" s="18">
        <v>16003</v>
      </c>
      <c r="AI2" s="18">
        <v>4149</v>
      </c>
      <c r="AJ2" s="18">
        <v>8</v>
      </c>
      <c r="AK2" s="18">
        <v>1014</v>
      </c>
      <c r="AL2" s="18">
        <v>135</v>
      </c>
      <c r="AM2" s="18">
        <v>923</v>
      </c>
      <c r="AN2" s="18">
        <v>0</v>
      </c>
      <c r="AO2" s="18">
        <v>18</v>
      </c>
      <c r="AP2" s="18">
        <v>10380</v>
      </c>
      <c r="AQ2" s="18">
        <v>14</v>
      </c>
      <c r="AR2" s="18">
        <v>0</v>
      </c>
      <c r="AS2" s="18">
        <v>2</v>
      </c>
      <c r="AT2" s="18">
        <v>5</v>
      </c>
      <c r="AU2" s="18">
        <v>0</v>
      </c>
      <c r="AV2" s="18">
        <v>13</v>
      </c>
      <c r="AY2" s="18">
        <v>2025</v>
      </c>
    </row>
    <row r="3" spans="1:16384" ht="13.5" thickBot="1">
      <c r="A3" s="20"/>
      <c r="B3" s="21" t="s">
        <v>192</v>
      </c>
      <c r="C3" s="21" t="s">
        <v>133</v>
      </c>
      <c r="D3" s="21" t="s">
        <v>191</v>
      </c>
      <c r="E3" s="21"/>
      <c r="F3" s="21">
        <v>187</v>
      </c>
      <c r="G3" s="21">
        <v>16</v>
      </c>
      <c r="H3" s="21">
        <v>129</v>
      </c>
      <c r="I3" s="21">
        <v>444</v>
      </c>
      <c r="J3" s="21">
        <v>224</v>
      </c>
      <c r="K3" s="21">
        <v>96</v>
      </c>
      <c r="L3" s="21">
        <v>41</v>
      </c>
      <c r="M3" s="21">
        <v>9</v>
      </c>
      <c r="N3" s="21">
        <v>134</v>
      </c>
      <c r="O3" s="21"/>
      <c r="P3" s="21">
        <v>17</v>
      </c>
      <c r="Q3" s="21">
        <v>3</v>
      </c>
      <c r="R3" s="21">
        <v>697</v>
      </c>
      <c r="S3" s="21">
        <v>3962</v>
      </c>
      <c r="T3" s="21">
        <v>989</v>
      </c>
      <c r="U3" s="21">
        <v>1077</v>
      </c>
      <c r="V3" s="21">
        <v>231</v>
      </c>
      <c r="W3" s="21">
        <v>87</v>
      </c>
      <c r="X3" s="21">
        <v>462</v>
      </c>
      <c r="Y3" s="21">
        <v>3803</v>
      </c>
      <c r="Z3" s="21">
        <v>830</v>
      </c>
      <c r="AA3" s="21">
        <v>9594</v>
      </c>
      <c r="AB3" s="21">
        <v>2520</v>
      </c>
      <c r="AC3" s="21">
        <v>633</v>
      </c>
      <c r="AD3" s="21">
        <v>397</v>
      </c>
      <c r="AE3" s="21">
        <v>273</v>
      </c>
      <c r="AF3" s="21">
        <v>1055</v>
      </c>
      <c r="AG3" s="21">
        <v>7732</v>
      </c>
      <c r="AH3" s="21">
        <v>12972</v>
      </c>
      <c r="AI3" s="21">
        <v>4024</v>
      </c>
      <c r="AJ3" s="21">
        <v>7</v>
      </c>
      <c r="AK3" s="21">
        <v>1613</v>
      </c>
      <c r="AL3" s="21">
        <v>239</v>
      </c>
      <c r="AM3" s="21"/>
      <c r="AN3" s="21"/>
      <c r="AO3" s="21">
        <v>22</v>
      </c>
      <c r="AP3" s="21">
        <v>11475</v>
      </c>
      <c r="AQ3" s="21">
        <v>11</v>
      </c>
      <c r="AR3" s="21">
        <v>0</v>
      </c>
      <c r="AS3" s="21">
        <v>0</v>
      </c>
      <c r="AT3" s="21">
        <v>21</v>
      </c>
      <c r="AU3" s="21">
        <v>0</v>
      </c>
      <c r="AV3" s="21">
        <v>6</v>
      </c>
      <c r="AW3" s="21">
        <v>13</v>
      </c>
      <c r="AX3" s="21">
        <v>0</v>
      </c>
      <c r="AY3" s="21">
        <v>2025</v>
      </c>
    </row>
    <row r="4" spans="1:16384" ht="15.75" customHeight="1" thickBot="1">
      <c r="A4" s="51">
        <v>45937.407314814816</v>
      </c>
      <c r="B4" s="52" t="s">
        <v>190</v>
      </c>
      <c r="C4" s="52" t="s">
        <v>223</v>
      </c>
      <c r="D4" s="52" t="s">
        <v>191</v>
      </c>
      <c r="E4" s="48"/>
      <c r="F4" s="48"/>
      <c r="G4" s="49">
        <v>0</v>
      </c>
      <c r="H4" s="49">
        <v>63</v>
      </c>
      <c r="I4" s="49">
        <v>183</v>
      </c>
      <c r="J4" s="49">
        <v>236</v>
      </c>
      <c r="K4" s="49">
        <v>39</v>
      </c>
      <c r="L4" s="49">
        <v>65</v>
      </c>
      <c r="M4" s="49">
        <v>9</v>
      </c>
      <c r="N4" s="49">
        <v>54</v>
      </c>
      <c r="O4" s="48"/>
      <c r="P4" s="49">
        <v>22</v>
      </c>
      <c r="Q4" s="49">
        <v>3</v>
      </c>
      <c r="R4" s="49">
        <v>866</v>
      </c>
      <c r="S4" s="49">
        <v>3662</v>
      </c>
      <c r="T4" s="49">
        <v>883</v>
      </c>
      <c r="U4" s="49">
        <v>906</v>
      </c>
      <c r="V4" s="49">
        <v>228</v>
      </c>
      <c r="W4" s="49">
        <v>112</v>
      </c>
      <c r="X4" s="49">
        <v>547</v>
      </c>
      <c r="Y4" s="49">
        <v>3955</v>
      </c>
      <c r="Z4" s="49">
        <v>776</v>
      </c>
      <c r="AA4" s="49">
        <v>9816</v>
      </c>
      <c r="AB4" s="49">
        <v>2559</v>
      </c>
      <c r="AC4" s="49">
        <v>694</v>
      </c>
      <c r="AD4" s="49">
        <v>931</v>
      </c>
      <c r="AE4" s="49">
        <v>344</v>
      </c>
      <c r="AF4" s="49">
        <v>1082</v>
      </c>
      <c r="AG4" s="49">
        <v>7641</v>
      </c>
      <c r="AH4" s="49">
        <v>15559</v>
      </c>
      <c r="AI4" s="49">
        <v>4075</v>
      </c>
      <c r="AJ4" s="49">
        <v>8</v>
      </c>
      <c r="AK4" s="49">
        <v>1127</v>
      </c>
      <c r="AL4" s="49">
        <v>290</v>
      </c>
      <c r="AM4" s="49">
        <v>251</v>
      </c>
      <c r="AN4" s="49">
        <v>3</v>
      </c>
      <c r="AO4" s="49">
        <v>18</v>
      </c>
      <c r="AP4" s="49">
        <v>10246</v>
      </c>
      <c r="AQ4" s="49">
        <v>34</v>
      </c>
      <c r="AR4" s="49">
        <v>2</v>
      </c>
      <c r="AS4" s="49">
        <v>12</v>
      </c>
      <c r="AT4" s="49">
        <v>61</v>
      </c>
      <c r="AU4" s="49">
        <v>2</v>
      </c>
      <c r="AV4" s="49">
        <v>15</v>
      </c>
      <c r="AW4" s="52" t="s">
        <v>16620</v>
      </c>
      <c r="AX4" s="52" t="s">
        <v>16620</v>
      </c>
      <c r="AY4" s="53">
        <v>2025</v>
      </c>
      <c r="AZ4" s="50"/>
      <c r="BA4" s="50"/>
      <c r="BB4" s="50"/>
      <c r="BC4" s="50"/>
      <c r="BD4" s="50"/>
      <c r="BE4" s="50"/>
    </row>
    <row r="5" spans="1:16384" ht="15.75" customHeight="1" thickBot="1">
      <c r="A5" s="44">
        <v>45965.444131944445</v>
      </c>
      <c r="B5" s="45" t="s">
        <v>190</v>
      </c>
      <c r="C5" s="45" t="s">
        <v>222</v>
      </c>
      <c r="D5" s="45" t="s">
        <v>191</v>
      </c>
      <c r="E5" s="47"/>
      <c r="F5" s="47"/>
      <c r="G5" s="46">
        <v>0</v>
      </c>
      <c r="H5" s="46">
        <v>47</v>
      </c>
      <c r="I5" s="46">
        <v>348</v>
      </c>
      <c r="J5" s="46">
        <v>351</v>
      </c>
      <c r="K5" s="46">
        <v>237</v>
      </c>
      <c r="L5" s="46">
        <v>109</v>
      </c>
      <c r="M5" s="47"/>
      <c r="N5" s="47"/>
      <c r="O5" s="47"/>
      <c r="P5" s="46">
        <v>1</v>
      </c>
      <c r="Q5" s="46">
        <v>1</v>
      </c>
      <c r="R5" s="46">
        <v>1112</v>
      </c>
      <c r="S5" s="46">
        <v>4189</v>
      </c>
      <c r="T5" s="46">
        <v>818</v>
      </c>
      <c r="U5" s="46">
        <v>904</v>
      </c>
      <c r="V5" s="46">
        <v>228</v>
      </c>
      <c r="W5" s="46">
        <v>142</v>
      </c>
      <c r="X5" s="46">
        <v>575</v>
      </c>
      <c r="Y5" s="46">
        <v>3697</v>
      </c>
      <c r="Z5" s="46">
        <v>756</v>
      </c>
      <c r="AA5" s="46">
        <v>9914</v>
      </c>
      <c r="AB5" s="46">
        <v>2622</v>
      </c>
      <c r="AC5" s="46">
        <v>707</v>
      </c>
      <c r="AD5" s="46">
        <v>564</v>
      </c>
      <c r="AE5" s="46">
        <v>281</v>
      </c>
      <c r="AF5" s="47"/>
      <c r="AG5" s="46">
        <v>8022</v>
      </c>
      <c r="AH5" s="46">
        <v>15076</v>
      </c>
      <c r="AI5" s="46">
        <v>4388</v>
      </c>
      <c r="AJ5" s="46">
        <v>9</v>
      </c>
      <c r="AK5" s="46">
        <v>787</v>
      </c>
      <c r="AL5" s="46">
        <v>47</v>
      </c>
      <c r="AM5" s="46">
        <v>193</v>
      </c>
      <c r="AN5" s="46">
        <v>0</v>
      </c>
      <c r="AO5" s="46">
        <v>62</v>
      </c>
      <c r="AP5" s="47"/>
      <c r="AQ5" s="46">
        <v>14</v>
      </c>
      <c r="AR5" s="46">
        <v>1</v>
      </c>
      <c r="AS5" s="46">
        <v>44</v>
      </c>
      <c r="AT5" s="46">
        <v>32</v>
      </c>
      <c r="AU5" s="46">
        <v>0</v>
      </c>
      <c r="AV5" s="46">
        <v>16</v>
      </c>
      <c r="AW5" s="47"/>
      <c r="AX5" s="47"/>
      <c r="AY5" s="54">
        <v>2025</v>
      </c>
      <c r="AZ5" s="50"/>
      <c r="BA5" s="50"/>
      <c r="BB5" s="50"/>
      <c r="BC5" s="50"/>
      <c r="BD5" s="50"/>
      <c r="BE5" s="50"/>
    </row>
    <row r="6" spans="1:16384" ht="15.75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</row>
    <row r="7" spans="1:16384" ht="15.7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</row>
    <row r="8" spans="1:16384" ht="15.7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</row>
    <row r="9" spans="1:16384" ht="15.7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</row>
    <row r="10" spans="1:16384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</row>
    <row r="11" spans="1:16384" ht="15.7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</row>
    <row r="12" spans="1:16384" ht="15.7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</row>
    <row r="13" spans="1:16384" ht="15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</row>
    <row r="14" spans="1:16384" ht="15.7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</row>
    <row r="15" spans="1:16384" ht="15.7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</row>
    <row r="16" spans="1:16384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</row>
    <row r="17" spans="1:51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</row>
    <row r="18" spans="1:51" s="29" customFormat="1" ht="12.75"/>
    <row r="19" spans="1:51" s="29" customFormat="1" ht="12.75"/>
    <row r="20" spans="1:51" s="29" customFormat="1" ht="12.75"/>
    <row r="21" spans="1:51" s="29" customFormat="1" ht="12.75"/>
    <row r="22" spans="1:51" s="29" customFormat="1" ht="12.75"/>
    <row r="23" spans="1:51" s="29" customFormat="1" ht="12.75"/>
    <row r="24" spans="1:51" s="29" customFormat="1" ht="12.75"/>
    <row r="25" spans="1:51" s="29" customFormat="1" ht="12.75"/>
    <row r="26" spans="1:51" s="29" customFormat="1" ht="12.75"/>
    <row r="27" spans="1:51" s="29" customFormat="1" ht="12.75"/>
    <row r="28" spans="1:51" s="29" customFormat="1" ht="12.75"/>
    <row r="29" spans="1:51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</row>
    <row r="30" spans="1:51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</row>
    <row r="31" spans="1:5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</row>
    <row r="32" spans="1:51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</row>
    <row r="33" spans="1:51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</row>
    <row r="48" spans="1:51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</row>
    <row r="49" spans="1:51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/>
    <outlinePr summaryBelow="0" summaryRight="0"/>
  </sheetPr>
  <dimension ref="A1:AB42"/>
  <sheetViews>
    <sheetView workbookViewId="0">
      <pane ySplit="1" topLeftCell="A17" activePane="bottomLeft" state="frozen"/>
      <selection activeCell="B1" sqref="B1"/>
      <selection pane="bottomLeft" activeCell="C14" sqref="C14"/>
    </sheetView>
  </sheetViews>
  <sheetFormatPr defaultColWidth="12.5703125" defaultRowHeight="15.75" customHeight="1"/>
  <cols>
    <col min="1" max="1" width="10" style="150" bestFit="1" customWidth="1"/>
    <col min="2" max="2" width="10" style="150" customWidth="1"/>
    <col min="3" max="3" width="26.28515625" style="105" customWidth="1"/>
    <col min="4" max="4" width="20" style="105" hidden="1" customWidth="1"/>
    <col min="5" max="5" width="25.42578125" style="105" hidden="1" customWidth="1"/>
    <col min="6" max="6" width="20.7109375" style="105" hidden="1" customWidth="1"/>
    <col min="7" max="7" width="21" style="105" hidden="1" customWidth="1"/>
    <col min="8" max="8" width="16.42578125" style="105" hidden="1" customWidth="1"/>
    <col min="9" max="9" width="21.42578125" style="105" hidden="1" customWidth="1"/>
    <col min="10" max="10" width="25.42578125" style="105" hidden="1" customWidth="1"/>
    <col min="11" max="11" width="20.85546875" style="105" hidden="1" customWidth="1"/>
    <col min="12" max="12" width="25.42578125" style="105" hidden="1" customWidth="1"/>
    <col min="13" max="13" width="34" style="105" hidden="1" customWidth="1"/>
    <col min="14" max="14" width="28.140625" style="105" hidden="1" customWidth="1"/>
    <col min="15" max="15" width="22.28515625" style="105" hidden="1" customWidth="1"/>
    <col min="16" max="16" width="19.7109375" style="105" hidden="1" customWidth="1"/>
    <col min="17" max="17" width="21.5703125" style="105" customWidth="1"/>
    <col min="18" max="18" width="17.140625" style="105" customWidth="1"/>
    <col min="19" max="19" width="25" style="105" customWidth="1"/>
    <col min="20" max="20" width="22.42578125" style="105" hidden="1" customWidth="1"/>
    <col min="21" max="21" width="19.140625" style="105" customWidth="1"/>
    <col min="22" max="22" width="18.28515625" style="105" customWidth="1"/>
    <col min="23" max="23" width="21.140625" style="105" customWidth="1"/>
    <col min="24" max="24" width="19.7109375" style="105" customWidth="1"/>
    <col min="25" max="25" width="23.42578125" style="105" customWidth="1"/>
    <col min="26" max="26" width="18.85546875" style="105" customWidth="1"/>
    <col min="27" max="27" width="20.42578125" style="105" customWidth="1"/>
    <col min="28" max="28" width="18.85546875" style="105" customWidth="1"/>
    <col min="29" max="16384" width="12.5703125" style="105"/>
  </cols>
  <sheetData>
    <row r="1" spans="1:28" ht="12.75">
      <c r="A1" s="164" t="s">
        <v>16740</v>
      </c>
      <c r="B1" s="164" t="s">
        <v>89</v>
      </c>
      <c r="C1" s="105" t="s">
        <v>76</v>
      </c>
      <c r="D1" s="105" t="s">
        <v>193</v>
      </c>
      <c r="E1" s="105" t="s">
        <v>194</v>
      </c>
      <c r="F1" s="105" t="s">
        <v>195</v>
      </c>
      <c r="G1" s="105" t="s">
        <v>196</v>
      </c>
      <c r="H1" s="105" t="s">
        <v>197</v>
      </c>
      <c r="I1" s="105" t="s">
        <v>198</v>
      </c>
      <c r="J1" s="105" t="s">
        <v>199</v>
      </c>
      <c r="K1" s="105" t="s">
        <v>200</v>
      </c>
      <c r="L1" s="105" t="s">
        <v>201</v>
      </c>
      <c r="M1" s="105" t="s">
        <v>202</v>
      </c>
      <c r="N1" s="105" t="s">
        <v>203</v>
      </c>
      <c r="O1" s="105" t="s">
        <v>204</v>
      </c>
      <c r="P1" s="105" t="s">
        <v>205</v>
      </c>
      <c r="Q1" s="105" t="s">
        <v>84</v>
      </c>
      <c r="R1" s="105" t="s">
        <v>82</v>
      </c>
      <c r="S1" s="105" t="s">
        <v>83</v>
      </c>
      <c r="T1" s="105" t="s">
        <v>206</v>
      </c>
      <c r="U1" s="105" t="s">
        <v>207</v>
      </c>
      <c r="V1" s="105" t="s">
        <v>77</v>
      </c>
      <c r="W1" s="105" t="s">
        <v>78</v>
      </c>
      <c r="X1" s="105" t="s">
        <v>81</v>
      </c>
      <c r="Y1" s="105" t="s">
        <v>80</v>
      </c>
      <c r="Z1" s="105" t="s">
        <v>208</v>
      </c>
      <c r="AA1" s="105" t="s">
        <v>209</v>
      </c>
      <c r="AB1" s="105" t="s">
        <v>225</v>
      </c>
    </row>
    <row r="2" spans="1:28" ht="12.75">
      <c r="A2" s="150">
        <v>7</v>
      </c>
      <c r="B2" s="150" t="s">
        <v>133</v>
      </c>
      <c r="C2" s="105">
        <v>31544</v>
      </c>
      <c r="D2" s="105">
        <v>161</v>
      </c>
      <c r="E2" s="105">
        <v>178</v>
      </c>
      <c r="F2" s="105">
        <v>84</v>
      </c>
      <c r="G2" s="105">
        <v>101</v>
      </c>
      <c r="H2" s="105">
        <v>104</v>
      </c>
      <c r="I2" s="105">
        <v>4452</v>
      </c>
      <c r="J2" s="105">
        <v>12501</v>
      </c>
      <c r="K2" s="105">
        <v>24</v>
      </c>
      <c r="L2" s="105">
        <v>13</v>
      </c>
      <c r="M2" s="105">
        <v>0</v>
      </c>
      <c r="N2" s="105">
        <v>21</v>
      </c>
      <c r="O2" s="105">
        <v>0</v>
      </c>
      <c r="P2" s="105">
        <v>6</v>
      </c>
      <c r="Q2" s="105">
        <v>1230</v>
      </c>
      <c r="R2" s="105">
        <v>1439</v>
      </c>
      <c r="S2" s="105">
        <v>57.5</v>
      </c>
      <c r="T2" s="105">
        <v>787</v>
      </c>
      <c r="U2" s="105">
        <v>56</v>
      </c>
      <c r="V2" s="105">
        <v>1731</v>
      </c>
      <c r="W2" s="105">
        <v>9918</v>
      </c>
      <c r="X2" s="105">
        <v>9089</v>
      </c>
      <c r="Y2" s="105">
        <v>2078</v>
      </c>
      <c r="AB2" s="105">
        <v>2025</v>
      </c>
    </row>
    <row r="3" spans="1:28" ht="12.75">
      <c r="A3" s="150">
        <v>8</v>
      </c>
      <c r="B3" s="150" t="s">
        <v>137</v>
      </c>
      <c r="X3" s="105">
        <v>9134</v>
      </c>
      <c r="Y3" s="105">
        <v>2121</v>
      </c>
      <c r="AB3" s="105">
        <v>2025</v>
      </c>
    </row>
    <row r="4" spans="1:28" ht="12.75">
      <c r="A4" s="150">
        <v>8</v>
      </c>
      <c r="B4" s="150" t="s">
        <v>137</v>
      </c>
      <c r="C4" s="105">
        <v>29744</v>
      </c>
      <c r="D4" s="105">
        <v>112</v>
      </c>
      <c r="E4" s="105">
        <v>954</v>
      </c>
      <c r="F4" s="105">
        <v>45</v>
      </c>
      <c r="G4" s="105">
        <v>191</v>
      </c>
      <c r="H4" s="105">
        <v>96</v>
      </c>
      <c r="I4" s="105">
        <v>641</v>
      </c>
      <c r="J4" s="105">
        <v>7589</v>
      </c>
      <c r="K4" s="105">
        <v>5</v>
      </c>
      <c r="Q4" s="105">
        <v>1230</v>
      </c>
      <c r="R4" s="105">
        <v>2880</v>
      </c>
      <c r="S4" s="105">
        <v>92.8</v>
      </c>
      <c r="T4" s="105">
        <v>795</v>
      </c>
      <c r="U4" s="105">
        <v>54</v>
      </c>
      <c r="V4" s="105">
        <v>2119</v>
      </c>
      <c r="W4" s="105">
        <v>10556</v>
      </c>
      <c r="Z4" s="105">
        <v>0</v>
      </c>
      <c r="AA4" s="105">
        <v>68</v>
      </c>
      <c r="AB4" s="105">
        <v>2025</v>
      </c>
    </row>
    <row r="5" spans="1:28" ht="12.75">
      <c r="A5" s="150">
        <v>8</v>
      </c>
      <c r="B5" s="150" t="s">
        <v>137</v>
      </c>
      <c r="C5" s="105">
        <v>30051</v>
      </c>
      <c r="D5" s="105">
        <v>102</v>
      </c>
      <c r="E5" s="105">
        <v>1017</v>
      </c>
      <c r="F5" s="105">
        <v>227</v>
      </c>
      <c r="H5" s="105">
        <v>16</v>
      </c>
      <c r="L5" s="105">
        <v>20</v>
      </c>
      <c r="M5" s="105">
        <v>0</v>
      </c>
      <c r="N5" s="105">
        <v>11</v>
      </c>
      <c r="O5" s="105">
        <v>9</v>
      </c>
      <c r="Q5" s="105">
        <v>1160</v>
      </c>
      <c r="R5" s="105">
        <v>5067</v>
      </c>
      <c r="S5" s="105">
        <v>151.30000000000001</v>
      </c>
      <c r="U5" s="105">
        <v>32</v>
      </c>
      <c r="X5" s="105">
        <v>8090</v>
      </c>
      <c r="Y5" s="105">
        <v>1845</v>
      </c>
      <c r="AB5" s="105">
        <v>2024</v>
      </c>
    </row>
    <row r="6" spans="1:28" ht="12.75">
      <c r="A6" s="150">
        <v>7</v>
      </c>
      <c r="B6" s="150" t="s">
        <v>133</v>
      </c>
      <c r="C6" s="105">
        <v>44243</v>
      </c>
      <c r="D6" s="105">
        <v>120</v>
      </c>
      <c r="E6" s="105">
        <v>666</v>
      </c>
      <c r="F6" s="105">
        <v>114</v>
      </c>
      <c r="H6" s="105">
        <v>74</v>
      </c>
      <c r="L6" s="105">
        <v>24</v>
      </c>
      <c r="M6" s="105">
        <v>1</v>
      </c>
      <c r="N6" s="105">
        <v>114</v>
      </c>
      <c r="Q6" s="105">
        <v>1160</v>
      </c>
      <c r="R6" s="105">
        <v>5143</v>
      </c>
      <c r="S6" s="105">
        <v>141.9</v>
      </c>
      <c r="U6" s="105">
        <v>38</v>
      </c>
      <c r="X6" s="105">
        <v>8027</v>
      </c>
      <c r="Y6" s="105">
        <v>1830</v>
      </c>
      <c r="AB6" s="105">
        <v>2024</v>
      </c>
    </row>
    <row r="7" spans="1:28" ht="12.75">
      <c r="A7" s="150">
        <v>10</v>
      </c>
      <c r="B7" s="150" t="s">
        <v>222</v>
      </c>
      <c r="C7" s="105">
        <v>31022</v>
      </c>
      <c r="D7" s="105">
        <v>87</v>
      </c>
      <c r="E7" s="105">
        <v>279</v>
      </c>
      <c r="F7" s="105">
        <v>158</v>
      </c>
      <c r="H7" s="105">
        <v>64</v>
      </c>
      <c r="L7" s="105">
        <v>13</v>
      </c>
      <c r="M7" s="105">
        <v>1</v>
      </c>
      <c r="N7" s="105">
        <v>85</v>
      </c>
      <c r="O7" s="105">
        <v>5</v>
      </c>
      <c r="Q7" s="105">
        <v>1170</v>
      </c>
      <c r="R7" s="105">
        <v>2533</v>
      </c>
      <c r="S7" s="105">
        <v>89.4</v>
      </c>
      <c r="U7" s="105">
        <v>133</v>
      </c>
      <c r="X7" s="105">
        <v>8241</v>
      </c>
      <c r="Y7" s="105">
        <v>1900</v>
      </c>
      <c r="AB7" s="105">
        <v>2024</v>
      </c>
    </row>
    <row r="8" spans="1:28" ht="12.75">
      <c r="A8" s="150">
        <v>9</v>
      </c>
      <c r="B8" s="150" t="s">
        <v>223</v>
      </c>
      <c r="C8" s="105">
        <v>28904</v>
      </c>
      <c r="D8" s="105">
        <v>90</v>
      </c>
      <c r="E8" s="105">
        <v>2733</v>
      </c>
      <c r="F8" s="105">
        <v>107</v>
      </c>
      <c r="H8" s="105">
        <v>30</v>
      </c>
      <c r="L8" s="105">
        <v>21</v>
      </c>
      <c r="M8" s="105">
        <v>5</v>
      </c>
      <c r="N8" s="105">
        <v>115</v>
      </c>
      <c r="O8" s="105">
        <v>2</v>
      </c>
      <c r="Q8" s="105">
        <v>1170</v>
      </c>
      <c r="R8" s="105">
        <v>4156</v>
      </c>
      <c r="S8" s="105">
        <v>121.7</v>
      </c>
      <c r="U8" s="105">
        <v>38</v>
      </c>
      <c r="X8" s="105">
        <v>8147</v>
      </c>
      <c r="Y8" s="105">
        <v>1877</v>
      </c>
      <c r="AB8" s="105">
        <v>2024</v>
      </c>
    </row>
    <row r="9" spans="1:28" ht="12.75">
      <c r="A9" s="150">
        <v>11</v>
      </c>
      <c r="B9" s="150" t="s">
        <v>16738</v>
      </c>
      <c r="C9" s="105">
        <v>23974</v>
      </c>
      <c r="D9" s="105">
        <v>74</v>
      </c>
      <c r="E9" s="105">
        <v>93</v>
      </c>
      <c r="F9" s="105">
        <v>106</v>
      </c>
      <c r="H9" s="105">
        <v>41</v>
      </c>
      <c r="L9" s="105">
        <v>9</v>
      </c>
      <c r="M9" s="105">
        <v>0</v>
      </c>
      <c r="N9" s="105">
        <v>26</v>
      </c>
      <c r="O9" s="105">
        <v>59</v>
      </c>
      <c r="Q9" s="105">
        <v>1170</v>
      </c>
      <c r="R9" s="105">
        <v>2360</v>
      </c>
      <c r="S9" s="105">
        <v>201.6</v>
      </c>
      <c r="U9" s="105">
        <v>50</v>
      </c>
      <c r="X9" s="105">
        <v>8279</v>
      </c>
      <c r="Y9" s="105">
        <v>1903</v>
      </c>
      <c r="AB9" s="105">
        <v>2024</v>
      </c>
    </row>
    <row r="10" spans="1:28" ht="12.75">
      <c r="A10" s="150">
        <v>12</v>
      </c>
      <c r="B10" s="150" t="s">
        <v>16739</v>
      </c>
      <c r="C10" s="105">
        <v>23158</v>
      </c>
      <c r="D10" s="105">
        <v>110</v>
      </c>
      <c r="E10" s="105">
        <v>96</v>
      </c>
      <c r="F10" s="105">
        <v>147</v>
      </c>
      <c r="H10" s="105">
        <v>69</v>
      </c>
      <c r="L10" s="105">
        <v>13</v>
      </c>
      <c r="M10" s="105">
        <v>0</v>
      </c>
      <c r="N10" s="105">
        <v>23</v>
      </c>
      <c r="O10" s="105">
        <v>6</v>
      </c>
      <c r="Q10" s="105">
        <v>1180</v>
      </c>
      <c r="R10" s="105">
        <v>1620</v>
      </c>
      <c r="S10" s="105">
        <v>85.3</v>
      </c>
      <c r="U10" s="105">
        <v>36</v>
      </c>
      <c r="X10" s="105">
        <v>8354</v>
      </c>
      <c r="Y10" s="105">
        <v>1913</v>
      </c>
      <c r="AB10" s="105">
        <v>2024</v>
      </c>
    </row>
    <row r="11" spans="1:28" ht="12.75">
      <c r="A11" s="150">
        <v>1</v>
      </c>
      <c r="B11" s="150" t="s">
        <v>16733</v>
      </c>
      <c r="C11" s="105">
        <v>30550</v>
      </c>
      <c r="D11" s="105">
        <v>151</v>
      </c>
      <c r="E11" s="105">
        <v>97</v>
      </c>
      <c r="F11" s="105">
        <v>231</v>
      </c>
      <c r="H11" s="105">
        <v>85</v>
      </c>
      <c r="L11" s="105">
        <v>6</v>
      </c>
      <c r="M11" s="105">
        <v>1</v>
      </c>
      <c r="N11" s="105">
        <v>15</v>
      </c>
      <c r="O11" s="105">
        <v>4</v>
      </c>
      <c r="Q11" s="105">
        <v>1190</v>
      </c>
      <c r="R11" s="105">
        <v>2148</v>
      </c>
      <c r="S11" s="105">
        <v>90.4</v>
      </c>
      <c r="X11" s="105">
        <v>8448</v>
      </c>
      <c r="Y11" s="105">
        <v>1921</v>
      </c>
      <c r="AB11" s="105">
        <v>2024</v>
      </c>
    </row>
    <row r="12" spans="1:28" ht="12.75">
      <c r="A12" s="150">
        <v>2</v>
      </c>
      <c r="B12" s="150" t="s">
        <v>16734</v>
      </c>
      <c r="C12" s="105">
        <v>25532</v>
      </c>
      <c r="D12" s="105">
        <v>112</v>
      </c>
      <c r="E12" s="105">
        <v>108</v>
      </c>
      <c r="F12" s="105">
        <v>119</v>
      </c>
      <c r="H12" s="105">
        <v>51</v>
      </c>
      <c r="L12" s="105">
        <v>10</v>
      </c>
      <c r="M12" s="105">
        <v>1</v>
      </c>
      <c r="Q12" s="105">
        <v>1190</v>
      </c>
      <c r="R12" s="105">
        <v>2939</v>
      </c>
      <c r="S12" s="105">
        <v>114.8</v>
      </c>
      <c r="U12" s="105">
        <v>37</v>
      </c>
      <c r="X12" s="105">
        <v>8533</v>
      </c>
      <c r="Y12" s="105">
        <v>1944</v>
      </c>
      <c r="AB12" s="105">
        <v>2024</v>
      </c>
    </row>
    <row r="13" spans="1:28" ht="12.75">
      <c r="A13" s="150">
        <v>3</v>
      </c>
      <c r="B13" s="150" t="s">
        <v>16732</v>
      </c>
      <c r="C13" s="105">
        <v>26431</v>
      </c>
      <c r="D13" s="105">
        <v>193</v>
      </c>
      <c r="E13" s="105">
        <v>119</v>
      </c>
      <c r="F13" s="105">
        <v>151</v>
      </c>
      <c r="H13" s="105">
        <v>131</v>
      </c>
      <c r="L13" s="105">
        <v>9</v>
      </c>
      <c r="M13" s="105">
        <v>0</v>
      </c>
      <c r="N13" s="105">
        <v>3</v>
      </c>
      <c r="O13" s="105">
        <v>0</v>
      </c>
      <c r="Q13" s="105">
        <v>1200</v>
      </c>
      <c r="R13" s="105">
        <v>3525</v>
      </c>
      <c r="S13" s="105">
        <v>140.1</v>
      </c>
      <c r="U13" s="105">
        <v>53</v>
      </c>
      <c r="X13" s="105">
        <v>8619</v>
      </c>
      <c r="Y13" s="105">
        <v>1972</v>
      </c>
      <c r="AB13" s="105">
        <v>2024</v>
      </c>
    </row>
    <row r="14" spans="1:28" ht="12.75">
      <c r="A14" s="150">
        <v>4</v>
      </c>
      <c r="B14" s="150" t="s">
        <v>16735</v>
      </c>
      <c r="C14" s="105">
        <v>25974</v>
      </c>
      <c r="D14" s="105">
        <v>120</v>
      </c>
      <c r="E14" s="105">
        <v>85</v>
      </c>
      <c r="F14" s="105">
        <v>131</v>
      </c>
      <c r="H14" s="105">
        <v>82</v>
      </c>
      <c r="L14" s="105">
        <v>21</v>
      </c>
      <c r="M14" s="105">
        <v>0</v>
      </c>
      <c r="N14" s="105">
        <v>59</v>
      </c>
      <c r="O14" s="105">
        <v>4</v>
      </c>
      <c r="Q14" s="105">
        <v>1210</v>
      </c>
      <c r="R14" s="105">
        <v>2435</v>
      </c>
      <c r="S14" s="105">
        <v>87.8</v>
      </c>
      <c r="X14" s="105">
        <v>8703</v>
      </c>
      <c r="Y14" s="105">
        <v>1990</v>
      </c>
      <c r="AB14" s="105">
        <v>2024</v>
      </c>
    </row>
    <row r="15" spans="1:28" ht="12.75">
      <c r="A15" s="150">
        <v>4</v>
      </c>
      <c r="B15" s="150" t="s">
        <v>16735</v>
      </c>
      <c r="L15" s="105">
        <v>21</v>
      </c>
      <c r="M15" s="105">
        <v>0</v>
      </c>
      <c r="N15" s="105">
        <v>59</v>
      </c>
      <c r="O15" s="105">
        <v>4</v>
      </c>
      <c r="AB15" s="105">
        <v>2024</v>
      </c>
    </row>
    <row r="16" spans="1:28" ht="12.75">
      <c r="A16" s="150">
        <v>5</v>
      </c>
      <c r="B16" s="150" t="s">
        <v>16736</v>
      </c>
      <c r="X16" s="105">
        <v>8875</v>
      </c>
      <c r="Y16" s="105">
        <v>2031</v>
      </c>
      <c r="AB16" s="105">
        <v>2024</v>
      </c>
    </row>
    <row r="17" spans="1:28" ht="12.75">
      <c r="A17" s="150">
        <v>5</v>
      </c>
      <c r="B17" s="150" t="s">
        <v>16736</v>
      </c>
      <c r="AB17" s="105">
        <v>2024</v>
      </c>
    </row>
    <row r="18" spans="1:28" ht="12.75">
      <c r="A18" s="150">
        <v>5</v>
      </c>
      <c r="B18" s="150" t="s">
        <v>16736</v>
      </c>
      <c r="C18" s="105">
        <v>30295</v>
      </c>
      <c r="D18" s="105">
        <v>88</v>
      </c>
      <c r="E18" s="105">
        <v>117</v>
      </c>
      <c r="F18" s="105">
        <v>197</v>
      </c>
      <c r="H18" s="105">
        <v>64</v>
      </c>
      <c r="L18" s="105">
        <v>11</v>
      </c>
      <c r="M18" s="105">
        <v>0</v>
      </c>
      <c r="N18" s="105">
        <v>43</v>
      </c>
      <c r="O18" s="105">
        <v>8</v>
      </c>
      <c r="Q18" s="105">
        <v>1220</v>
      </c>
      <c r="R18" s="105">
        <v>2540</v>
      </c>
      <c r="S18" s="105">
        <v>93.9</v>
      </c>
      <c r="U18" s="105">
        <v>34</v>
      </c>
      <c r="AB18" s="105">
        <v>2024</v>
      </c>
    </row>
    <row r="19" spans="1:28" ht="12.75">
      <c r="A19" s="150">
        <v>5</v>
      </c>
      <c r="B19" s="150" t="s">
        <v>16736</v>
      </c>
      <c r="L19" s="105">
        <v>11</v>
      </c>
      <c r="M19" s="105">
        <v>0</v>
      </c>
      <c r="N19" s="105">
        <v>43</v>
      </c>
      <c r="O19" s="105">
        <v>8</v>
      </c>
      <c r="AB19" s="105">
        <v>2024</v>
      </c>
    </row>
    <row r="20" spans="1:28" ht="12.75">
      <c r="A20" s="150">
        <v>6</v>
      </c>
      <c r="B20" s="150" t="s">
        <v>16737</v>
      </c>
      <c r="C20" s="105">
        <v>43697</v>
      </c>
      <c r="Q20" s="105">
        <v>1160</v>
      </c>
      <c r="R20" s="105">
        <v>7639</v>
      </c>
      <c r="S20" s="105">
        <v>182</v>
      </c>
      <c r="U20" s="105">
        <v>32</v>
      </c>
      <c r="X20" s="105">
        <v>7985</v>
      </c>
      <c r="Y20" s="105">
        <v>1805</v>
      </c>
      <c r="AB20" s="105">
        <v>2024</v>
      </c>
    </row>
    <row r="21" spans="1:28" ht="15.75" customHeight="1">
      <c r="A21" s="150">
        <v>9</v>
      </c>
      <c r="B21" s="150" t="s">
        <v>223</v>
      </c>
      <c r="X21" s="105">
        <v>9225</v>
      </c>
      <c r="Y21" s="105">
        <v>2160</v>
      </c>
      <c r="AB21" s="105">
        <v>2025</v>
      </c>
    </row>
    <row r="22" spans="1:28" ht="15.75" customHeight="1">
      <c r="A22" s="150">
        <v>9</v>
      </c>
      <c r="B22" s="150" t="s">
        <v>223</v>
      </c>
      <c r="C22" s="105">
        <v>29805</v>
      </c>
      <c r="D22" s="105">
        <v>94</v>
      </c>
      <c r="E22" s="105">
        <v>1637</v>
      </c>
      <c r="F22" s="105">
        <v>84</v>
      </c>
      <c r="G22" s="105">
        <v>98</v>
      </c>
      <c r="H22" s="105">
        <v>61</v>
      </c>
      <c r="I22" s="105">
        <v>213</v>
      </c>
      <c r="J22" s="105">
        <v>9911</v>
      </c>
      <c r="K22" s="105">
        <v>11</v>
      </c>
      <c r="Q22" s="105">
        <v>1250</v>
      </c>
      <c r="R22" s="105">
        <v>1301</v>
      </c>
      <c r="S22" s="105">
        <v>84.3</v>
      </c>
      <c r="T22" s="105">
        <v>808</v>
      </c>
      <c r="U22" s="105">
        <v>44</v>
      </c>
      <c r="V22" s="105">
        <v>1933</v>
      </c>
      <c r="W22" s="105">
        <v>10270</v>
      </c>
      <c r="Z22" s="105">
        <v>3</v>
      </c>
      <c r="AA22" s="105">
        <v>8</v>
      </c>
      <c r="AB22" s="105">
        <v>2025</v>
      </c>
    </row>
    <row r="23" spans="1:28" ht="15.75" customHeight="1">
      <c r="A23" s="150">
        <v>10</v>
      </c>
      <c r="B23" s="150" t="s">
        <v>222</v>
      </c>
      <c r="C23" s="105">
        <v>24187</v>
      </c>
      <c r="D23" s="105">
        <v>105</v>
      </c>
      <c r="E23" s="105">
        <v>165</v>
      </c>
      <c r="F23" s="105">
        <v>99</v>
      </c>
      <c r="G23" s="105">
        <v>133</v>
      </c>
      <c r="H23" s="105">
        <v>89</v>
      </c>
      <c r="I23" s="105">
        <v>155</v>
      </c>
      <c r="J23" s="105">
        <v>8590</v>
      </c>
      <c r="K23" s="105">
        <v>9</v>
      </c>
      <c r="Q23" s="105">
        <v>1250</v>
      </c>
      <c r="R23" s="105">
        <v>1883</v>
      </c>
      <c r="S23" s="105">
        <v>75.900000000000006</v>
      </c>
      <c r="T23" s="105">
        <v>813</v>
      </c>
      <c r="U23" s="105">
        <v>50</v>
      </c>
      <c r="V23" s="105">
        <v>1915</v>
      </c>
      <c r="W23" s="105">
        <v>9724</v>
      </c>
      <c r="Z23" s="105">
        <v>6</v>
      </c>
      <c r="AA23" s="105">
        <v>13</v>
      </c>
      <c r="AB23" s="105">
        <v>2025</v>
      </c>
    </row>
    <row r="24" spans="1:28" ht="15.75" customHeight="1">
      <c r="A24" s="150">
        <v>10</v>
      </c>
      <c r="B24" s="150" t="s">
        <v>222</v>
      </c>
      <c r="X24" s="105">
        <v>9302</v>
      </c>
      <c r="Y24" s="105">
        <v>2193</v>
      </c>
      <c r="AB24" s="105">
        <v>2025</v>
      </c>
    </row>
    <row r="25" spans="1:28" ht="15.75" customHeight="1">
      <c r="A25" s="150">
        <v>11</v>
      </c>
      <c r="B25" s="150" t="s">
        <v>16738</v>
      </c>
      <c r="X25" s="105">
        <v>9341</v>
      </c>
      <c r="Y25" s="105">
        <v>2213</v>
      </c>
      <c r="AB25" s="105">
        <v>2025</v>
      </c>
    </row>
    <row r="26" spans="1:28" ht="15.75" customHeight="1">
      <c r="A26" s="150">
        <v>11</v>
      </c>
      <c r="B26" s="150" t="s">
        <v>16738</v>
      </c>
      <c r="C26" s="105">
        <v>21988</v>
      </c>
      <c r="D26" s="105">
        <v>90</v>
      </c>
      <c r="E26" s="105">
        <v>91</v>
      </c>
      <c r="F26" s="105">
        <v>127</v>
      </c>
      <c r="G26" s="105">
        <v>103</v>
      </c>
      <c r="H26" s="105">
        <v>75</v>
      </c>
      <c r="I26" s="105">
        <v>179</v>
      </c>
      <c r="J26" s="105">
        <v>6781</v>
      </c>
      <c r="K26" s="105">
        <v>38</v>
      </c>
      <c r="Q26" s="105">
        <v>1260</v>
      </c>
      <c r="R26" s="105">
        <v>1944</v>
      </c>
      <c r="S26" s="105">
        <v>72.2</v>
      </c>
      <c r="T26" s="105">
        <v>814</v>
      </c>
      <c r="U26" s="105">
        <v>28</v>
      </c>
      <c r="V26" s="105">
        <v>1868</v>
      </c>
      <c r="W26" s="105">
        <v>9025</v>
      </c>
      <c r="Z26" s="105">
        <v>2</v>
      </c>
      <c r="AA26" s="105">
        <v>16</v>
      </c>
      <c r="AB26" s="105">
        <v>2025</v>
      </c>
    </row>
    <row r="27" spans="1:28" ht="15.75" customHeight="1">
      <c r="A27" s="150">
        <v>12</v>
      </c>
      <c r="B27" s="150" t="s">
        <v>16739</v>
      </c>
      <c r="C27" s="105">
        <v>23277</v>
      </c>
      <c r="D27" s="105">
        <v>85</v>
      </c>
      <c r="E27" s="105">
        <v>42</v>
      </c>
      <c r="F27" s="105">
        <v>100</v>
      </c>
      <c r="G27" s="105">
        <v>124</v>
      </c>
      <c r="H27" s="105">
        <v>76</v>
      </c>
      <c r="I27" s="105">
        <v>1248</v>
      </c>
      <c r="J27" s="105">
        <v>6936</v>
      </c>
      <c r="K27" s="105">
        <v>138</v>
      </c>
      <c r="Q27" s="105">
        <v>1260</v>
      </c>
      <c r="R27" s="105">
        <v>1678</v>
      </c>
      <c r="S27" s="105">
        <v>53.9</v>
      </c>
      <c r="T27" s="105">
        <v>819</v>
      </c>
      <c r="U27" s="105">
        <v>40</v>
      </c>
      <c r="V27" s="105">
        <v>1906</v>
      </c>
      <c r="W27" s="105">
        <v>9039</v>
      </c>
      <c r="Z27" s="105">
        <v>5</v>
      </c>
      <c r="AA27" s="105">
        <v>18</v>
      </c>
      <c r="AB27" s="105">
        <v>2025</v>
      </c>
    </row>
    <row r="28" spans="1:28" ht="15.75" customHeight="1">
      <c r="A28" s="150">
        <v>12</v>
      </c>
      <c r="B28" s="150" t="s">
        <v>16739</v>
      </c>
      <c r="X28" s="105">
        <v>9427</v>
      </c>
      <c r="Y28" s="105">
        <v>2228</v>
      </c>
      <c r="AB28" s="105">
        <v>2025</v>
      </c>
    </row>
    <row r="29" spans="1:28" ht="15.75" customHeight="1">
      <c r="A29" s="150">
        <v>12</v>
      </c>
      <c r="B29" s="150" t="s">
        <v>16739</v>
      </c>
      <c r="C29" s="105">
        <v>23277</v>
      </c>
      <c r="D29" s="105">
        <v>85</v>
      </c>
      <c r="E29" s="105">
        <v>42</v>
      </c>
      <c r="F29" s="105">
        <v>100</v>
      </c>
      <c r="G29" s="105">
        <v>124</v>
      </c>
      <c r="H29" s="105">
        <v>76</v>
      </c>
      <c r="I29" s="105">
        <v>1248</v>
      </c>
      <c r="J29" s="105">
        <v>6936</v>
      </c>
      <c r="K29" s="105">
        <v>138</v>
      </c>
      <c r="Q29" s="105">
        <v>1260</v>
      </c>
      <c r="R29" s="105">
        <v>1678</v>
      </c>
      <c r="S29" s="105">
        <v>53.9</v>
      </c>
      <c r="T29" s="105">
        <v>819</v>
      </c>
      <c r="U29" s="105">
        <v>40</v>
      </c>
      <c r="V29" s="105">
        <v>1906</v>
      </c>
      <c r="W29" s="105">
        <v>9039</v>
      </c>
      <c r="Z29" s="105">
        <v>5</v>
      </c>
      <c r="AA29" s="105">
        <v>18</v>
      </c>
      <c r="AB29" s="105">
        <v>2025</v>
      </c>
    </row>
    <row r="30" spans="1:28" ht="15.75" customHeight="1">
      <c r="A30" s="150">
        <v>12</v>
      </c>
      <c r="B30" s="150" t="s">
        <v>16739</v>
      </c>
      <c r="X30" s="105">
        <v>9427</v>
      </c>
      <c r="Y30" s="105">
        <v>2228</v>
      </c>
      <c r="AB30" s="105">
        <v>2025</v>
      </c>
    </row>
    <row r="31" spans="1:28" ht="15.75" customHeight="1">
      <c r="A31" s="150">
        <v>1</v>
      </c>
      <c r="B31" s="150" t="s">
        <v>16733</v>
      </c>
      <c r="X31" s="105">
        <v>9535</v>
      </c>
      <c r="Y31" s="105">
        <v>2272</v>
      </c>
      <c r="AB31" s="105">
        <v>2026</v>
      </c>
    </row>
    <row r="32" spans="1:28" ht="15.75" customHeight="1">
      <c r="A32" s="150">
        <v>1</v>
      </c>
      <c r="B32" s="150" t="s">
        <v>16733</v>
      </c>
      <c r="C32" s="105">
        <v>28900</v>
      </c>
      <c r="D32" s="105">
        <v>82</v>
      </c>
      <c r="E32" s="105">
        <v>95</v>
      </c>
      <c r="F32" s="105">
        <v>106</v>
      </c>
      <c r="G32" s="105">
        <v>138</v>
      </c>
      <c r="H32" s="105">
        <v>55</v>
      </c>
      <c r="I32" s="105">
        <v>1447</v>
      </c>
      <c r="J32" s="105">
        <v>14540</v>
      </c>
      <c r="K32" s="105">
        <v>71</v>
      </c>
      <c r="Q32" s="105">
        <v>1270</v>
      </c>
      <c r="R32" s="105">
        <v>1867</v>
      </c>
      <c r="S32" s="105">
        <v>66.5</v>
      </c>
      <c r="T32" s="105">
        <v>818</v>
      </c>
      <c r="U32" s="105">
        <v>43</v>
      </c>
      <c r="V32" s="105">
        <v>2097</v>
      </c>
      <c r="W32" s="105">
        <v>22663</v>
      </c>
      <c r="Z32" s="105">
        <v>2</v>
      </c>
      <c r="AA32" s="105">
        <v>17</v>
      </c>
      <c r="AB32" s="105">
        <v>2026</v>
      </c>
    </row>
    <row r="33" spans="1:28" ht="15.75" customHeight="1">
      <c r="A33" s="150">
        <v>1</v>
      </c>
      <c r="B33" s="150" t="s">
        <v>16733</v>
      </c>
      <c r="C33" s="105">
        <v>30550</v>
      </c>
      <c r="Q33" s="105">
        <v>1090</v>
      </c>
      <c r="R33" s="105">
        <v>7349</v>
      </c>
      <c r="S33" s="105">
        <v>210</v>
      </c>
      <c r="U33" s="105">
        <v>58</v>
      </c>
      <c r="X33" s="105">
        <v>8448</v>
      </c>
      <c r="Y33" s="105">
        <v>1686</v>
      </c>
      <c r="AA33" s="105">
        <v>231</v>
      </c>
      <c r="AB33" s="105">
        <v>2025</v>
      </c>
    </row>
    <row r="34" spans="1:28" ht="15.75" customHeight="1">
      <c r="A34" s="150">
        <v>2</v>
      </c>
      <c r="B34" s="150" t="s">
        <v>16734</v>
      </c>
      <c r="C34" s="105">
        <v>25532</v>
      </c>
      <c r="Q34" s="105">
        <v>1190</v>
      </c>
      <c r="R34" s="105">
        <v>2939</v>
      </c>
      <c r="S34" s="105">
        <v>115</v>
      </c>
      <c r="U34" s="105">
        <v>37</v>
      </c>
      <c r="V34" s="105">
        <v>797</v>
      </c>
      <c r="W34" s="105">
        <v>2938</v>
      </c>
      <c r="X34" s="105">
        <v>8533</v>
      </c>
      <c r="Y34" s="105">
        <v>1944</v>
      </c>
      <c r="AB34" s="105">
        <v>2025</v>
      </c>
    </row>
    <row r="35" spans="1:28" ht="15.75" customHeight="1">
      <c r="A35" s="150">
        <v>3</v>
      </c>
      <c r="B35" s="150" t="s">
        <v>16732</v>
      </c>
      <c r="C35" s="105">
        <v>26431</v>
      </c>
      <c r="Q35" s="105">
        <v>1200</v>
      </c>
      <c r="R35" s="105">
        <v>3525</v>
      </c>
      <c r="S35" s="105">
        <v>140</v>
      </c>
      <c r="U35" s="105">
        <v>53</v>
      </c>
      <c r="V35" s="105">
        <v>1262</v>
      </c>
      <c r="W35" s="105">
        <v>5287</v>
      </c>
      <c r="X35" s="105">
        <v>8619</v>
      </c>
      <c r="Y35" s="105">
        <v>22642</v>
      </c>
      <c r="AB35" s="105">
        <v>2025</v>
      </c>
    </row>
    <row r="36" spans="1:28" ht="15.75" customHeight="1">
      <c r="A36" s="150">
        <v>4</v>
      </c>
      <c r="B36" s="150" t="s">
        <v>16735</v>
      </c>
      <c r="C36" s="105">
        <v>25974</v>
      </c>
      <c r="Q36" s="105">
        <v>1210</v>
      </c>
      <c r="R36" s="105">
        <v>2435</v>
      </c>
      <c r="S36" s="105">
        <v>88</v>
      </c>
      <c r="U36" s="105">
        <v>32</v>
      </c>
      <c r="V36" s="105">
        <v>1356</v>
      </c>
      <c r="W36" s="105">
        <v>6226</v>
      </c>
      <c r="X36" s="105">
        <v>8703</v>
      </c>
      <c r="Y36" s="105">
        <v>21632</v>
      </c>
      <c r="AB36" s="105">
        <v>2025</v>
      </c>
    </row>
    <row r="37" spans="1:28" ht="15.75" customHeight="1">
      <c r="A37" s="150">
        <v>5</v>
      </c>
      <c r="B37" s="150" t="s">
        <v>16736</v>
      </c>
      <c r="C37" s="105">
        <v>30295</v>
      </c>
      <c r="Q37" s="105">
        <v>1220</v>
      </c>
      <c r="R37" s="105">
        <v>2540</v>
      </c>
      <c r="S37" s="105">
        <v>94</v>
      </c>
      <c r="U37" s="105">
        <v>34</v>
      </c>
      <c r="V37" s="105">
        <v>1520</v>
      </c>
      <c r="W37" s="105">
        <v>8076</v>
      </c>
      <c r="X37" s="105">
        <v>8875</v>
      </c>
      <c r="Y37" s="105">
        <v>22065</v>
      </c>
      <c r="AB37" s="105">
        <v>2025</v>
      </c>
    </row>
    <row r="38" spans="1:28" ht="15.75" customHeight="1">
      <c r="A38" s="150">
        <v>6</v>
      </c>
      <c r="B38" s="150" t="s">
        <v>16737</v>
      </c>
      <c r="C38" s="105">
        <v>32054</v>
      </c>
      <c r="Q38" s="105">
        <v>1230</v>
      </c>
      <c r="R38" s="105">
        <v>1761</v>
      </c>
      <c r="S38" s="105">
        <v>72</v>
      </c>
      <c r="U38" s="105">
        <v>48</v>
      </c>
      <c r="V38" s="105">
        <v>1611</v>
      </c>
      <c r="W38" s="105">
        <v>8756</v>
      </c>
      <c r="X38" s="105">
        <v>9002</v>
      </c>
      <c r="Y38" s="105">
        <v>14112</v>
      </c>
      <c r="AB38" s="105">
        <v>2025</v>
      </c>
    </row>
    <row r="39" spans="1:28" ht="15.75" customHeight="1">
      <c r="A39" s="150">
        <v>2</v>
      </c>
      <c r="B39" s="150" t="s">
        <v>16734</v>
      </c>
      <c r="C39" s="105">
        <v>27707</v>
      </c>
      <c r="D39" s="105">
        <v>68</v>
      </c>
      <c r="E39" s="105">
        <v>147</v>
      </c>
      <c r="F39" s="105">
        <v>160</v>
      </c>
      <c r="G39" s="105">
        <v>126</v>
      </c>
      <c r="H39" s="105">
        <v>62</v>
      </c>
      <c r="I39" s="105">
        <v>209</v>
      </c>
      <c r="K39" s="105">
        <v>11685</v>
      </c>
      <c r="Q39" s="105">
        <v>1280</v>
      </c>
      <c r="R39" s="105">
        <v>2042</v>
      </c>
      <c r="S39" s="105">
        <v>67.5</v>
      </c>
      <c r="T39" s="105">
        <v>824</v>
      </c>
      <c r="U39" s="105">
        <v>30</v>
      </c>
      <c r="V39" s="105">
        <v>2063</v>
      </c>
      <c r="W39" s="105">
        <v>37619</v>
      </c>
      <c r="Z39" s="105">
        <v>2</v>
      </c>
      <c r="AA39" s="105">
        <v>17</v>
      </c>
      <c r="AB39" s="105">
        <v>2026</v>
      </c>
    </row>
    <row r="40" spans="1:28" ht="15.75" customHeight="1" thickBot="1">
      <c r="A40" s="150">
        <v>2</v>
      </c>
      <c r="B40" s="150" t="s">
        <v>16734</v>
      </c>
      <c r="X40" s="105">
        <v>9713</v>
      </c>
      <c r="Y40" s="105">
        <v>2314</v>
      </c>
      <c r="AB40" s="105">
        <v>2026</v>
      </c>
    </row>
    <row r="41" spans="1:28" ht="15.75" customHeight="1" thickBot="1">
      <c r="A41" s="151">
        <v>3</v>
      </c>
      <c r="B41" s="162" t="s">
        <v>16732</v>
      </c>
      <c r="C41" s="49">
        <v>28476</v>
      </c>
      <c r="D41" s="49">
        <v>73</v>
      </c>
      <c r="E41" s="49">
        <v>115</v>
      </c>
      <c r="F41" s="49">
        <v>138</v>
      </c>
      <c r="G41" s="49">
        <v>108</v>
      </c>
      <c r="H41" s="49">
        <v>81</v>
      </c>
      <c r="I41" s="49">
        <v>166</v>
      </c>
      <c r="J41" s="49">
        <v>15616</v>
      </c>
      <c r="K41" s="49">
        <v>52</v>
      </c>
      <c r="L41" s="48"/>
      <c r="M41" s="48"/>
      <c r="N41" s="48"/>
      <c r="O41" s="48"/>
      <c r="P41" s="48"/>
      <c r="Q41" s="49">
        <v>1280</v>
      </c>
      <c r="R41" s="49">
        <v>1751</v>
      </c>
      <c r="S41" s="49">
        <v>65</v>
      </c>
      <c r="T41" s="49">
        <v>837</v>
      </c>
      <c r="U41" s="49">
        <v>39</v>
      </c>
      <c r="V41" s="49">
        <v>2319</v>
      </c>
      <c r="W41" s="49">
        <v>46299</v>
      </c>
      <c r="X41" s="48"/>
      <c r="Y41" s="48"/>
      <c r="Z41" s="49">
        <v>2</v>
      </c>
      <c r="AA41" s="49">
        <v>17</v>
      </c>
      <c r="AB41" s="146">
        <v>2026</v>
      </c>
    </row>
    <row r="42" spans="1:28" ht="15.75" customHeight="1" thickBot="1">
      <c r="A42" s="152">
        <v>3</v>
      </c>
      <c r="B42" s="163" t="s">
        <v>16732</v>
      </c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8">
        <v>9785</v>
      </c>
      <c r="Y42" s="148">
        <v>2345</v>
      </c>
      <c r="Z42" s="147"/>
      <c r="AA42" s="147"/>
      <c r="AB42" s="149">
        <v>2026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/>
    <outlinePr summaryBelow="0" summaryRight="0"/>
  </sheetPr>
  <dimension ref="A1:E19"/>
  <sheetViews>
    <sheetView workbookViewId="0">
      <pane ySplit="1" topLeftCell="A2" activePane="bottomLeft" state="frozen"/>
      <selection pane="bottomLeft" activeCell="H7" sqref="H7"/>
    </sheetView>
  </sheetViews>
  <sheetFormatPr defaultColWidth="12.5703125" defaultRowHeight="15.75" customHeight="1"/>
  <cols>
    <col min="1" max="1" width="15.42578125" bestFit="1" customWidth="1"/>
    <col min="2" max="2" width="19.7109375" bestFit="1" customWidth="1"/>
    <col min="3" max="3" width="19.140625" bestFit="1" customWidth="1"/>
    <col min="4" max="4" width="31.5703125" bestFit="1" customWidth="1"/>
    <col min="5" max="5" width="5" bestFit="1" customWidth="1"/>
  </cols>
  <sheetData>
    <row r="1" spans="1:5" ht="15.75" customHeight="1" thickBot="1">
      <c r="A1" s="68" t="s">
        <v>88</v>
      </c>
      <c r="B1" s="69" t="s">
        <v>210</v>
      </c>
      <c r="C1" s="69" t="s">
        <v>211</v>
      </c>
      <c r="D1" s="69" t="s">
        <v>212</v>
      </c>
      <c r="E1" s="70" t="s">
        <v>225</v>
      </c>
    </row>
    <row r="2" spans="1:5" ht="15.75" customHeight="1" thickBot="1">
      <c r="A2" s="44">
        <v>45867.383958333332</v>
      </c>
      <c r="B2" s="45" t="s">
        <v>16672</v>
      </c>
      <c r="C2" s="45" t="s">
        <v>213</v>
      </c>
      <c r="D2" s="46">
        <v>116</v>
      </c>
      <c r="E2" s="56">
        <v>2025</v>
      </c>
    </row>
    <row r="3" spans="1:5" ht="15.75" customHeight="1" thickBot="1">
      <c r="A3" s="42">
        <v>45867.389606481483</v>
      </c>
      <c r="B3" s="43" t="s">
        <v>16672</v>
      </c>
      <c r="C3" s="43" t="s">
        <v>214</v>
      </c>
      <c r="D3" s="71">
        <v>1642</v>
      </c>
      <c r="E3" s="55">
        <v>2025</v>
      </c>
    </row>
    <row r="4" spans="1:5" ht="15.75" customHeight="1" thickBot="1">
      <c r="A4" s="44">
        <v>45867.395474537036</v>
      </c>
      <c r="B4" s="45" t="s">
        <v>16672</v>
      </c>
      <c r="C4" s="45" t="s">
        <v>215</v>
      </c>
      <c r="D4" s="46">
        <v>1244</v>
      </c>
      <c r="E4" s="56">
        <v>2025</v>
      </c>
    </row>
    <row r="5" spans="1:5" ht="15.75" customHeight="1" thickBot="1">
      <c r="A5" s="42">
        <v>45867.397175925929</v>
      </c>
      <c r="B5" s="43" t="s">
        <v>16672</v>
      </c>
      <c r="C5" s="43" t="s">
        <v>215</v>
      </c>
      <c r="D5" s="71">
        <v>166</v>
      </c>
      <c r="E5" s="55">
        <v>2025</v>
      </c>
    </row>
    <row r="6" spans="1:5" ht="15.75" customHeight="1" thickBot="1">
      <c r="A6" s="44">
        <v>45867.400046296294</v>
      </c>
      <c r="B6" s="45" t="s">
        <v>16672</v>
      </c>
      <c r="C6" s="45" t="s">
        <v>216</v>
      </c>
      <c r="D6" s="46">
        <v>250</v>
      </c>
      <c r="E6" s="56">
        <v>2025</v>
      </c>
    </row>
    <row r="7" spans="1:5" ht="15.75" customHeight="1" thickBot="1">
      <c r="A7" s="42">
        <v>45867.400439814817</v>
      </c>
      <c r="B7" s="43" t="s">
        <v>16672</v>
      </c>
      <c r="C7" s="43" t="s">
        <v>217</v>
      </c>
      <c r="D7" s="71">
        <v>373</v>
      </c>
      <c r="E7" s="55">
        <v>2025</v>
      </c>
    </row>
    <row r="8" spans="1:5" ht="15.75" customHeight="1" thickBot="1">
      <c r="A8" s="44">
        <v>45867.400671296295</v>
      </c>
      <c r="B8" s="45" t="s">
        <v>16672</v>
      </c>
      <c r="C8" s="45" t="s">
        <v>218</v>
      </c>
      <c r="D8" s="46">
        <v>290</v>
      </c>
      <c r="E8" s="56">
        <v>2025</v>
      </c>
    </row>
    <row r="9" spans="1:5" ht="15.75" customHeight="1" thickBot="1">
      <c r="A9" s="42">
        <v>45867.400983796295</v>
      </c>
      <c r="B9" s="43" t="s">
        <v>16672</v>
      </c>
      <c r="C9" s="43" t="s">
        <v>219</v>
      </c>
      <c r="D9" s="71">
        <v>473</v>
      </c>
      <c r="E9" s="55">
        <v>2025</v>
      </c>
    </row>
    <row r="10" spans="1:5" ht="15.75" customHeight="1" thickBot="1">
      <c r="A10" s="44">
        <v>45867.402604166666</v>
      </c>
      <c r="B10" s="45" t="s">
        <v>16672</v>
      </c>
      <c r="C10" s="45" t="s">
        <v>215</v>
      </c>
      <c r="D10" s="46">
        <v>2117</v>
      </c>
      <c r="E10" s="56">
        <v>2025</v>
      </c>
    </row>
    <row r="11" spans="1:5" ht="15.75" customHeight="1" thickBot="1">
      <c r="A11" s="42">
        <v>45867.402858796297</v>
      </c>
      <c r="B11" s="43" t="s">
        <v>16672</v>
      </c>
      <c r="C11" s="43" t="s">
        <v>220</v>
      </c>
      <c r="D11" s="71">
        <v>81</v>
      </c>
      <c r="E11" s="55">
        <v>2025</v>
      </c>
    </row>
    <row r="12" spans="1:5" ht="15.75" customHeight="1" thickBot="1">
      <c r="A12" s="44">
        <v>45950.524895833332</v>
      </c>
      <c r="B12" s="45" t="s">
        <v>16621</v>
      </c>
      <c r="C12" s="45" t="s">
        <v>213</v>
      </c>
      <c r="D12" s="46">
        <v>105</v>
      </c>
      <c r="E12" s="56">
        <v>2025</v>
      </c>
    </row>
    <row r="13" spans="1:5" ht="15.75" customHeight="1" thickBot="1">
      <c r="A13" s="42">
        <v>45950.527418981481</v>
      </c>
      <c r="B13" s="43" t="s">
        <v>16621</v>
      </c>
      <c r="C13" s="43" t="s">
        <v>214</v>
      </c>
      <c r="D13" s="71">
        <v>266</v>
      </c>
      <c r="E13" s="55">
        <v>2025</v>
      </c>
    </row>
    <row r="14" spans="1:5" ht="15.75" customHeight="1" thickBot="1">
      <c r="A14" s="44">
        <v>45950.527615740742</v>
      </c>
      <c r="B14" s="45" t="s">
        <v>16621</v>
      </c>
      <c r="C14" s="45" t="s">
        <v>219</v>
      </c>
      <c r="D14" s="46">
        <v>244</v>
      </c>
      <c r="E14" s="56">
        <v>2025</v>
      </c>
    </row>
    <row r="15" spans="1:5" ht="15.75" customHeight="1" thickBot="1">
      <c r="A15" s="42">
        <v>45950.530127314814</v>
      </c>
      <c r="B15" s="43" t="s">
        <v>16621</v>
      </c>
      <c r="C15" s="43" t="s">
        <v>216</v>
      </c>
      <c r="D15" s="71">
        <v>74</v>
      </c>
      <c r="E15" s="55">
        <v>2025</v>
      </c>
    </row>
    <row r="16" spans="1:5" ht="15.75" customHeight="1" thickBot="1">
      <c r="A16" s="44">
        <v>45950.568657407406</v>
      </c>
      <c r="B16" s="45" t="s">
        <v>16621</v>
      </c>
      <c r="C16" s="45" t="s">
        <v>220</v>
      </c>
      <c r="D16" s="46">
        <v>16</v>
      </c>
      <c r="E16" s="56">
        <v>2025</v>
      </c>
    </row>
    <row r="17" spans="1:5" ht="15.75" customHeight="1" thickBot="1">
      <c r="A17" s="42">
        <v>45951.374432870369</v>
      </c>
      <c r="B17" s="43" t="s">
        <v>16621</v>
      </c>
      <c r="C17" s="43" t="s">
        <v>218</v>
      </c>
      <c r="D17" s="71">
        <v>62</v>
      </c>
      <c r="E17" s="55">
        <v>2025</v>
      </c>
    </row>
    <row r="18" spans="1:5" ht="15.75" customHeight="1" thickBot="1">
      <c r="A18" s="44">
        <v>45951.521261574075</v>
      </c>
      <c r="B18" s="45" t="s">
        <v>16621</v>
      </c>
      <c r="C18" s="45" t="s">
        <v>217</v>
      </c>
      <c r="D18" s="46">
        <v>7</v>
      </c>
      <c r="E18" s="56">
        <v>2025</v>
      </c>
    </row>
    <row r="19" spans="1:5" ht="15.75" customHeight="1" thickBot="1">
      <c r="A19" s="57">
        <v>45954.408946759257</v>
      </c>
      <c r="B19" s="58" t="s">
        <v>16621</v>
      </c>
      <c r="C19" s="58" t="s">
        <v>215</v>
      </c>
      <c r="D19" s="72">
        <v>52</v>
      </c>
      <c r="E19" s="59">
        <v>2025</v>
      </c>
    </row>
  </sheetData>
  <pageMargins left="0.7" right="0.7" top="0.75" bottom="0.75" header="0.3" footer="0.3"/>
  <pageSetup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7208-8D3D-4612-B423-AB22E6F64AA3}">
  <dimension ref="A1:D40"/>
  <sheetViews>
    <sheetView workbookViewId="0">
      <selection sqref="A1:D39"/>
    </sheetView>
  </sheetViews>
  <sheetFormatPr defaultRowHeight="12.75"/>
  <cols>
    <col min="1" max="1" width="14.5703125" bestFit="1" customWidth="1"/>
    <col min="2" max="2" width="51.5703125" hidden="1" customWidth="1"/>
    <col min="3" max="3" width="41.5703125" hidden="1" customWidth="1"/>
    <col min="4" max="5" width="21.5703125" bestFit="1" customWidth="1"/>
    <col min="6" max="6" width="11.28515625" bestFit="1" customWidth="1"/>
    <col min="7" max="7" width="20.140625" bestFit="1" customWidth="1"/>
    <col min="8" max="8" width="22.7109375" bestFit="1" customWidth="1"/>
    <col min="9" max="17" width="16.5703125" bestFit="1" customWidth="1"/>
    <col min="18" max="18" width="22.7109375" bestFit="1" customWidth="1"/>
    <col min="19" max="19" width="11.28515625" bestFit="1" customWidth="1"/>
  </cols>
  <sheetData>
    <row r="1" spans="1:4">
      <c r="A1" s="24" t="s">
        <v>226</v>
      </c>
      <c r="B1" s="25" t="s">
        <v>16714</v>
      </c>
      <c r="C1" s="27" t="s">
        <v>16715</v>
      </c>
      <c r="D1" s="109" t="s">
        <v>16716</v>
      </c>
    </row>
    <row r="2" spans="1:4">
      <c r="A2" s="30" t="s">
        <v>16705</v>
      </c>
      <c r="B2" s="83">
        <v>407</v>
      </c>
      <c r="C2" s="85">
        <v>1408</v>
      </c>
      <c r="D2">
        <f>SUM(B2:C2)</f>
        <v>1815</v>
      </c>
    </row>
    <row r="3" spans="1:4">
      <c r="A3" s="108">
        <v>2024</v>
      </c>
      <c r="B3" s="86"/>
      <c r="C3" s="88">
        <v>648</v>
      </c>
      <c r="D3" s="105">
        <f t="shared" ref="D3:D39" si="0">SUM(B3:C3)</f>
        <v>648</v>
      </c>
    </row>
    <row r="4" spans="1:4">
      <c r="A4" s="108">
        <v>2025</v>
      </c>
      <c r="B4" s="86"/>
      <c r="C4" s="88">
        <v>519</v>
      </c>
      <c r="D4" s="105">
        <f t="shared" si="0"/>
        <v>519</v>
      </c>
    </row>
    <row r="5" spans="1:4">
      <c r="A5" s="108">
        <v>2026</v>
      </c>
      <c r="B5" s="86">
        <v>407</v>
      </c>
      <c r="C5" s="88">
        <v>241</v>
      </c>
      <c r="D5" s="105">
        <f t="shared" si="0"/>
        <v>648</v>
      </c>
    </row>
    <row r="6" spans="1:4">
      <c r="A6" s="31" t="s">
        <v>16704</v>
      </c>
      <c r="B6" s="86">
        <v>938</v>
      </c>
      <c r="C6" s="88">
        <v>727</v>
      </c>
      <c r="D6" s="105">
        <f t="shared" si="0"/>
        <v>1665</v>
      </c>
    </row>
    <row r="7" spans="1:4">
      <c r="A7" s="108">
        <v>2024</v>
      </c>
      <c r="B7" s="86"/>
      <c r="C7" s="88">
        <v>569</v>
      </c>
      <c r="D7" s="105">
        <f t="shared" si="0"/>
        <v>569</v>
      </c>
    </row>
    <row r="8" spans="1:4">
      <c r="A8" s="108">
        <v>2025</v>
      </c>
      <c r="B8" s="86">
        <v>569</v>
      </c>
      <c r="C8" s="88"/>
      <c r="D8" s="105">
        <f t="shared" si="0"/>
        <v>569</v>
      </c>
    </row>
    <row r="9" spans="1:4">
      <c r="A9" s="108">
        <v>2026</v>
      </c>
      <c r="B9" s="86">
        <v>369</v>
      </c>
      <c r="C9" s="88">
        <v>158</v>
      </c>
      <c r="D9" s="105">
        <f t="shared" si="0"/>
        <v>527</v>
      </c>
    </row>
    <row r="10" spans="1:4">
      <c r="A10" s="31" t="s">
        <v>16707</v>
      </c>
      <c r="B10" s="86">
        <v>589</v>
      </c>
      <c r="C10" s="88">
        <v>885</v>
      </c>
      <c r="D10" s="105">
        <f t="shared" si="0"/>
        <v>1474</v>
      </c>
    </row>
    <row r="11" spans="1:4">
      <c r="A11" s="108">
        <v>2024</v>
      </c>
      <c r="B11" s="86"/>
      <c r="C11" s="88">
        <v>885</v>
      </c>
      <c r="D11" s="105">
        <f t="shared" si="0"/>
        <v>885</v>
      </c>
    </row>
    <row r="12" spans="1:4">
      <c r="A12" s="108">
        <v>2025</v>
      </c>
      <c r="B12" s="86">
        <v>589</v>
      </c>
      <c r="C12" s="88"/>
      <c r="D12" s="105">
        <f t="shared" si="0"/>
        <v>589</v>
      </c>
    </row>
    <row r="13" spans="1:4">
      <c r="A13" s="31" t="s">
        <v>16701</v>
      </c>
      <c r="B13" s="86">
        <v>672</v>
      </c>
      <c r="C13" s="88">
        <v>2356</v>
      </c>
      <c r="D13" s="105">
        <f t="shared" si="0"/>
        <v>3028</v>
      </c>
    </row>
    <row r="14" spans="1:4">
      <c r="A14" s="108">
        <v>2024</v>
      </c>
      <c r="B14" s="86"/>
      <c r="C14" s="88">
        <v>1179</v>
      </c>
      <c r="D14" s="105">
        <f t="shared" si="0"/>
        <v>1179</v>
      </c>
    </row>
    <row r="15" spans="1:4">
      <c r="A15" s="108">
        <v>2025</v>
      </c>
      <c r="B15" s="86">
        <v>672</v>
      </c>
      <c r="C15" s="88">
        <v>1177</v>
      </c>
      <c r="D15" s="105">
        <f t="shared" si="0"/>
        <v>1849</v>
      </c>
    </row>
    <row r="16" spans="1:4">
      <c r="A16" s="31" t="s">
        <v>16708</v>
      </c>
      <c r="B16" s="86">
        <v>846</v>
      </c>
      <c r="C16" s="88">
        <v>1413</v>
      </c>
      <c r="D16" s="105">
        <f t="shared" si="0"/>
        <v>2259</v>
      </c>
    </row>
    <row r="17" spans="1:4">
      <c r="A17" s="108">
        <v>2024</v>
      </c>
      <c r="B17" s="86"/>
      <c r="C17" s="88">
        <v>1413</v>
      </c>
      <c r="D17" s="105">
        <f t="shared" si="0"/>
        <v>1413</v>
      </c>
    </row>
    <row r="18" spans="1:4">
      <c r="A18" s="108">
        <v>2025</v>
      </c>
      <c r="B18" s="86">
        <v>846</v>
      </c>
      <c r="C18" s="88"/>
      <c r="D18" s="105">
        <f t="shared" si="0"/>
        <v>846</v>
      </c>
    </row>
    <row r="19" spans="1:4">
      <c r="A19" s="31" t="s">
        <v>16712</v>
      </c>
      <c r="B19" s="86">
        <v>2052</v>
      </c>
      <c r="C19" s="88"/>
      <c r="D19" s="105">
        <f t="shared" si="0"/>
        <v>2052</v>
      </c>
    </row>
    <row r="20" spans="1:4">
      <c r="A20" s="108">
        <v>2024</v>
      </c>
      <c r="B20" s="86">
        <v>922</v>
      </c>
      <c r="C20" s="88"/>
      <c r="D20" s="105">
        <f t="shared" si="0"/>
        <v>922</v>
      </c>
    </row>
    <row r="21" spans="1:4">
      <c r="A21" s="108">
        <v>2025</v>
      </c>
      <c r="B21" s="86">
        <v>1130</v>
      </c>
      <c r="C21" s="88"/>
      <c r="D21" s="105">
        <f t="shared" si="0"/>
        <v>1130</v>
      </c>
    </row>
    <row r="22" spans="1:4">
      <c r="A22" s="31" t="s">
        <v>16706</v>
      </c>
      <c r="B22" s="86">
        <v>654</v>
      </c>
      <c r="C22" s="88">
        <v>1774</v>
      </c>
      <c r="D22" s="105">
        <f t="shared" si="0"/>
        <v>2428</v>
      </c>
    </row>
    <row r="23" spans="1:4">
      <c r="A23" s="108">
        <v>2024</v>
      </c>
      <c r="B23" s="86"/>
      <c r="C23" s="88">
        <v>1554</v>
      </c>
      <c r="D23" s="105">
        <f t="shared" si="0"/>
        <v>1554</v>
      </c>
    </row>
    <row r="24" spans="1:4">
      <c r="A24" s="108">
        <v>2025</v>
      </c>
      <c r="B24" s="86">
        <v>654</v>
      </c>
      <c r="C24" s="88">
        <v>220</v>
      </c>
      <c r="D24" s="105">
        <f t="shared" si="0"/>
        <v>874</v>
      </c>
    </row>
    <row r="25" spans="1:4">
      <c r="A25" s="31" t="s">
        <v>16702</v>
      </c>
      <c r="B25" s="86">
        <v>601</v>
      </c>
      <c r="C25" s="88">
        <v>1685</v>
      </c>
      <c r="D25" s="105">
        <f t="shared" si="0"/>
        <v>2286</v>
      </c>
    </row>
    <row r="26" spans="1:4">
      <c r="A26" s="108">
        <v>2024</v>
      </c>
      <c r="B26" s="86"/>
      <c r="C26" s="88">
        <v>1428</v>
      </c>
      <c r="D26" s="105">
        <f t="shared" si="0"/>
        <v>1428</v>
      </c>
    </row>
    <row r="27" spans="1:4">
      <c r="A27" s="108">
        <v>2025</v>
      </c>
      <c r="B27" s="86">
        <v>601</v>
      </c>
      <c r="C27" s="88">
        <v>257</v>
      </c>
      <c r="D27" s="105">
        <f t="shared" si="0"/>
        <v>858</v>
      </c>
    </row>
    <row r="28" spans="1:4">
      <c r="A28" s="31" t="s">
        <v>16711</v>
      </c>
      <c r="B28" s="86">
        <v>579</v>
      </c>
      <c r="C28" s="88">
        <v>1592</v>
      </c>
      <c r="D28" s="105">
        <f t="shared" si="0"/>
        <v>2171</v>
      </c>
    </row>
    <row r="29" spans="1:4">
      <c r="A29" s="108">
        <v>2024</v>
      </c>
      <c r="B29" s="86"/>
      <c r="C29" s="88">
        <v>1154</v>
      </c>
      <c r="D29" s="105">
        <f t="shared" si="0"/>
        <v>1154</v>
      </c>
    </row>
    <row r="30" spans="1:4">
      <c r="A30" s="108">
        <v>2025</v>
      </c>
      <c r="B30" s="86">
        <v>579</v>
      </c>
      <c r="C30" s="88">
        <v>438</v>
      </c>
      <c r="D30" s="105">
        <f t="shared" si="0"/>
        <v>1017</v>
      </c>
    </row>
    <row r="31" spans="1:4">
      <c r="A31" s="31" t="s">
        <v>16710</v>
      </c>
      <c r="B31" s="86">
        <v>362</v>
      </c>
      <c r="C31" s="88">
        <v>835</v>
      </c>
      <c r="D31" s="105">
        <f t="shared" si="0"/>
        <v>1197</v>
      </c>
    </row>
    <row r="32" spans="1:4">
      <c r="A32" s="108">
        <v>2024</v>
      </c>
      <c r="B32" s="86"/>
      <c r="C32" s="88">
        <v>660</v>
      </c>
      <c r="D32" s="105">
        <f t="shared" si="0"/>
        <v>660</v>
      </c>
    </row>
    <row r="33" spans="1:4">
      <c r="A33" s="108">
        <v>2025</v>
      </c>
      <c r="B33" s="86">
        <v>362</v>
      </c>
      <c r="C33" s="88">
        <v>175</v>
      </c>
      <c r="D33" s="105">
        <f t="shared" si="0"/>
        <v>537</v>
      </c>
    </row>
    <row r="34" spans="1:4">
      <c r="A34" s="31" t="s">
        <v>16709</v>
      </c>
      <c r="B34" s="86">
        <v>315</v>
      </c>
      <c r="C34" s="88">
        <v>513</v>
      </c>
      <c r="D34" s="105">
        <f t="shared" si="0"/>
        <v>828</v>
      </c>
    </row>
    <row r="35" spans="1:4">
      <c r="A35" s="108">
        <v>2024</v>
      </c>
      <c r="B35" s="86"/>
      <c r="C35" s="88">
        <v>427</v>
      </c>
      <c r="D35" s="105">
        <f t="shared" si="0"/>
        <v>427</v>
      </c>
    </row>
    <row r="36" spans="1:4">
      <c r="A36" s="108">
        <v>2025</v>
      </c>
      <c r="B36" s="86">
        <v>315</v>
      </c>
      <c r="C36" s="88">
        <v>86</v>
      </c>
      <c r="D36" s="105">
        <f t="shared" si="0"/>
        <v>401</v>
      </c>
    </row>
    <row r="37" spans="1:4">
      <c r="A37" s="31" t="s">
        <v>16703</v>
      </c>
      <c r="B37" s="86">
        <v>274</v>
      </c>
      <c r="C37" s="88">
        <v>635</v>
      </c>
      <c r="D37" s="105">
        <f t="shared" si="0"/>
        <v>909</v>
      </c>
    </row>
    <row r="38" spans="1:4">
      <c r="A38" s="108">
        <v>2024</v>
      </c>
      <c r="B38" s="86"/>
      <c r="C38" s="88">
        <v>540</v>
      </c>
      <c r="D38" s="105">
        <f t="shared" si="0"/>
        <v>540</v>
      </c>
    </row>
    <row r="39" spans="1:4">
      <c r="A39" s="108">
        <v>2025</v>
      </c>
      <c r="B39" s="86">
        <v>274</v>
      </c>
      <c r="C39" s="88">
        <v>95</v>
      </c>
      <c r="D39" s="105">
        <f t="shared" si="0"/>
        <v>369</v>
      </c>
    </row>
    <row r="40" spans="1:4">
      <c r="A40" s="32" t="s">
        <v>227</v>
      </c>
      <c r="B40" s="89">
        <v>8289</v>
      </c>
      <c r="C40" s="91">
        <v>13823</v>
      </c>
    </row>
  </sheetData>
  <pageMargins left="0.7" right="0.7" top="0.75" bottom="0.75" header="0.3" footer="0.3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60E2A-D1F4-42DA-8C08-8C233A155B10}">
  <dimension ref="A1"/>
  <sheetViews>
    <sheetView workbookViewId="0">
      <selection activeCell="F10" sqref="F10"/>
    </sheetView>
  </sheetViews>
  <sheetFormatPr defaultRowHeight="12.75"/>
  <cols>
    <col min="1" max="1" width="17.140625" bestFit="1" customWidth="1"/>
    <col min="2" max="2" width="17" bestFit="1" customWidth="1"/>
    <col min="3" max="3" width="12.85546875" bestFit="1" customWidth="1"/>
    <col min="4" max="4" width="14" bestFit="1" customWidth="1"/>
    <col min="5" max="5" width="12.42578125" bestFit="1" customWidth="1"/>
    <col min="6" max="6" width="28.140625" bestFit="1" customWidth="1"/>
    <col min="7" max="7" width="13.7109375" bestFit="1" customWidth="1"/>
    <col min="8" max="8" width="14.7109375" bestFit="1" customWidth="1"/>
    <col min="9" max="9" width="15.7109375" bestFit="1" customWidth="1"/>
    <col min="10" max="10" width="14.28515625" bestFit="1" customWidth="1"/>
    <col min="11" max="11" width="24.5703125" bestFit="1" customWidth="1"/>
    <col min="12" max="12" width="27.140625" bestFit="1" customWidth="1"/>
    <col min="13" max="13" width="28.140625" bestFit="1" customWidth="1"/>
    <col min="14" max="14" width="29.140625" bestFit="1" customWidth="1"/>
    <col min="15" max="15" width="27.7109375" bestFit="1" customWidth="1"/>
    <col min="16" max="16" width="38.140625" bestFit="1" customWidth="1"/>
    <col min="17" max="17" width="28.85546875" bestFit="1" customWidth="1"/>
    <col min="18" max="18" width="30" bestFit="1" customWidth="1"/>
    <col min="19" max="19" width="31" bestFit="1" customWidth="1"/>
    <col min="20" max="20" width="29.42578125" bestFit="1" customWidth="1"/>
    <col min="21" max="21" width="39.85546875" bestFit="1" customWidth="1"/>
  </cols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B17A2-A788-4F61-8EEE-F93DED98BA55}">
  <dimension ref="A1:P354"/>
  <sheetViews>
    <sheetView topLeftCell="A214" workbookViewId="0">
      <selection activeCell="A232" sqref="A232:F258"/>
    </sheetView>
  </sheetViews>
  <sheetFormatPr defaultRowHeight="12.75"/>
  <cols>
    <col min="1" max="1" width="17.140625" bestFit="1" customWidth="1"/>
    <col min="2" max="2" width="27.85546875" bestFit="1" customWidth="1"/>
    <col min="3" max="3" width="28.85546875" bestFit="1" customWidth="1"/>
    <col min="4" max="4" width="30" style="106" bestFit="1" customWidth="1"/>
    <col min="5" max="5" width="28.42578125" bestFit="1" customWidth="1"/>
    <col min="6" max="6" width="38.85546875" bestFit="1" customWidth="1"/>
    <col min="7" max="7" width="17" bestFit="1" customWidth="1"/>
    <col min="8" max="8" width="6.85546875" bestFit="1" customWidth="1"/>
    <col min="9" max="9" width="9.42578125" bestFit="1" customWidth="1"/>
    <col min="10" max="10" width="12.5703125" bestFit="1" customWidth="1"/>
    <col min="11" max="11" width="10.140625" bestFit="1" customWidth="1"/>
    <col min="12" max="12" width="11.7109375" bestFit="1" customWidth="1"/>
    <col min="13" max="13" width="12" bestFit="1" customWidth="1"/>
    <col min="14" max="14" width="9.5703125" bestFit="1" customWidth="1"/>
    <col min="15" max="15" width="10" bestFit="1" customWidth="1"/>
    <col min="16" max="16" width="14.5703125" customWidth="1"/>
    <col min="17" max="17" width="8.7109375" bestFit="1" customWidth="1"/>
    <col min="18" max="18" width="7.28515625" bestFit="1" customWidth="1"/>
    <col min="19" max="19" width="7.140625" bestFit="1" customWidth="1"/>
    <col min="20" max="20" width="7.42578125" bestFit="1" customWidth="1"/>
    <col min="21" max="21" width="6.85546875" bestFit="1" customWidth="1"/>
    <col min="22" max="22" width="9.42578125" bestFit="1" customWidth="1"/>
    <col min="23" max="23" width="12.5703125" bestFit="1" customWidth="1"/>
    <col min="24" max="24" width="10.140625" bestFit="1" customWidth="1"/>
    <col min="25" max="25" width="11.7109375" bestFit="1" customWidth="1"/>
    <col min="26" max="26" width="12" bestFit="1" customWidth="1"/>
    <col min="27" max="27" width="9.5703125" bestFit="1" customWidth="1"/>
    <col min="28" max="28" width="10.5703125" bestFit="1" customWidth="1"/>
  </cols>
  <sheetData>
    <row r="1" spans="1:2">
      <c r="A1" s="24" t="s">
        <v>226</v>
      </c>
      <c r="B1" s="73" t="s">
        <v>16713</v>
      </c>
    </row>
    <row r="2" spans="1:2">
      <c r="A2" s="30">
        <v>2024</v>
      </c>
      <c r="B2" s="92">
        <v>445514</v>
      </c>
    </row>
    <row r="3" spans="1:2">
      <c r="A3" s="108" t="s">
        <v>16705</v>
      </c>
      <c r="B3" s="93">
        <v>32464</v>
      </c>
    </row>
    <row r="4" spans="1:2">
      <c r="A4" s="108" t="s">
        <v>16704</v>
      </c>
      <c r="B4" s="93">
        <v>35355</v>
      </c>
    </row>
    <row r="5" spans="1:2">
      <c r="A5" s="108" t="s">
        <v>16707</v>
      </c>
      <c r="B5" s="93">
        <v>38557</v>
      </c>
    </row>
    <row r="6" spans="1:2">
      <c r="A6" s="108" t="s">
        <v>16701</v>
      </c>
      <c r="B6" s="93">
        <v>38180</v>
      </c>
    </row>
    <row r="7" spans="1:2">
      <c r="A7" s="108" t="s">
        <v>16708</v>
      </c>
      <c r="B7" s="93">
        <v>40466</v>
      </c>
    </row>
    <row r="8" spans="1:2">
      <c r="A8" s="108" t="s">
        <v>16712</v>
      </c>
      <c r="B8" s="93">
        <v>43373</v>
      </c>
    </row>
    <row r="9" spans="1:2">
      <c r="A9" s="108" t="s">
        <v>16706</v>
      </c>
      <c r="B9" s="93">
        <v>45642</v>
      </c>
    </row>
    <row r="10" spans="1:2">
      <c r="A10" s="108" t="s">
        <v>16702</v>
      </c>
      <c r="B10" s="93">
        <v>35655</v>
      </c>
    </row>
    <row r="11" spans="1:2">
      <c r="A11" s="108" t="s">
        <v>16711</v>
      </c>
      <c r="B11" s="93">
        <v>35226</v>
      </c>
    </row>
    <row r="12" spans="1:2">
      <c r="A12" s="108" t="s">
        <v>16710</v>
      </c>
      <c r="B12" s="93">
        <v>40143</v>
      </c>
    </row>
    <row r="13" spans="1:2">
      <c r="A13" s="108" t="s">
        <v>16709</v>
      </c>
      <c r="B13" s="93">
        <v>30396</v>
      </c>
    </row>
    <row r="14" spans="1:2">
      <c r="A14" s="108" t="s">
        <v>16703</v>
      </c>
      <c r="B14" s="93">
        <v>30057</v>
      </c>
    </row>
    <row r="15" spans="1:2">
      <c r="A15" s="31">
        <v>2025</v>
      </c>
      <c r="B15" s="93">
        <v>436070</v>
      </c>
    </row>
    <row r="16" spans="1:2">
      <c r="A16" s="108" t="s">
        <v>16705</v>
      </c>
      <c r="B16" s="93">
        <v>32472</v>
      </c>
    </row>
    <row r="17" spans="1:2">
      <c r="A17" s="108" t="s">
        <v>16704</v>
      </c>
      <c r="B17" s="93">
        <v>48078</v>
      </c>
    </row>
    <row r="18" spans="1:2">
      <c r="A18" s="108" t="s">
        <v>16707</v>
      </c>
      <c r="B18" s="93">
        <v>38585</v>
      </c>
    </row>
    <row r="19" spans="1:2">
      <c r="A19" s="108" t="s">
        <v>16701</v>
      </c>
      <c r="B19" s="93">
        <v>38214</v>
      </c>
    </row>
    <row r="20" spans="1:2">
      <c r="A20" s="108" t="s">
        <v>16708</v>
      </c>
      <c r="B20" s="93">
        <v>40511</v>
      </c>
    </row>
    <row r="21" spans="1:2">
      <c r="A21" s="108" t="s">
        <v>16712</v>
      </c>
      <c r="B21" s="93">
        <v>48945</v>
      </c>
    </row>
    <row r="22" spans="1:2">
      <c r="A22" s="108" t="s">
        <v>16706</v>
      </c>
      <c r="B22" s="93">
        <v>44913</v>
      </c>
    </row>
    <row r="23" spans="1:2">
      <c r="A23" s="108" t="s">
        <v>16702</v>
      </c>
      <c r="B23" s="93">
        <v>36434</v>
      </c>
    </row>
    <row r="24" spans="1:2">
      <c r="A24" s="108" t="s">
        <v>16711</v>
      </c>
      <c r="B24" s="93">
        <v>38051</v>
      </c>
    </row>
    <row r="25" spans="1:2">
      <c r="A25" s="108" t="s">
        <v>16710</v>
      </c>
      <c r="B25" s="93">
        <v>27396</v>
      </c>
    </row>
    <row r="26" spans="1:2">
      <c r="A26" s="108" t="s">
        <v>16709</v>
      </c>
      <c r="B26" s="93">
        <v>22010</v>
      </c>
    </row>
    <row r="27" spans="1:2">
      <c r="A27" s="108" t="s">
        <v>16703</v>
      </c>
      <c r="B27" s="93">
        <v>20461</v>
      </c>
    </row>
    <row r="28" spans="1:2">
      <c r="A28" s="32" t="s">
        <v>227</v>
      </c>
      <c r="B28" s="94">
        <v>881584</v>
      </c>
    </row>
    <row r="33" spans="1:5">
      <c r="A33" s="112" t="s">
        <v>226</v>
      </c>
      <c r="B33" t="s">
        <v>16717</v>
      </c>
      <c r="D33"/>
    </row>
    <row r="34" spans="1:5">
      <c r="A34" s="110">
        <v>2024</v>
      </c>
      <c r="B34" s="107">
        <v>11379</v>
      </c>
      <c r="D34"/>
    </row>
    <row r="35" spans="1:5">
      <c r="A35" s="111" t="s">
        <v>16705</v>
      </c>
      <c r="B35" s="107">
        <v>648</v>
      </c>
      <c r="D35"/>
    </row>
    <row r="36" spans="1:5">
      <c r="A36" s="111" t="s">
        <v>16704</v>
      </c>
      <c r="B36" s="107">
        <v>569</v>
      </c>
      <c r="D36"/>
    </row>
    <row r="37" spans="1:5">
      <c r="A37" s="111" t="s">
        <v>16707</v>
      </c>
      <c r="B37" s="107">
        <v>885</v>
      </c>
      <c r="D37"/>
      <c r="E37" s="106"/>
    </row>
    <row r="38" spans="1:5">
      <c r="A38" s="111" t="s">
        <v>16701</v>
      </c>
      <c r="B38" s="107">
        <v>1179</v>
      </c>
      <c r="D38"/>
      <c r="E38" s="106"/>
    </row>
    <row r="39" spans="1:5">
      <c r="A39" s="111" t="s">
        <v>16708</v>
      </c>
      <c r="B39" s="107">
        <v>1413</v>
      </c>
      <c r="D39"/>
      <c r="E39" s="106"/>
    </row>
    <row r="40" spans="1:5">
      <c r="A40" s="111" t="s">
        <v>16712</v>
      </c>
      <c r="B40" s="107">
        <v>922</v>
      </c>
      <c r="D40"/>
      <c r="E40" s="106"/>
    </row>
    <row r="41" spans="1:5">
      <c r="A41" s="111" t="s">
        <v>16706</v>
      </c>
      <c r="B41" s="107">
        <v>1554</v>
      </c>
      <c r="D41"/>
      <c r="E41" s="106"/>
    </row>
    <row r="42" spans="1:5">
      <c r="A42" s="111" t="s">
        <v>16702</v>
      </c>
      <c r="B42" s="107">
        <v>1428</v>
      </c>
      <c r="D42"/>
      <c r="E42" s="106"/>
    </row>
    <row r="43" spans="1:5">
      <c r="A43" s="111" t="s">
        <v>16711</v>
      </c>
      <c r="B43" s="107">
        <v>1154</v>
      </c>
      <c r="D43"/>
      <c r="E43" s="106"/>
    </row>
    <row r="44" spans="1:5">
      <c r="A44" s="111" t="s">
        <v>16710</v>
      </c>
      <c r="B44" s="107">
        <v>660</v>
      </c>
      <c r="D44"/>
      <c r="E44" s="106"/>
    </row>
    <row r="45" spans="1:5">
      <c r="A45" s="111" t="s">
        <v>16709</v>
      </c>
      <c r="B45" s="107">
        <v>427</v>
      </c>
      <c r="D45"/>
      <c r="E45" s="106"/>
    </row>
    <row r="46" spans="1:5">
      <c r="A46" s="111" t="s">
        <v>16703</v>
      </c>
      <c r="B46" s="107">
        <v>540</v>
      </c>
      <c r="D46"/>
      <c r="E46" s="106"/>
    </row>
    <row r="47" spans="1:5">
      <c r="A47" s="110">
        <v>2025</v>
      </c>
      <c r="B47" s="107">
        <v>9558</v>
      </c>
      <c r="D47"/>
      <c r="E47" s="106"/>
    </row>
    <row r="48" spans="1:5">
      <c r="A48" s="111" t="s">
        <v>16705</v>
      </c>
      <c r="B48" s="107">
        <v>519</v>
      </c>
      <c r="D48"/>
      <c r="E48" s="106"/>
    </row>
    <row r="49" spans="1:5">
      <c r="A49" s="111" t="s">
        <v>16704</v>
      </c>
      <c r="B49" s="107">
        <v>569</v>
      </c>
      <c r="D49"/>
      <c r="E49" s="106"/>
    </row>
    <row r="50" spans="1:5">
      <c r="A50" s="111" t="s">
        <v>16707</v>
      </c>
      <c r="B50" s="107">
        <v>589</v>
      </c>
      <c r="D50"/>
      <c r="E50" s="106"/>
    </row>
    <row r="51" spans="1:5">
      <c r="A51" s="111" t="s">
        <v>16701</v>
      </c>
      <c r="B51" s="107">
        <v>1849</v>
      </c>
      <c r="D51"/>
      <c r="E51" s="106"/>
    </row>
    <row r="52" spans="1:5">
      <c r="A52" s="111" t="s">
        <v>16708</v>
      </c>
      <c r="B52" s="107">
        <v>846</v>
      </c>
      <c r="D52"/>
      <c r="E52" s="106"/>
    </row>
    <row r="53" spans="1:5">
      <c r="A53" s="111" t="s">
        <v>16712</v>
      </c>
      <c r="B53" s="107">
        <v>1130</v>
      </c>
      <c r="D53"/>
      <c r="E53" s="106"/>
    </row>
    <row r="54" spans="1:5">
      <c r="A54" s="111" t="s">
        <v>16706</v>
      </c>
      <c r="B54" s="107">
        <v>874</v>
      </c>
      <c r="D54"/>
      <c r="E54" s="106"/>
    </row>
    <row r="55" spans="1:5">
      <c r="A55" s="111" t="s">
        <v>16702</v>
      </c>
      <c r="B55" s="107">
        <v>858</v>
      </c>
      <c r="D55"/>
      <c r="E55" s="106"/>
    </row>
    <row r="56" spans="1:5">
      <c r="A56" s="111" t="s">
        <v>16711</v>
      </c>
      <c r="B56" s="107">
        <v>1017</v>
      </c>
      <c r="D56"/>
      <c r="E56" s="106"/>
    </row>
    <row r="57" spans="1:5">
      <c r="A57" s="111" t="s">
        <v>16710</v>
      </c>
      <c r="B57" s="107">
        <v>537</v>
      </c>
      <c r="D57"/>
      <c r="E57" s="106"/>
    </row>
    <row r="58" spans="1:5">
      <c r="A58" s="111" t="s">
        <v>16709</v>
      </c>
      <c r="B58" s="107">
        <v>401</v>
      </c>
      <c r="D58"/>
      <c r="E58" s="106"/>
    </row>
    <row r="59" spans="1:5">
      <c r="A59" s="111" t="s">
        <v>16703</v>
      </c>
      <c r="B59" s="107">
        <v>369</v>
      </c>
      <c r="D59"/>
      <c r="E59" s="106"/>
    </row>
    <row r="60" spans="1:5">
      <c r="A60" s="110" t="s">
        <v>227</v>
      </c>
      <c r="B60" s="107">
        <v>20937</v>
      </c>
      <c r="D60"/>
    </row>
    <row r="77" spans="1:2">
      <c r="A77" s="24" t="s">
        <v>226</v>
      </c>
      <c r="B77" s="73" t="s">
        <v>16718</v>
      </c>
    </row>
    <row r="78" spans="1:2">
      <c r="A78" s="30">
        <v>2024</v>
      </c>
      <c r="B78" s="92">
        <v>34201</v>
      </c>
    </row>
    <row r="79" spans="1:2">
      <c r="A79" s="108" t="s">
        <v>16705</v>
      </c>
      <c r="B79" s="93">
        <v>1428</v>
      </c>
    </row>
    <row r="80" spans="1:2">
      <c r="A80" s="108" t="s">
        <v>16704</v>
      </c>
      <c r="B80" s="93">
        <v>1495</v>
      </c>
    </row>
    <row r="81" spans="1:2">
      <c r="A81" s="108" t="s">
        <v>16707</v>
      </c>
      <c r="B81" s="93">
        <v>3819</v>
      </c>
    </row>
    <row r="82" spans="1:2">
      <c r="A82" s="108" t="s">
        <v>16701</v>
      </c>
      <c r="B82" s="93">
        <v>3594</v>
      </c>
    </row>
    <row r="83" spans="1:2">
      <c r="A83" s="108" t="s">
        <v>16708</v>
      </c>
      <c r="B83" s="93">
        <v>3562</v>
      </c>
    </row>
    <row r="84" spans="1:2">
      <c r="A84" s="108" t="s">
        <v>16712</v>
      </c>
      <c r="B84" s="93">
        <v>3842</v>
      </c>
    </row>
    <row r="85" spans="1:2">
      <c r="A85" s="108" t="s">
        <v>16706</v>
      </c>
      <c r="B85" s="93">
        <v>3862</v>
      </c>
    </row>
    <row r="86" spans="1:2">
      <c r="A86" s="108" t="s">
        <v>16702</v>
      </c>
      <c r="B86" s="93">
        <v>3748</v>
      </c>
    </row>
    <row r="87" spans="1:2">
      <c r="A87" s="108" t="s">
        <v>16711</v>
      </c>
      <c r="B87" s="93">
        <v>1531</v>
      </c>
    </row>
    <row r="88" spans="1:2">
      <c r="A88" s="108" t="s">
        <v>16710</v>
      </c>
      <c r="B88" s="93">
        <v>3730</v>
      </c>
    </row>
    <row r="89" spans="1:2">
      <c r="A89" s="108" t="s">
        <v>16709</v>
      </c>
      <c r="B89" s="93">
        <v>1171</v>
      </c>
    </row>
    <row r="90" spans="1:2">
      <c r="A90" s="108" t="s">
        <v>16703</v>
      </c>
      <c r="B90" s="93">
        <v>2419</v>
      </c>
    </row>
    <row r="91" spans="1:2">
      <c r="A91" s="31">
        <v>2025</v>
      </c>
      <c r="B91" s="93">
        <v>35203</v>
      </c>
    </row>
    <row r="92" spans="1:2">
      <c r="A92" s="108" t="s">
        <v>16705</v>
      </c>
      <c r="B92" s="93">
        <v>3045</v>
      </c>
    </row>
    <row r="93" spans="1:2">
      <c r="A93" s="108" t="s">
        <v>16704</v>
      </c>
      <c r="B93" s="93">
        <v>3354</v>
      </c>
    </row>
    <row r="94" spans="1:2">
      <c r="A94" s="108" t="s">
        <v>16707</v>
      </c>
      <c r="B94" s="93">
        <v>3819</v>
      </c>
    </row>
    <row r="95" spans="1:2">
      <c r="A95" s="108" t="s">
        <v>16701</v>
      </c>
      <c r="B95" s="93">
        <v>3594</v>
      </c>
    </row>
    <row r="96" spans="1:2">
      <c r="A96" s="108" t="s">
        <v>16708</v>
      </c>
      <c r="B96" s="93">
        <v>3562</v>
      </c>
    </row>
    <row r="97" spans="1:16">
      <c r="A97" s="108" t="s">
        <v>16712</v>
      </c>
      <c r="B97" s="93">
        <v>3695</v>
      </c>
    </row>
    <row r="98" spans="1:16">
      <c r="A98" s="108" t="s">
        <v>16706</v>
      </c>
      <c r="B98" s="93">
        <v>3646</v>
      </c>
    </row>
    <row r="99" spans="1:16">
      <c r="A99" s="108" t="s">
        <v>16702</v>
      </c>
      <c r="B99" s="93">
        <v>1803</v>
      </c>
    </row>
    <row r="100" spans="1:16">
      <c r="A100" s="108" t="s">
        <v>16711</v>
      </c>
      <c r="B100" s="93">
        <v>3649</v>
      </c>
    </row>
    <row r="101" spans="1:16">
      <c r="A101" s="108" t="s">
        <v>16710</v>
      </c>
      <c r="B101" s="93">
        <v>2042</v>
      </c>
    </row>
    <row r="102" spans="1:16">
      <c r="A102" s="108" t="s">
        <v>16709</v>
      </c>
      <c r="B102" s="93">
        <v>1618</v>
      </c>
    </row>
    <row r="103" spans="1:16">
      <c r="A103" s="108" t="s">
        <v>16703</v>
      </c>
      <c r="B103" s="93">
        <v>1376</v>
      </c>
    </row>
    <row r="104" spans="1:16">
      <c r="A104" s="32" t="s">
        <v>227</v>
      </c>
      <c r="B104" s="94">
        <v>69404</v>
      </c>
    </row>
    <row r="109" spans="1:16">
      <c r="A109" s="24" t="s">
        <v>226</v>
      </c>
      <c r="B109" s="73" t="s">
        <v>16678</v>
      </c>
    </row>
    <row r="110" spans="1:16">
      <c r="A110" s="30">
        <v>2024</v>
      </c>
      <c r="B110" s="92">
        <v>3933</v>
      </c>
    </row>
    <row r="111" spans="1:16">
      <c r="A111" s="108" t="s">
        <v>16705</v>
      </c>
      <c r="B111" s="93">
        <v>350</v>
      </c>
      <c r="P111" s="38" t="s">
        <v>16720</v>
      </c>
    </row>
    <row r="112" spans="1:16">
      <c r="A112" s="108" t="s">
        <v>16704</v>
      </c>
      <c r="B112" s="93">
        <v>333</v>
      </c>
      <c r="N112">
        <f>MEDIAN(B111:B122)</f>
        <v>348</v>
      </c>
      <c r="P112">
        <v>245</v>
      </c>
    </row>
    <row r="113" spans="1:14">
      <c r="A113" s="108" t="s">
        <v>16707</v>
      </c>
      <c r="B113" s="93">
        <v>380</v>
      </c>
      <c r="N113">
        <f>MEDIAN(B124:B135)</f>
        <v>331.5</v>
      </c>
    </row>
    <row r="114" spans="1:14">
      <c r="A114" s="108" t="s">
        <v>16701</v>
      </c>
      <c r="B114" s="93">
        <v>357</v>
      </c>
    </row>
    <row r="115" spans="1:14">
      <c r="A115" s="108" t="s">
        <v>16708</v>
      </c>
      <c r="B115" s="93">
        <v>346</v>
      </c>
    </row>
    <row r="116" spans="1:14">
      <c r="A116" s="108" t="s">
        <v>16712</v>
      </c>
      <c r="B116" s="93">
        <v>177</v>
      </c>
    </row>
    <row r="117" spans="1:14">
      <c r="A117" s="108" t="s">
        <v>16706</v>
      </c>
      <c r="B117" s="93">
        <v>376</v>
      </c>
    </row>
    <row r="118" spans="1:14">
      <c r="A118" s="108" t="s">
        <v>16702</v>
      </c>
      <c r="B118" s="93">
        <v>351</v>
      </c>
    </row>
    <row r="119" spans="1:14">
      <c r="A119" s="108" t="s">
        <v>16711</v>
      </c>
      <c r="B119" s="93">
        <v>317</v>
      </c>
    </row>
    <row r="120" spans="1:14">
      <c r="A120" s="108" t="s">
        <v>16710</v>
      </c>
      <c r="B120" s="93">
        <v>364</v>
      </c>
    </row>
    <row r="121" spans="1:14">
      <c r="A121" s="108" t="s">
        <v>16709</v>
      </c>
      <c r="B121" s="93">
        <v>270</v>
      </c>
    </row>
    <row r="122" spans="1:14">
      <c r="A122" s="108" t="s">
        <v>16703</v>
      </c>
      <c r="B122" s="93">
        <v>312</v>
      </c>
    </row>
    <row r="123" spans="1:14">
      <c r="A123" s="31">
        <v>2025</v>
      </c>
      <c r="B123" s="93">
        <v>3848</v>
      </c>
    </row>
    <row r="124" spans="1:14">
      <c r="A124" s="108" t="s">
        <v>16705</v>
      </c>
      <c r="B124" s="93">
        <v>350</v>
      </c>
    </row>
    <row r="125" spans="1:14">
      <c r="A125" s="108" t="s">
        <v>16704</v>
      </c>
      <c r="B125" s="93">
        <v>333</v>
      </c>
    </row>
    <row r="126" spans="1:14">
      <c r="A126" s="108" t="s">
        <v>16707</v>
      </c>
      <c r="B126" s="93">
        <v>380</v>
      </c>
    </row>
    <row r="127" spans="1:14">
      <c r="A127" s="108" t="s">
        <v>16701</v>
      </c>
      <c r="B127" s="93">
        <v>357</v>
      </c>
    </row>
    <row r="128" spans="1:14">
      <c r="A128" s="108" t="s">
        <v>16708</v>
      </c>
      <c r="B128" s="93">
        <v>346</v>
      </c>
    </row>
    <row r="129" spans="1:2">
      <c r="A129" s="108" t="s">
        <v>16712</v>
      </c>
      <c r="B129" s="93">
        <v>405</v>
      </c>
    </row>
    <row r="130" spans="1:2">
      <c r="A130" s="108" t="s">
        <v>16706</v>
      </c>
      <c r="B130" s="93">
        <v>246</v>
      </c>
    </row>
    <row r="131" spans="1:2">
      <c r="A131" s="108" t="s">
        <v>16702</v>
      </c>
      <c r="B131" s="93">
        <v>328</v>
      </c>
    </row>
    <row r="132" spans="1:2">
      <c r="A132" s="108" t="s">
        <v>16711</v>
      </c>
      <c r="B132" s="93">
        <v>330</v>
      </c>
    </row>
    <row r="133" spans="1:2">
      <c r="A133" s="108" t="s">
        <v>16710</v>
      </c>
      <c r="B133" s="93">
        <v>304</v>
      </c>
    </row>
    <row r="134" spans="1:2">
      <c r="A134" s="108" t="s">
        <v>16709</v>
      </c>
      <c r="B134" s="93">
        <v>243</v>
      </c>
    </row>
    <row r="135" spans="1:2">
      <c r="A135" s="108" t="s">
        <v>16703</v>
      </c>
      <c r="B135" s="93">
        <v>226</v>
      </c>
    </row>
    <row r="136" spans="1:2">
      <c r="A136" s="32" t="s">
        <v>227</v>
      </c>
      <c r="B136" s="94">
        <v>7781</v>
      </c>
    </row>
    <row r="142" spans="1:2">
      <c r="A142" s="24" t="s">
        <v>226</v>
      </c>
      <c r="B142" s="73" t="s">
        <v>16719</v>
      </c>
    </row>
    <row r="143" spans="1:2">
      <c r="A143" s="30">
        <v>2025</v>
      </c>
      <c r="B143" s="92">
        <v>81660</v>
      </c>
    </row>
    <row r="144" spans="1:2">
      <c r="A144" s="108" t="s">
        <v>16705</v>
      </c>
      <c r="B144" s="93">
        <v>6285</v>
      </c>
    </row>
    <row r="145" spans="1:2">
      <c r="A145" s="108" t="s">
        <v>16704</v>
      </c>
      <c r="B145" s="93">
        <v>6646</v>
      </c>
    </row>
    <row r="146" spans="1:2">
      <c r="A146" s="108" t="s">
        <v>16707</v>
      </c>
      <c r="B146" s="93">
        <v>7606</v>
      </c>
    </row>
    <row r="147" spans="1:2">
      <c r="A147" s="108" t="s">
        <v>16701</v>
      </c>
      <c r="B147" s="93">
        <v>7853</v>
      </c>
    </row>
    <row r="148" spans="1:2">
      <c r="A148" s="108" t="s">
        <v>16708</v>
      </c>
      <c r="B148" s="93">
        <v>6733</v>
      </c>
    </row>
    <row r="149" spans="1:2">
      <c r="A149" s="108" t="s">
        <v>16712</v>
      </c>
      <c r="B149" s="93">
        <v>14361</v>
      </c>
    </row>
    <row r="150" spans="1:2">
      <c r="A150" s="108" t="s">
        <v>16706</v>
      </c>
      <c r="B150" s="93">
        <v>7113</v>
      </c>
    </row>
    <row r="151" spans="1:2">
      <c r="A151" s="108" t="s">
        <v>16702</v>
      </c>
      <c r="B151" s="93">
        <v>6827</v>
      </c>
    </row>
    <row r="152" spans="1:2">
      <c r="A152" s="108" t="s">
        <v>16711</v>
      </c>
      <c r="B152" s="93">
        <v>7425</v>
      </c>
    </row>
    <row r="153" spans="1:2">
      <c r="A153" s="108" t="s">
        <v>16710</v>
      </c>
      <c r="B153" s="93">
        <v>4300</v>
      </c>
    </row>
    <row r="154" spans="1:2">
      <c r="A154" s="108" t="s">
        <v>16709</v>
      </c>
      <c r="B154" s="93">
        <v>3402</v>
      </c>
    </row>
    <row r="155" spans="1:2">
      <c r="A155" s="108" t="s">
        <v>16703</v>
      </c>
      <c r="B155" s="93">
        <v>3109</v>
      </c>
    </row>
    <row r="156" spans="1:2">
      <c r="A156" s="32" t="s">
        <v>227</v>
      </c>
      <c r="B156" s="94">
        <v>81660</v>
      </c>
    </row>
    <row r="166" spans="1:2">
      <c r="A166" s="24" t="s">
        <v>226</v>
      </c>
      <c r="B166" s="73" t="s">
        <v>16721</v>
      </c>
    </row>
    <row r="167" spans="1:2">
      <c r="A167" s="30">
        <v>2024</v>
      </c>
      <c r="B167" s="92">
        <v>55587</v>
      </c>
    </row>
    <row r="168" spans="1:2">
      <c r="A168" s="108" t="s">
        <v>16705</v>
      </c>
      <c r="B168" s="93">
        <v>4548</v>
      </c>
    </row>
    <row r="169" spans="1:2">
      <c r="A169" s="108" t="s">
        <v>16704</v>
      </c>
      <c r="B169" s="93">
        <v>5467</v>
      </c>
    </row>
    <row r="170" spans="1:2">
      <c r="A170" s="108" t="s">
        <v>16707</v>
      </c>
      <c r="B170" s="93">
        <v>6478</v>
      </c>
    </row>
    <row r="171" spans="1:2">
      <c r="A171" s="108" t="s">
        <v>16701</v>
      </c>
      <c r="B171" s="93">
        <v>5306</v>
      </c>
    </row>
    <row r="172" spans="1:2">
      <c r="A172" s="108" t="s">
        <v>16708</v>
      </c>
      <c r="B172" s="93">
        <v>6526</v>
      </c>
    </row>
    <row r="173" spans="1:2">
      <c r="A173" s="108" t="s">
        <v>16712</v>
      </c>
      <c r="B173" s="93"/>
    </row>
    <row r="174" spans="1:2">
      <c r="A174" s="108" t="s">
        <v>16706</v>
      </c>
      <c r="B174" s="93">
        <v>4827</v>
      </c>
    </row>
    <row r="175" spans="1:2">
      <c r="A175" s="108" t="s">
        <v>16702</v>
      </c>
      <c r="B175" s="93">
        <v>5786</v>
      </c>
    </row>
    <row r="176" spans="1:2">
      <c r="A176" s="108" t="s">
        <v>16711</v>
      </c>
      <c r="B176" s="93">
        <v>4221</v>
      </c>
    </row>
    <row r="177" spans="1:2">
      <c r="A177" s="108" t="s">
        <v>16710</v>
      </c>
      <c r="B177" s="93">
        <v>4118</v>
      </c>
    </row>
    <row r="178" spans="1:2">
      <c r="A178" s="108" t="s">
        <v>16709</v>
      </c>
      <c r="B178" s="93">
        <v>3895</v>
      </c>
    </row>
    <row r="179" spans="1:2">
      <c r="A179" s="108" t="s">
        <v>16703</v>
      </c>
      <c r="B179" s="93">
        <v>4415</v>
      </c>
    </row>
    <row r="180" spans="1:2">
      <c r="A180" s="31">
        <v>2025</v>
      </c>
      <c r="B180" s="93">
        <v>39499</v>
      </c>
    </row>
    <row r="181" spans="1:2">
      <c r="A181" s="108" t="s">
        <v>16705</v>
      </c>
      <c r="B181" s="93">
        <v>1761</v>
      </c>
    </row>
    <row r="182" spans="1:2">
      <c r="A182" s="108" t="s">
        <v>16704</v>
      </c>
      <c r="B182" s="93">
        <v>1258</v>
      </c>
    </row>
    <row r="183" spans="1:2">
      <c r="A183" s="108" t="s">
        <v>16707</v>
      </c>
      <c r="B183" s="93">
        <v>1699</v>
      </c>
    </row>
    <row r="184" spans="1:2">
      <c r="A184" s="108" t="s">
        <v>16701</v>
      </c>
      <c r="B184" s="93">
        <v>1397</v>
      </c>
    </row>
    <row r="185" spans="1:2">
      <c r="A185" s="108" t="s">
        <v>16708</v>
      </c>
      <c r="B185" s="93">
        <v>1685</v>
      </c>
    </row>
    <row r="186" spans="1:2">
      <c r="A186" s="108" t="s">
        <v>16712</v>
      </c>
      <c r="B186" s="93">
        <v>1562</v>
      </c>
    </row>
    <row r="187" spans="1:2">
      <c r="A187" s="108" t="s">
        <v>16706</v>
      </c>
      <c r="B187" s="93">
        <v>3136</v>
      </c>
    </row>
    <row r="188" spans="1:2">
      <c r="A188" s="108" t="s">
        <v>16702</v>
      </c>
      <c r="B188" s="93">
        <v>6399</v>
      </c>
    </row>
    <row r="189" spans="1:2">
      <c r="A189" s="108" t="s">
        <v>16711</v>
      </c>
      <c r="B189" s="93">
        <v>7830</v>
      </c>
    </row>
    <row r="190" spans="1:2">
      <c r="A190" s="108" t="s">
        <v>16710</v>
      </c>
      <c r="B190" s="93">
        <v>5842</v>
      </c>
    </row>
    <row r="191" spans="1:2">
      <c r="A191" s="108" t="s">
        <v>16709</v>
      </c>
      <c r="B191" s="93">
        <v>3382</v>
      </c>
    </row>
    <row r="192" spans="1:2">
      <c r="A192" s="108" t="s">
        <v>16703</v>
      </c>
      <c r="B192" s="93">
        <v>3548</v>
      </c>
    </row>
    <row r="193" spans="1:6">
      <c r="A193" s="32" t="s">
        <v>227</v>
      </c>
      <c r="B193" s="94">
        <v>95086</v>
      </c>
    </row>
    <row r="198" spans="1:6">
      <c r="A198" s="24" t="s">
        <v>226</v>
      </c>
      <c r="B198" s="25" t="s">
        <v>16722</v>
      </c>
      <c r="C198" s="26" t="s">
        <v>16723</v>
      </c>
      <c r="D198" s="26" t="s">
        <v>16724</v>
      </c>
      <c r="E198" s="26" t="s">
        <v>16725</v>
      </c>
      <c r="F198" s="27" t="s">
        <v>16726</v>
      </c>
    </row>
    <row r="199" spans="1:6">
      <c r="A199" s="30">
        <v>2024</v>
      </c>
      <c r="B199" s="83">
        <v>767</v>
      </c>
      <c r="C199" s="84">
        <v>286</v>
      </c>
      <c r="D199" s="84">
        <v>273</v>
      </c>
      <c r="E199" s="84">
        <v>592</v>
      </c>
      <c r="F199" s="85">
        <v>196</v>
      </c>
    </row>
    <row r="200" spans="1:6">
      <c r="A200" s="108" t="s">
        <v>16705</v>
      </c>
      <c r="B200" s="86">
        <v>54</v>
      </c>
      <c r="C200" s="87">
        <v>11</v>
      </c>
      <c r="D200" s="87">
        <v>11</v>
      </c>
      <c r="E200" s="87">
        <v>33</v>
      </c>
      <c r="F200" s="88">
        <v>6</v>
      </c>
    </row>
    <row r="201" spans="1:6">
      <c r="A201" s="108" t="s">
        <v>16704</v>
      </c>
      <c r="B201" s="86">
        <v>52</v>
      </c>
      <c r="C201" s="87">
        <v>14</v>
      </c>
      <c r="D201" s="87">
        <v>11</v>
      </c>
      <c r="E201" s="87">
        <v>42</v>
      </c>
      <c r="F201" s="88">
        <v>7</v>
      </c>
    </row>
    <row r="202" spans="1:6">
      <c r="A202" s="108" t="s">
        <v>16707</v>
      </c>
      <c r="B202" s="86">
        <v>93</v>
      </c>
      <c r="C202" s="87">
        <v>16</v>
      </c>
      <c r="D202" s="87">
        <v>25</v>
      </c>
      <c r="E202" s="87">
        <v>68</v>
      </c>
      <c r="F202" s="88">
        <v>13</v>
      </c>
    </row>
    <row r="203" spans="1:6">
      <c r="A203" s="108" t="s">
        <v>16701</v>
      </c>
      <c r="B203" s="86">
        <v>68</v>
      </c>
      <c r="C203" s="87">
        <v>24</v>
      </c>
      <c r="D203" s="87">
        <v>27</v>
      </c>
      <c r="E203" s="87">
        <v>62</v>
      </c>
      <c r="F203" s="88">
        <v>17</v>
      </c>
    </row>
    <row r="204" spans="1:6">
      <c r="A204" s="108" t="s">
        <v>16708</v>
      </c>
      <c r="B204" s="86">
        <v>61</v>
      </c>
      <c r="C204" s="87">
        <v>21</v>
      </c>
      <c r="D204" s="87">
        <v>27</v>
      </c>
      <c r="E204" s="87">
        <v>53</v>
      </c>
      <c r="F204" s="88">
        <v>17</v>
      </c>
    </row>
    <row r="205" spans="1:6">
      <c r="A205" s="108" t="s">
        <v>16712</v>
      </c>
      <c r="B205" s="86">
        <v>62</v>
      </c>
      <c r="C205" s="87">
        <v>22</v>
      </c>
      <c r="D205" s="87">
        <v>31</v>
      </c>
      <c r="E205" s="87">
        <v>48</v>
      </c>
      <c r="F205" s="88">
        <v>41</v>
      </c>
    </row>
    <row r="206" spans="1:6">
      <c r="A206" s="108" t="s">
        <v>16706</v>
      </c>
      <c r="B206" s="86">
        <v>58</v>
      </c>
      <c r="C206" s="87">
        <v>23</v>
      </c>
      <c r="D206" s="87">
        <v>40</v>
      </c>
      <c r="E206" s="87">
        <v>41</v>
      </c>
      <c r="F206" s="88">
        <v>34</v>
      </c>
    </row>
    <row r="207" spans="1:6">
      <c r="A207" s="108" t="s">
        <v>16702</v>
      </c>
      <c r="B207" s="86">
        <v>2</v>
      </c>
      <c r="C207" s="87">
        <v>1</v>
      </c>
      <c r="D207" s="87">
        <v>5</v>
      </c>
      <c r="E207" s="87">
        <v>38</v>
      </c>
      <c r="F207" s="88">
        <v>7</v>
      </c>
    </row>
    <row r="208" spans="1:6">
      <c r="A208" s="108" t="s">
        <v>16711</v>
      </c>
      <c r="B208" s="86">
        <v>85</v>
      </c>
      <c r="C208" s="87">
        <v>22</v>
      </c>
      <c r="D208" s="87">
        <v>22</v>
      </c>
      <c r="E208" s="87">
        <v>56</v>
      </c>
      <c r="F208" s="88">
        <v>13</v>
      </c>
    </row>
    <row r="209" spans="1:6">
      <c r="A209" s="108" t="s">
        <v>16710</v>
      </c>
      <c r="B209" s="86">
        <v>100</v>
      </c>
      <c r="C209" s="87">
        <v>27</v>
      </c>
      <c r="D209" s="87">
        <v>26</v>
      </c>
      <c r="E209" s="87">
        <v>56</v>
      </c>
      <c r="F209" s="88">
        <v>19</v>
      </c>
    </row>
    <row r="210" spans="1:6">
      <c r="A210" s="108" t="s">
        <v>16709</v>
      </c>
      <c r="B210" s="86">
        <v>76</v>
      </c>
      <c r="C210" s="87">
        <v>21</v>
      </c>
      <c r="D210" s="87">
        <v>19</v>
      </c>
      <c r="E210" s="87">
        <v>51</v>
      </c>
      <c r="F210" s="88">
        <v>10</v>
      </c>
    </row>
    <row r="211" spans="1:6">
      <c r="A211" s="108" t="s">
        <v>16703</v>
      </c>
      <c r="B211" s="86">
        <v>56</v>
      </c>
      <c r="C211" s="87">
        <v>84</v>
      </c>
      <c r="D211" s="87">
        <v>29</v>
      </c>
      <c r="E211" s="87">
        <v>44</v>
      </c>
      <c r="F211" s="88">
        <v>12</v>
      </c>
    </row>
    <row r="212" spans="1:6">
      <c r="A212" s="31">
        <v>2025</v>
      </c>
      <c r="B212" s="86">
        <v>699</v>
      </c>
      <c r="C212" s="87">
        <v>204</v>
      </c>
      <c r="D212" s="87">
        <v>276</v>
      </c>
      <c r="E212" s="87">
        <v>627</v>
      </c>
      <c r="F212" s="88">
        <v>189</v>
      </c>
    </row>
    <row r="213" spans="1:6">
      <c r="A213" s="108" t="s">
        <v>16705</v>
      </c>
      <c r="B213" s="86">
        <v>76</v>
      </c>
      <c r="C213" s="87">
        <v>16</v>
      </c>
      <c r="D213" s="87">
        <v>16</v>
      </c>
      <c r="E213" s="87">
        <v>51</v>
      </c>
      <c r="F213" s="88">
        <v>14</v>
      </c>
    </row>
    <row r="214" spans="1:6">
      <c r="A214" s="108" t="s">
        <v>16704</v>
      </c>
      <c r="B214" s="86">
        <v>80</v>
      </c>
      <c r="C214" s="87">
        <v>19</v>
      </c>
      <c r="D214" s="87">
        <v>23</v>
      </c>
      <c r="E214" s="87">
        <v>71</v>
      </c>
      <c r="F214" s="88">
        <v>8</v>
      </c>
    </row>
    <row r="215" spans="1:6">
      <c r="A215" s="108" t="s">
        <v>16707</v>
      </c>
      <c r="B215" s="86">
        <v>93</v>
      </c>
      <c r="C215" s="87">
        <v>15</v>
      </c>
      <c r="D215" s="87">
        <v>25</v>
      </c>
      <c r="E215" s="87">
        <v>68</v>
      </c>
      <c r="F215" s="88">
        <v>13</v>
      </c>
    </row>
    <row r="216" spans="1:6">
      <c r="A216" s="108" t="s">
        <v>16701</v>
      </c>
      <c r="B216" s="86">
        <v>68</v>
      </c>
      <c r="C216" s="87">
        <v>24</v>
      </c>
      <c r="D216" s="87">
        <v>27</v>
      </c>
      <c r="E216" s="87">
        <v>62</v>
      </c>
      <c r="F216" s="88">
        <v>17</v>
      </c>
    </row>
    <row r="217" spans="1:6">
      <c r="A217" s="108" t="s">
        <v>16708</v>
      </c>
      <c r="B217" s="86">
        <v>61</v>
      </c>
      <c r="C217" s="87">
        <v>25</v>
      </c>
      <c r="D217" s="87">
        <v>23</v>
      </c>
      <c r="E217" s="87">
        <v>53</v>
      </c>
      <c r="F217" s="88">
        <v>17</v>
      </c>
    </row>
    <row r="218" spans="1:6">
      <c r="A218" s="108" t="s">
        <v>16712</v>
      </c>
      <c r="B218" s="86">
        <v>59</v>
      </c>
      <c r="C218" s="87">
        <v>26</v>
      </c>
      <c r="D218" s="87">
        <v>41</v>
      </c>
      <c r="E218" s="87">
        <v>56</v>
      </c>
      <c r="F218" s="88">
        <v>48</v>
      </c>
    </row>
    <row r="219" spans="1:6">
      <c r="A219" s="108" t="s">
        <v>16706</v>
      </c>
      <c r="B219" s="86">
        <v>57</v>
      </c>
      <c r="C219" s="87">
        <v>18</v>
      </c>
      <c r="D219" s="87">
        <v>42</v>
      </c>
      <c r="E219" s="87">
        <v>45</v>
      </c>
      <c r="F219" s="88">
        <v>37</v>
      </c>
    </row>
    <row r="220" spans="1:6">
      <c r="A220" s="108" t="s">
        <v>16702</v>
      </c>
      <c r="B220" s="86">
        <v>0</v>
      </c>
      <c r="C220" s="87">
        <v>1</v>
      </c>
      <c r="D220" s="87">
        <v>9</v>
      </c>
      <c r="E220" s="87">
        <v>50</v>
      </c>
      <c r="F220" s="88">
        <v>3</v>
      </c>
    </row>
    <row r="221" spans="1:6">
      <c r="A221" s="108" t="s">
        <v>16711</v>
      </c>
      <c r="B221" s="86">
        <v>74</v>
      </c>
      <c r="C221" s="87">
        <v>20</v>
      </c>
      <c r="D221" s="87">
        <v>28</v>
      </c>
      <c r="E221" s="87">
        <v>67</v>
      </c>
      <c r="F221" s="88">
        <v>12</v>
      </c>
    </row>
    <row r="222" spans="1:6">
      <c r="A222" s="108" t="s">
        <v>16710</v>
      </c>
      <c r="B222" s="86">
        <v>53</v>
      </c>
      <c r="C222" s="87">
        <v>15</v>
      </c>
      <c r="D222" s="87">
        <v>18</v>
      </c>
      <c r="E222" s="87">
        <v>39</v>
      </c>
      <c r="F222" s="88">
        <v>9</v>
      </c>
    </row>
    <row r="223" spans="1:6">
      <c r="A223" s="108" t="s">
        <v>16709</v>
      </c>
      <c r="B223" s="86">
        <v>40</v>
      </c>
      <c r="C223" s="87">
        <v>17</v>
      </c>
      <c r="D223" s="87">
        <v>15</v>
      </c>
      <c r="E223" s="87">
        <v>35</v>
      </c>
      <c r="F223" s="88">
        <v>5</v>
      </c>
    </row>
    <row r="224" spans="1:6">
      <c r="A224" s="108" t="s">
        <v>16703</v>
      </c>
      <c r="B224" s="86">
        <v>38</v>
      </c>
      <c r="C224" s="87">
        <v>8</v>
      </c>
      <c r="D224" s="87">
        <v>9</v>
      </c>
      <c r="E224" s="87">
        <v>30</v>
      </c>
      <c r="F224" s="88">
        <v>6</v>
      </c>
    </row>
    <row r="225" spans="1:6">
      <c r="A225" s="32" t="s">
        <v>227</v>
      </c>
      <c r="B225" s="89">
        <v>1466</v>
      </c>
      <c r="C225" s="90">
        <v>490</v>
      </c>
      <c r="D225" s="90">
        <v>549</v>
      </c>
      <c r="E225" s="90">
        <v>1219</v>
      </c>
      <c r="F225" s="91">
        <v>385</v>
      </c>
    </row>
    <row r="226" spans="1:6">
      <c r="D226"/>
    </row>
    <row r="227" spans="1:6">
      <c r="D227"/>
    </row>
    <row r="228" spans="1:6">
      <c r="D228"/>
    </row>
    <row r="229" spans="1:6">
      <c r="D229"/>
    </row>
    <row r="230" spans="1:6">
      <c r="D230"/>
    </row>
    <row r="231" spans="1:6">
      <c r="D231"/>
    </row>
    <row r="232" spans="1:6">
      <c r="A232" s="24" t="s">
        <v>226</v>
      </c>
      <c r="B232" s="25" t="s">
        <v>16727</v>
      </c>
      <c r="C232" s="26" t="s">
        <v>16728</v>
      </c>
      <c r="D232" s="26" t="s">
        <v>16729</v>
      </c>
      <c r="E232" s="26" t="s">
        <v>16730</v>
      </c>
      <c r="F232" s="27" t="s">
        <v>16731</v>
      </c>
    </row>
    <row r="233" spans="1:6">
      <c r="A233" s="30">
        <v>2024</v>
      </c>
      <c r="B233" s="83">
        <v>20311</v>
      </c>
      <c r="C233" s="84">
        <v>6050</v>
      </c>
      <c r="D233" s="84">
        <v>5491</v>
      </c>
      <c r="E233" s="84">
        <v>5310</v>
      </c>
      <c r="F233" s="85">
        <v>10999</v>
      </c>
    </row>
    <row r="234" spans="1:6">
      <c r="A234" s="108" t="s">
        <v>16705</v>
      </c>
      <c r="B234" s="86">
        <v>1236</v>
      </c>
      <c r="C234" s="87">
        <v>150</v>
      </c>
      <c r="D234" s="87">
        <v>77</v>
      </c>
      <c r="E234" s="87">
        <v>308</v>
      </c>
      <c r="F234" s="88">
        <v>259</v>
      </c>
    </row>
    <row r="235" spans="1:6">
      <c r="A235" s="108" t="s">
        <v>16704</v>
      </c>
      <c r="B235" s="86">
        <v>1082</v>
      </c>
      <c r="C235" s="87">
        <v>191</v>
      </c>
      <c r="D235" s="87">
        <v>111</v>
      </c>
      <c r="E235" s="87">
        <v>357</v>
      </c>
      <c r="F235" s="88">
        <v>220</v>
      </c>
    </row>
    <row r="236" spans="1:6">
      <c r="A236" s="108" t="s">
        <v>16707</v>
      </c>
      <c r="B236" s="86">
        <v>2633</v>
      </c>
      <c r="C236" s="87">
        <v>229</v>
      </c>
      <c r="D236" s="87">
        <v>264</v>
      </c>
      <c r="E236" s="87">
        <v>636</v>
      </c>
      <c r="F236" s="88">
        <v>277</v>
      </c>
    </row>
    <row r="237" spans="1:6">
      <c r="A237" s="108" t="s">
        <v>16701</v>
      </c>
      <c r="B237" s="86">
        <v>2000</v>
      </c>
      <c r="C237" s="87">
        <v>1162</v>
      </c>
      <c r="D237" s="87">
        <v>246</v>
      </c>
      <c r="E237" s="87">
        <v>567</v>
      </c>
      <c r="F237" s="88">
        <v>462</v>
      </c>
    </row>
    <row r="238" spans="1:6">
      <c r="A238" s="108" t="s">
        <v>16708</v>
      </c>
      <c r="B238" s="86">
        <v>1698</v>
      </c>
      <c r="C238" s="87">
        <v>345</v>
      </c>
      <c r="D238" s="87">
        <v>178</v>
      </c>
      <c r="E238" s="87">
        <v>529</v>
      </c>
      <c r="F238" s="88">
        <v>2653</v>
      </c>
    </row>
    <row r="239" spans="1:6">
      <c r="A239" s="108" t="s">
        <v>16712</v>
      </c>
      <c r="B239" s="86">
        <v>1667</v>
      </c>
      <c r="C239" s="87">
        <v>732</v>
      </c>
      <c r="D239" s="87">
        <v>363</v>
      </c>
      <c r="E239" s="87">
        <v>397</v>
      </c>
      <c r="F239" s="88">
        <v>2939</v>
      </c>
    </row>
    <row r="240" spans="1:6">
      <c r="A240" s="108" t="s">
        <v>16706</v>
      </c>
      <c r="B240" s="86">
        <v>1709</v>
      </c>
      <c r="C240" s="87">
        <v>557</v>
      </c>
      <c r="D240" s="87">
        <v>463</v>
      </c>
      <c r="E240" s="87">
        <v>407</v>
      </c>
      <c r="F240" s="88">
        <v>1939</v>
      </c>
    </row>
    <row r="241" spans="1:6">
      <c r="A241" s="108" t="s">
        <v>16702</v>
      </c>
      <c r="B241" s="86">
        <v>23</v>
      </c>
      <c r="C241" s="87">
        <v>15</v>
      </c>
      <c r="D241" s="87">
        <v>46</v>
      </c>
      <c r="E241" s="87">
        <v>302</v>
      </c>
      <c r="F241" s="88">
        <v>118</v>
      </c>
    </row>
    <row r="242" spans="1:6">
      <c r="A242" s="108" t="s">
        <v>16711</v>
      </c>
      <c r="B242" s="86">
        <v>2303</v>
      </c>
      <c r="C242" s="87">
        <v>1606</v>
      </c>
      <c r="D242" s="87">
        <v>223</v>
      </c>
      <c r="E242" s="87">
        <v>457</v>
      </c>
      <c r="F242" s="88">
        <v>948</v>
      </c>
    </row>
    <row r="243" spans="1:6">
      <c r="A243" s="108" t="s">
        <v>16710</v>
      </c>
      <c r="B243" s="86">
        <v>2293</v>
      </c>
      <c r="C243" s="87">
        <v>513</v>
      </c>
      <c r="D243" s="87">
        <v>243</v>
      </c>
      <c r="E243" s="87">
        <v>481</v>
      </c>
      <c r="F243" s="88">
        <v>595</v>
      </c>
    </row>
    <row r="244" spans="1:6">
      <c r="A244" s="108" t="s">
        <v>16709</v>
      </c>
      <c r="B244" s="86">
        <v>1959</v>
      </c>
      <c r="C244" s="87">
        <v>304</v>
      </c>
      <c r="D244" s="87">
        <v>1795</v>
      </c>
      <c r="E244" s="87">
        <v>522</v>
      </c>
      <c r="F244" s="88">
        <v>259</v>
      </c>
    </row>
    <row r="245" spans="1:6">
      <c r="A245" s="108" t="s">
        <v>16703</v>
      </c>
      <c r="B245" s="86">
        <v>1708</v>
      </c>
      <c r="C245" s="87">
        <v>246</v>
      </c>
      <c r="D245" s="87">
        <v>1482</v>
      </c>
      <c r="E245" s="87">
        <v>347</v>
      </c>
      <c r="F245" s="88">
        <v>330</v>
      </c>
    </row>
    <row r="246" spans="1:6">
      <c r="A246" s="31">
        <v>2025</v>
      </c>
      <c r="B246" s="86">
        <v>19785</v>
      </c>
      <c r="C246" s="87">
        <v>4615</v>
      </c>
      <c r="D246" s="87">
        <v>2947</v>
      </c>
      <c r="E246" s="87">
        <v>5097</v>
      </c>
      <c r="F246" s="88">
        <v>11529</v>
      </c>
    </row>
    <row r="247" spans="1:6">
      <c r="A247" s="108" t="s">
        <v>16705</v>
      </c>
      <c r="B247" s="86">
        <v>2149</v>
      </c>
      <c r="C247" s="87">
        <v>249</v>
      </c>
      <c r="D247" s="87">
        <v>124</v>
      </c>
      <c r="E247" s="87">
        <v>445</v>
      </c>
      <c r="F247" s="88">
        <v>623</v>
      </c>
    </row>
    <row r="248" spans="1:6">
      <c r="A248" s="108" t="s">
        <v>16704</v>
      </c>
      <c r="B248" s="86">
        <v>2022</v>
      </c>
      <c r="C248" s="87">
        <v>314</v>
      </c>
      <c r="D248" s="87">
        <v>242</v>
      </c>
      <c r="E248" s="87">
        <v>500</v>
      </c>
      <c r="F248" s="88">
        <v>271</v>
      </c>
    </row>
    <row r="249" spans="1:6">
      <c r="A249" s="108" t="s">
        <v>16707</v>
      </c>
      <c r="B249" s="86">
        <v>2633</v>
      </c>
      <c r="C249" s="87">
        <v>229</v>
      </c>
      <c r="D249" s="87">
        <v>264</v>
      </c>
      <c r="E249" s="87">
        <v>636</v>
      </c>
      <c r="F249" s="88">
        <v>277</v>
      </c>
    </row>
    <row r="250" spans="1:6">
      <c r="A250" s="108" t="s">
        <v>16701</v>
      </c>
      <c r="B250" s="86">
        <v>2000</v>
      </c>
      <c r="C250" s="87">
        <v>1162</v>
      </c>
      <c r="D250" s="87">
        <v>246</v>
      </c>
      <c r="E250" s="87">
        <v>567</v>
      </c>
      <c r="F250" s="88">
        <v>462</v>
      </c>
    </row>
    <row r="251" spans="1:6">
      <c r="A251" s="108" t="s">
        <v>16708</v>
      </c>
      <c r="B251" s="86">
        <v>1698</v>
      </c>
      <c r="C251" s="87">
        <v>345</v>
      </c>
      <c r="D251" s="87">
        <v>178</v>
      </c>
      <c r="E251" s="87">
        <v>529</v>
      </c>
      <c r="F251" s="88">
        <v>2653</v>
      </c>
    </row>
    <row r="252" spans="1:6">
      <c r="A252" s="108" t="s">
        <v>16712</v>
      </c>
      <c r="B252" s="86">
        <v>1729</v>
      </c>
      <c r="C252" s="87">
        <v>949</v>
      </c>
      <c r="D252" s="87">
        <v>467</v>
      </c>
      <c r="E252" s="87">
        <v>497</v>
      </c>
      <c r="F252" s="88">
        <v>3513</v>
      </c>
    </row>
    <row r="253" spans="1:6">
      <c r="A253" s="108" t="s">
        <v>16706</v>
      </c>
      <c r="B253" s="86">
        <v>1594</v>
      </c>
      <c r="C253" s="87">
        <v>506</v>
      </c>
      <c r="D253" s="87">
        <v>763</v>
      </c>
      <c r="E253" s="87">
        <v>398</v>
      </c>
      <c r="F253" s="88">
        <v>2563</v>
      </c>
    </row>
    <row r="254" spans="1:6">
      <c r="A254" s="108" t="s">
        <v>16702</v>
      </c>
      <c r="B254" s="86">
        <v>0</v>
      </c>
      <c r="C254" s="87">
        <v>11</v>
      </c>
      <c r="D254" s="87">
        <v>90</v>
      </c>
      <c r="E254" s="87">
        <v>391</v>
      </c>
      <c r="F254" s="88">
        <v>86</v>
      </c>
    </row>
    <row r="255" spans="1:6">
      <c r="A255" s="108" t="s">
        <v>16711</v>
      </c>
      <c r="B255" s="86">
        <v>2435</v>
      </c>
      <c r="C255" s="87">
        <v>336</v>
      </c>
      <c r="D255" s="87">
        <v>235</v>
      </c>
      <c r="E255" s="87">
        <v>343</v>
      </c>
      <c r="F255" s="88">
        <v>516</v>
      </c>
    </row>
    <row r="256" spans="1:6">
      <c r="A256" s="108" t="s">
        <v>16710</v>
      </c>
      <c r="B256" s="86">
        <v>1540</v>
      </c>
      <c r="C256" s="87">
        <v>172</v>
      </c>
      <c r="D256" s="87">
        <v>128</v>
      </c>
      <c r="E256" s="87">
        <v>309</v>
      </c>
      <c r="F256" s="88">
        <v>193</v>
      </c>
    </row>
    <row r="257" spans="1:6">
      <c r="A257" s="108" t="s">
        <v>16709</v>
      </c>
      <c r="B257" s="86">
        <v>1007</v>
      </c>
      <c r="C257" s="87">
        <v>194</v>
      </c>
      <c r="D257" s="87">
        <v>118</v>
      </c>
      <c r="E257" s="87">
        <v>268</v>
      </c>
      <c r="F257" s="88">
        <v>154</v>
      </c>
    </row>
    <row r="258" spans="1:6">
      <c r="A258" s="108" t="s">
        <v>16703</v>
      </c>
      <c r="B258" s="86">
        <v>978</v>
      </c>
      <c r="C258" s="87">
        <v>148</v>
      </c>
      <c r="D258" s="87">
        <v>92</v>
      </c>
      <c r="E258" s="87">
        <v>214</v>
      </c>
      <c r="F258" s="88">
        <v>218</v>
      </c>
    </row>
    <row r="259" spans="1:6">
      <c r="A259" s="32" t="s">
        <v>227</v>
      </c>
      <c r="B259" s="89">
        <v>40096</v>
      </c>
      <c r="C259" s="90">
        <v>10665</v>
      </c>
      <c r="D259" s="90">
        <v>8438</v>
      </c>
      <c r="E259" s="90">
        <v>10407</v>
      </c>
      <c r="F259" s="91">
        <v>22528</v>
      </c>
    </row>
    <row r="260" spans="1:6">
      <c r="D260"/>
    </row>
    <row r="261" spans="1:6">
      <c r="D261"/>
    </row>
    <row r="262" spans="1:6">
      <c r="D262"/>
    </row>
    <row r="263" spans="1:6">
      <c r="D263"/>
    </row>
    <row r="264" spans="1:6">
      <c r="D264"/>
    </row>
    <row r="265" spans="1:6">
      <c r="D265"/>
    </row>
    <row r="266" spans="1:6">
      <c r="D266"/>
    </row>
    <row r="267" spans="1:6">
      <c r="D267"/>
    </row>
    <row r="268" spans="1:6">
      <c r="D268"/>
    </row>
    <row r="269" spans="1:6">
      <c r="D269"/>
    </row>
    <row r="270" spans="1:6">
      <c r="D270"/>
    </row>
    <row r="271" spans="1:6">
      <c r="D271"/>
    </row>
    <row r="272" spans="1:6">
      <c r="D272"/>
    </row>
    <row r="273" spans="4:4">
      <c r="D273"/>
    </row>
    <row r="274" spans="4:4">
      <c r="D274"/>
    </row>
    <row r="275" spans="4:4">
      <c r="D275"/>
    </row>
    <row r="276" spans="4:4">
      <c r="D276"/>
    </row>
    <row r="277" spans="4:4">
      <c r="D277"/>
    </row>
    <row r="278" spans="4:4">
      <c r="D278"/>
    </row>
    <row r="279" spans="4:4">
      <c r="D279"/>
    </row>
    <row r="280" spans="4:4">
      <c r="D280"/>
    </row>
    <row r="281" spans="4:4">
      <c r="D281"/>
    </row>
    <row r="282" spans="4:4">
      <c r="D282"/>
    </row>
    <row r="283" spans="4:4">
      <c r="D283"/>
    </row>
    <row r="284" spans="4:4">
      <c r="D284"/>
    </row>
    <row r="285" spans="4:4">
      <c r="D285"/>
    </row>
    <row r="286" spans="4:4">
      <c r="D286"/>
    </row>
    <row r="287" spans="4:4">
      <c r="D287"/>
    </row>
    <row r="288" spans="4:4">
      <c r="D288"/>
    </row>
    <row r="289" spans="4:4">
      <c r="D289"/>
    </row>
    <row r="290" spans="4:4">
      <c r="D290"/>
    </row>
    <row r="291" spans="4:4">
      <c r="D291"/>
    </row>
    <row r="292" spans="4:4">
      <c r="D292"/>
    </row>
    <row r="293" spans="4:4">
      <c r="D293"/>
    </row>
    <row r="294" spans="4:4">
      <c r="D294"/>
    </row>
    <row r="295" spans="4:4">
      <c r="D295"/>
    </row>
    <row r="296" spans="4:4">
      <c r="D296"/>
    </row>
    <row r="297" spans="4:4">
      <c r="D297"/>
    </row>
    <row r="298" spans="4:4">
      <c r="D298"/>
    </row>
    <row r="299" spans="4:4">
      <c r="D299"/>
    </row>
    <row r="300" spans="4:4">
      <c r="D300"/>
    </row>
    <row r="301" spans="4:4">
      <c r="D301"/>
    </row>
    <row r="302" spans="4:4">
      <c r="D302"/>
    </row>
    <row r="303" spans="4:4">
      <c r="D303"/>
    </row>
    <row r="304" spans="4:4">
      <c r="D304"/>
    </row>
    <row r="305" spans="4:4">
      <c r="D305"/>
    </row>
    <row r="306" spans="4:4">
      <c r="D306"/>
    </row>
    <row r="307" spans="4:4">
      <c r="D307"/>
    </row>
    <row r="308" spans="4:4">
      <c r="D308"/>
    </row>
    <row r="309" spans="4:4">
      <c r="D309"/>
    </row>
    <row r="310" spans="4:4">
      <c r="D310"/>
    </row>
    <row r="311" spans="4:4">
      <c r="D311"/>
    </row>
    <row r="312" spans="4:4">
      <c r="D312"/>
    </row>
    <row r="313" spans="4:4">
      <c r="D313"/>
    </row>
    <row r="314" spans="4:4">
      <c r="D314"/>
    </row>
    <row r="315" spans="4:4">
      <c r="D315"/>
    </row>
    <row r="316" spans="4:4">
      <c r="D316"/>
    </row>
    <row r="317" spans="4:4">
      <c r="D317"/>
    </row>
    <row r="318" spans="4:4">
      <c r="D318"/>
    </row>
    <row r="319" spans="4:4">
      <c r="D319"/>
    </row>
    <row r="320" spans="4:4">
      <c r="D320"/>
    </row>
    <row r="321" spans="4:4">
      <c r="D321"/>
    </row>
    <row r="322" spans="4:4">
      <c r="D322"/>
    </row>
    <row r="323" spans="4:4">
      <c r="D323"/>
    </row>
    <row r="324" spans="4:4">
      <c r="D324"/>
    </row>
    <row r="325" spans="4:4">
      <c r="D325"/>
    </row>
    <row r="326" spans="4:4">
      <c r="D326"/>
    </row>
    <row r="327" spans="4:4">
      <c r="D327"/>
    </row>
    <row r="328" spans="4:4">
      <c r="D328"/>
    </row>
    <row r="329" spans="4:4">
      <c r="D329"/>
    </row>
    <row r="330" spans="4:4">
      <c r="D330"/>
    </row>
    <row r="331" spans="4:4">
      <c r="D331"/>
    </row>
    <row r="332" spans="4:4">
      <c r="D332"/>
    </row>
    <row r="333" spans="4:4">
      <c r="D333"/>
    </row>
    <row r="334" spans="4:4">
      <c r="D334"/>
    </row>
    <row r="335" spans="4:4">
      <c r="D335"/>
    </row>
    <row r="336" spans="4:4">
      <c r="D336"/>
    </row>
    <row r="337" spans="4:4">
      <c r="D337"/>
    </row>
    <row r="338" spans="4:4">
      <c r="D338"/>
    </row>
    <row r="339" spans="4:4">
      <c r="D339"/>
    </row>
    <row r="340" spans="4:4">
      <c r="D340"/>
    </row>
    <row r="341" spans="4:4">
      <c r="D341"/>
    </row>
    <row r="342" spans="4:4">
      <c r="D342"/>
    </row>
    <row r="343" spans="4:4">
      <c r="D343"/>
    </row>
    <row r="344" spans="4:4">
      <c r="D344"/>
    </row>
    <row r="345" spans="4:4">
      <c r="D345"/>
    </row>
    <row r="346" spans="4:4">
      <c r="D346"/>
    </row>
    <row r="347" spans="4:4">
      <c r="D347"/>
    </row>
    <row r="348" spans="4:4">
      <c r="D348"/>
    </row>
    <row r="349" spans="4:4">
      <c r="D349"/>
    </row>
    <row r="350" spans="4:4">
      <c r="D350"/>
    </row>
    <row r="351" spans="4:4">
      <c r="D351"/>
    </row>
    <row r="352" spans="4:4">
      <c r="D352"/>
    </row>
    <row r="353" spans="4:4">
      <c r="D353"/>
    </row>
    <row r="354" spans="4:4">
      <c r="D354"/>
    </row>
  </sheetData>
  <pageMargins left="0.7" right="0.7" top="0.75" bottom="0.75" header="0.3" footer="0.3"/>
  <pageSetup orientation="portrait" r:id="rId9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Notes</vt:lpstr>
      <vt:lpstr>Dash Board</vt:lpstr>
      <vt:lpstr>Other 2025 Stats</vt:lpstr>
      <vt:lpstr>Asynch</vt:lpstr>
      <vt:lpstr>Circ Door Cnt Cards</vt:lpstr>
      <vt:lpstr>Circ Data Test</vt:lpstr>
      <vt:lpstr>ICLs</vt:lpstr>
      <vt:lpstr>eResources Use</vt:lpstr>
      <vt:lpstr>Programs Month</vt:lpstr>
      <vt:lpstr>Prog Annual</vt:lpstr>
      <vt:lpstr>Online use</vt:lpstr>
      <vt:lpstr>Outreach etc</vt:lpstr>
      <vt:lpstr>Social</vt:lpstr>
      <vt:lpstr>Tech Use</vt:lpstr>
      <vt:lpstr>Hotspots</vt:lpstr>
      <vt:lpstr>Training</vt:lpstr>
      <vt:lpstr>Branch Stats</vt:lpstr>
      <vt:lpstr>eResources</vt:lpstr>
      <vt:lpstr>Online Stats</vt:lpstr>
      <vt:lpstr>Qrtly Ref Stats</vt:lpstr>
      <vt:lpstr>Lamar</vt:lpstr>
      <vt:lpstr>Lamar2</vt:lpstr>
      <vt:lpstr>Lamar 3</vt:lpstr>
      <vt:lpstr>OnlineStatsData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House</dc:creator>
  <cp:lastModifiedBy>Martin House</cp:lastModifiedBy>
  <cp:lastPrinted>2025-11-06T16:40:24Z</cp:lastPrinted>
  <dcterms:created xsi:type="dcterms:W3CDTF">2025-09-10T13:31:41Z</dcterms:created>
  <dcterms:modified xsi:type="dcterms:W3CDTF">2026-04-24T18:17:04Z</dcterms:modified>
</cp:coreProperties>
</file>