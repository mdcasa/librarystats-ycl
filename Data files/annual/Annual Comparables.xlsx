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2.xml" ContentType="application/vnd.openxmlformats-officedocument.drawing+xml"/>
  <Override PartName="/xl/tables/table12.xml" ContentType="application/vnd.openxmlformats-officedocument.spreadsheetml.table+xml"/>
  <Override PartName="/xl/drawings/drawing3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Statistics\ANNUAL STATE STATISTICS\"/>
    </mc:Choice>
  </mc:AlternateContent>
  <xr:revisionPtr revIDLastSave="0" documentId="13_ncr:1_{4A06A19C-629A-4126-A080-4085782F97CC}" xr6:coauthVersionLast="36" xr6:coauthVersionMax="36" xr10:uidLastSave="{00000000-0000-0000-0000-000000000000}"/>
  <bookViews>
    <workbookView xWindow="0" yWindow="0" windowWidth="28800" windowHeight="11535" tabRatio="690" activeTab="1" xr2:uid="{00000000-000D-0000-FFFF-FFFF00000000}"/>
  </bookViews>
  <sheets>
    <sheet name="OPERATIONS" sheetId="4" r:id="rId1"/>
    <sheet name="STAFFING" sheetId="5" r:id="rId2"/>
    <sheet name="REVENUE" sheetId="3" r:id="rId3"/>
    <sheet name="EXPENSES STAFF" sheetId="6" r:id="rId4"/>
    <sheet name="EXPENSES COLLECTION" sheetId="7" r:id="rId5"/>
    <sheet name="EXPENSES OPERATIONS" sheetId="8" r:id="rId6"/>
    <sheet name="EXPENSES CAPITAL" sheetId="9" r:id="rId7"/>
    <sheet name="EXPENSES TOTAL" sheetId="10" r:id="rId8"/>
    <sheet name="COLLECTION SIZE" sheetId="11" r:id="rId9"/>
    <sheet name="USERS GATE COUNT" sheetId="12" r:id="rId10"/>
    <sheet name="TECH USE" sheetId="13" r:id="rId11"/>
    <sheet name="REF MTG RM" sheetId="14" r:id="rId12"/>
    <sheet name="CIRC" sheetId="15" r:id="rId13"/>
    <sheet name="ILL" sheetId="16" r:id="rId14"/>
    <sheet name="PROGRAMMING" sheetId="2" r:id="rId15"/>
    <sheet name="OUTREACH" sheetId="17" r:id="rId16"/>
  </sheets>
  <calcPr calcId="191029"/>
</workbook>
</file>

<file path=xl/calcChain.xml><?xml version="1.0" encoding="utf-8"?>
<calcChain xmlns="http://schemas.openxmlformats.org/spreadsheetml/2006/main">
  <c r="R3" i="15" l="1"/>
  <c r="R4" i="15"/>
  <c r="R5" i="15"/>
  <c r="R6" i="15"/>
  <c r="R7" i="15"/>
  <c r="R8" i="15"/>
  <c r="R9" i="15"/>
  <c r="R10" i="15"/>
  <c r="R11" i="15"/>
  <c r="R12" i="15"/>
  <c r="R2" i="15"/>
  <c r="T13" i="11" l="1"/>
  <c r="T14" i="11"/>
  <c r="T12" i="11"/>
  <c r="N7" i="11"/>
  <c r="N8" i="11"/>
  <c r="N9" i="11"/>
  <c r="N10" i="11"/>
  <c r="N11" i="11"/>
  <c r="N12" i="11"/>
  <c r="N13" i="11"/>
  <c r="N14" i="11"/>
  <c r="N6" i="11"/>
</calcChain>
</file>

<file path=xl/sharedStrings.xml><?xml version="1.0" encoding="utf-8"?>
<sst xmlns="http://schemas.openxmlformats.org/spreadsheetml/2006/main" count="183" uniqueCount="140">
  <si>
    <t>REPORT YEAR</t>
  </si>
  <si>
    <t>Total Systemwide Annual Weekend / Evening Hours</t>
  </si>
  <si>
    <t>Total Systemwide Annual Hours</t>
  </si>
  <si>
    <t>Number of Library Trustees</t>
  </si>
  <si>
    <t>Regular Board Meetings</t>
  </si>
  <si>
    <t>Does the library have a FOL group?</t>
  </si>
  <si>
    <t>Number of FOL groups</t>
  </si>
  <si>
    <t>Friends Members all groups</t>
  </si>
  <si>
    <t>MLIS Librarian Positions: Full Time</t>
  </si>
  <si>
    <t>MLIS Librarian Positions: Part time</t>
  </si>
  <si>
    <t>Librarian positions: MLIS FTE</t>
  </si>
  <si>
    <t>Full Time Funded Other Librarian Positions</t>
  </si>
  <si>
    <t>Part Time Funded Other Librarian Positions</t>
  </si>
  <si>
    <t>FTE Other Librarians</t>
  </si>
  <si>
    <t>Librarian positions:  BA/BS Full time</t>
  </si>
  <si>
    <t>Librarian positions:  BA/BS Part time</t>
  </si>
  <si>
    <t>Librarian positions: BA/BS FTE</t>
  </si>
  <si>
    <t>Librarian positions: Less than BA/BS Full time</t>
  </si>
  <si>
    <t>Librarian positions: Less than BA/BS Part time</t>
  </si>
  <si>
    <t>Librarian positions: Less than BA/BS FTE</t>
  </si>
  <si>
    <t>Total Librarians</t>
  </si>
  <si>
    <t>All other Full time funded positions</t>
  </si>
  <si>
    <t>All other Part time funded positions</t>
  </si>
  <si>
    <t>All other staff FTE</t>
  </si>
  <si>
    <t>Full time positions: Total</t>
  </si>
  <si>
    <t>Part time positions: Total</t>
  </si>
  <si>
    <t>Grand total library staff FTE</t>
  </si>
  <si>
    <t>New librarian gross annual salary</t>
  </si>
  <si>
    <t>Millage assessed</t>
  </si>
  <si>
    <t>County operating revenue</t>
  </si>
  <si>
    <t>County capital revenue</t>
  </si>
  <si>
    <t>Total local operating revenue</t>
  </si>
  <si>
    <t>Total local capital revenue</t>
  </si>
  <si>
    <t>State Aid operating revenue</t>
  </si>
  <si>
    <t>Total State Aid revenue</t>
  </si>
  <si>
    <t>Lottery operating revenue</t>
  </si>
  <si>
    <t>Total state operating revenue</t>
  </si>
  <si>
    <t>Federal / LSTA operating revenue</t>
  </si>
  <si>
    <t>Other federal operating revenue</t>
  </si>
  <si>
    <t>Total federal operating revenue</t>
  </si>
  <si>
    <t>Total federal capital revenue</t>
  </si>
  <si>
    <t>Other operating revenue</t>
  </si>
  <si>
    <t>Other capital revenue</t>
  </si>
  <si>
    <t>Total operating revenue</t>
  </si>
  <si>
    <t>Subtotal: Capital outlay</t>
  </si>
  <si>
    <t>Total capital outlay including other revenue</t>
  </si>
  <si>
    <t>Grand total operating + capital revenue</t>
  </si>
  <si>
    <t>Salary / Wages</t>
  </si>
  <si>
    <t>Employee benefits</t>
  </si>
  <si>
    <t>Total staff expenditures</t>
  </si>
  <si>
    <t>Expenditures: Print materials</t>
  </si>
  <si>
    <t>Expenditures: Electronic materials</t>
  </si>
  <si>
    <t>Expenditures: AV materials</t>
  </si>
  <si>
    <t>Expenditures: Other materials</t>
  </si>
  <si>
    <t>Expenditures: Total Other Materials</t>
  </si>
  <si>
    <t>Expenditures: Total for collections</t>
  </si>
  <si>
    <t>Expenditures: Other operating - Furniture &amp; Equipment</t>
  </si>
  <si>
    <t>Expenditures: Other operating - Plant operations &amp; Maintenance</t>
  </si>
  <si>
    <t>Expenditures: All other operating</t>
  </si>
  <si>
    <t xml:space="preserve">Expenditures: Total other </t>
  </si>
  <si>
    <t>Expenditures: Total operating</t>
  </si>
  <si>
    <t>Expenditures: Capital building</t>
  </si>
  <si>
    <t>Expenditures: Capital - Bookmobile / Vehicle</t>
  </si>
  <si>
    <t>Expenditures: Capital - Furniture &amp; Equipment</t>
  </si>
  <si>
    <t>Expenditures: Capital - Other</t>
  </si>
  <si>
    <t>Expenditures: Capital - Total</t>
  </si>
  <si>
    <t>Expenditures: GRAND TOTAL Operating + Capital</t>
  </si>
  <si>
    <t xml:space="preserve">Collections: Number of print materials added </t>
  </si>
  <si>
    <t>Collections: Number of print materials removed (weeded)</t>
  </si>
  <si>
    <t>Collections: Total print materials held</t>
  </si>
  <si>
    <t>Collections: Print serials subscriptions (individual serial titles) added</t>
  </si>
  <si>
    <t>Collections: Print serials subscriptions (individual serial titles)  removed (weeded)</t>
  </si>
  <si>
    <t>Collections: Total print serials subscriptions (individual serial titles) held</t>
  </si>
  <si>
    <t>Collections: Audio materials (physical units), number added</t>
  </si>
  <si>
    <t>Collections: Audio materials (physical units) number removed (weeded)</t>
  </si>
  <si>
    <t>Collections: Audio materials (physical units), number held</t>
  </si>
  <si>
    <t>Collections: Video materials (physical units), number added</t>
  </si>
  <si>
    <t>Collections: Video materials (physical units) number removed (weeded)</t>
  </si>
  <si>
    <t>Collections: Video materials (physical units), number held</t>
  </si>
  <si>
    <t>Collection: Total Physical Items</t>
  </si>
  <si>
    <t>Downloadable audio units held</t>
  </si>
  <si>
    <t>Downloadable video units held</t>
  </si>
  <si>
    <t>Electronic books (E-books) held</t>
  </si>
  <si>
    <t>Downloadable periodical titles</t>
  </si>
  <si>
    <t>Total downloadable units available</t>
  </si>
  <si>
    <t>Electronic databases subscribed to by the library alone</t>
  </si>
  <si>
    <t>Electronic databases subscribed to as part of a consortium</t>
  </si>
  <si>
    <t>Total of Discus databases</t>
  </si>
  <si>
    <t>Total databases</t>
  </si>
  <si>
    <t>Registered users, Adult</t>
  </si>
  <si>
    <t>Registered users, Juvenile</t>
  </si>
  <si>
    <t>Total registered users</t>
  </si>
  <si>
    <t>Annual Library Visits (gate count)</t>
  </si>
  <si>
    <t>Population of the service area (2020 Census)</t>
  </si>
  <si>
    <t>Number of public internet computers</t>
  </si>
  <si>
    <t>Number of wireless sessions</t>
  </si>
  <si>
    <t>Number of website visits</t>
  </si>
  <si>
    <t>Number of times library facilities were used by external parties/groups for non-library functions (scheduled use only).</t>
  </si>
  <si>
    <t>Number of Reference Transactions</t>
  </si>
  <si>
    <t>Number of scheduled 1:1 sessions between library staff and patron(s).</t>
  </si>
  <si>
    <t>Circulation:  Juvenile print</t>
  </si>
  <si>
    <t>Circulation:  Juvenile non-print (A/V physical items)</t>
  </si>
  <si>
    <t>Circulation:  Juvenile total all physical items</t>
  </si>
  <si>
    <t>Circulation:  Adult print</t>
  </si>
  <si>
    <t>Circulation:  Adult non-print (A/V physical items)</t>
  </si>
  <si>
    <t>Circulation:  Adult total all physical items</t>
  </si>
  <si>
    <t>CIRCULATION OF OTHER PHYSICAL ITEMS (does NOT include print books, physical audiovisual items, or periodicals.</t>
  </si>
  <si>
    <t>Circulation: Books and other print materials, all ages</t>
  </si>
  <si>
    <t>Circulation: Non print (A/V physical items), all ages</t>
  </si>
  <si>
    <t>Usage of (Circulation) E-books</t>
  </si>
  <si>
    <t>Usage of (Circulation) Electronic Audio</t>
  </si>
  <si>
    <t>Usage of (Circulation) Electronic video</t>
  </si>
  <si>
    <t>Usage of (Circulation) Electronic Periodicals</t>
  </si>
  <si>
    <t>Successful Retrieval of Electronic Information</t>
  </si>
  <si>
    <t>SUBTOTAL:  Usage of electronic materials +  successful retrievals of electronic information</t>
  </si>
  <si>
    <t>GRAND TOTAL Collection Use</t>
  </si>
  <si>
    <t>Interlibrary loans provided to another library</t>
  </si>
  <si>
    <t>Interlibrary loans received from another library</t>
  </si>
  <si>
    <t>Synchronous Pgm Sessions Kids 0-5</t>
  </si>
  <si>
    <t>Synchronous Pgm Sessions Kids 6-11</t>
  </si>
  <si>
    <t>Total of all programs</t>
  </si>
  <si>
    <t>Children 0 to 11 programs attendance</t>
  </si>
  <si>
    <t>YA 12-18 programs attendance</t>
  </si>
  <si>
    <t>Adult programs attendance</t>
  </si>
  <si>
    <t>Total Attendance all programs and all ages</t>
  </si>
  <si>
    <t>Number of staff trained</t>
  </si>
  <si>
    <t>Number of hours of training attended by staff</t>
  </si>
  <si>
    <t xml:space="preserve">Number of items distributed as take-and-makes, activity kits, or other items intended for use outside the library. </t>
  </si>
  <si>
    <t>Yes</t>
  </si>
  <si>
    <t>N/A</t>
  </si>
  <si>
    <t>Total Programs 0-11</t>
  </si>
  <si>
    <t>Total YA Programs for ages 12-18</t>
  </si>
  <si>
    <t>Total Adult Programs for 18+</t>
  </si>
  <si>
    <t>Total Gen Audience</t>
  </si>
  <si>
    <t>Total General</t>
  </si>
  <si>
    <t>Column1</t>
  </si>
  <si>
    <t>DATA NOT COLLECTED</t>
  </si>
  <si>
    <t>TOTAL CIRC ELECTRONIC</t>
  </si>
  <si>
    <t>TOTAL CIRC ALL PHYSICAL</t>
  </si>
  <si>
    <t>GRAND TOTAL ALL CIRC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</si>
</sst>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0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6" fontId="0" fillId="0" borderId="0" xfId="0" applyNumberFormat="1" applyAlignment="1">
      <alignment wrapText="1"/>
    </xf>
    <xf numFmtId="8" fontId="0" fillId="0" borderId="0" xfId="0" applyNumberFormat="1" applyAlignment="1">
      <alignment wrapText="1"/>
    </xf>
    <xf numFmtId="0" fontId="13" fillId="33" borderId="10" xfId="0" applyFont="1" applyFill="1" applyBorder="1" applyAlignment="1">
      <alignment wrapText="1"/>
    </xf>
    <xf numFmtId="0" fontId="13" fillId="33" borderId="11" xfId="0" applyFont="1" applyFill="1" applyBorder="1" applyAlignment="1">
      <alignment wrapText="1"/>
    </xf>
    <xf numFmtId="0" fontId="0" fillId="0" borderId="10" xfId="0" applyFont="1" applyBorder="1" applyAlignment="1">
      <alignment wrapText="1"/>
    </xf>
    <xf numFmtId="3" fontId="0" fillId="0" borderId="11" xfId="0" applyNumberFormat="1" applyFont="1" applyBorder="1" applyAlignment="1">
      <alignment wrapText="1"/>
    </xf>
    <xf numFmtId="0" fontId="0" fillId="0" borderId="11" xfId="0" applyFont="1" applyBorder="1" applyAlignment="1">
      <alignment wrapText="1"/>
    </xf>
    <xf numFmtId="0" fontId="0" fillId="0" borderId="12" xfId="0" applyFont="1" applyBorder="1" applyAlignment="1">
      <alignment wrapText="1"/>
    </xf>
    <xf numFmtId="3" fontId="0" fillId="0" borderId="13" xfId="0" applyNumberFormat="1" applyFont="1" applyBorder="1" applyAlignment="1">
      <alignment wrapText="1"/>
    </xf>
    <xf numFmtId="0" fontId="0" fillId="0" borderId="13" xfId="0" applyFont="1" applyBorder="1" applyAlignment="1">
      <alignment wrapText="1"/>
    </xf>
    <xf numFmtId="6" fontId="0" fillId="0" borderId="11" xfId="0" applyNumberFormat="1" applyFont="1" applyBorder="1" applyAlignment="1">
      <alignment wrapText="1"/>
    </xf>
    <xf numFmtId="8" fontId="0" fillId="0" borderId="11" xfId="0" applyNumberFormat="1" applyFont="1" applyBorder="1" applyAlignment="1">
      <alignment wrapText="1"/>
    </xf>
    <xf numFmtId="164" fontId="0" fillId="0" borderId="0" xfId="1" applyNumberFormat="1" applyFont="1" applyAlignment="1">
      <alignment wrapText="1"/>
    </xf>
    <xf numFmtId="164" fontId="0" fillId="0" borderId="13" xfId="1" applyNumberFormat="1" applyFont="1" applyBorder="1" applyAlignment="1">
      <alignment wrapText="1"/>
    </xf>
    <xf numFmtId="164" fontId="0" fillId="0" borderId="11" xfId="1" applyNumberFormat="1" applyFont="1" applyBorder="1" applyAlignment="1">
      <alignment wrapText="1"/>
    </xf>
    <xf numFmtId="0" fontId="13" fillId="33" borderId="0" xfId="0" applyFont="1" applyFill="1" applyBorder="1" applyAlignment="1">
      <alignment wrapText="1"/>
    </xf>
    <xf numFmtId="6" fontId="0" fillId="0" borderId="0" xfId="0" applyNumberFormat="1" applyFont="1" applyBorder="1" applyAlignment="1">
      <alignment wrapText="1"/>
    </xf>
    <xf numFmtId="8" fontId="0" fillId="0" borderId="0" xfId="0" applyNumberFormat="1" applyFont="1" applyBorder="1" applyAlignment="1">
      <alignment wrapText="1"/>
    </xf>
    <xf numFmtId="0" fontId="13" fillId="33" borderId="0" xfId="0" applyFont="1" applyFill="1" applyAlignment="1">
      <alignment wrapText="1"/>
    </xf>
    <xf numFmtId="43" fontId="0" fillId="0" borderId="11" xfId="1" applyFont="1" applyBorder="1" applyAlignment="1">
      <alignment wrapText="1"/>
    </xf>
    <xf numFmtId="3" fontId="0" fillId="0" borderId="11" xfId="1" applyNumberFormat="1" applyFont="1" applyBorder="1" applyAlignment="1">
      <alignment wrapText="1"/>
    </xf>
    <xf numFmtId="0" fontId="13" fillId="7" borderId="7" xfId="14"/>
    <xf numFmtId="0" fontId="6" fillId="2" borderId="11" xfId="7" applyBorder="1" applyAlignment="1">
      <alignment wrapText="1"/>
    </xf>
    <xf numFmtId="164" fontId="6" fillId="2" borderId="11" xfId="7" applyNumberFormat="1" applyBorder="1" applyAlignment="1">
      <alignment wrapText="1"/>
    </xf>
    <xf numFmtId="164" fontId="6" fillId="2" borderId="13" xfId="7" applyNumberFormat="1" applyBorder="1" applyAlignment="1">
      <alignment wrapText="1"/>
    </xf>
    <xf numFmtId="0" fontId="6" fillId="2" borderId="0" xfId="7"/>
    <xf numFmtId="0" fontId="17" fillId="13" borderId="11" xfId="23" applyBorder="1" applyAlignment="1">
      <alignment wrapText="1"/>
    </xf>
    <xf numFmtId="164" fontId="17" fillId="13" borderId="11" xfId="23" applyNumberFormat="1" applyBorder="1" applyAlignment="1">
      <alignment wrapText="1"/>
    </xf>
    <xf numFmtId="164" fontId="17" fillId="13" borderId="13" xfId="23" applyNumberFormat="1" applyBorder="1" applyAlignment="1">
      <alignment wrapText="1"/>
    </xf>
    <xf numFmtId="0" fontId="17" fillId="13" borderId="0" xfId="23"/>
    <xf numFmtId="0" fontId="17" fillId="25" borderId="11" xfId="35" applyBorder="1" applyAlignment="1">
      <alignment wrapText="1"/>
    </xf>
    <xf numFmtId="164" fontId="17" fillId="25" borderId="11" xfId="35" applyNumberFormat="1" applyBorder="1" applyAlignment="1">
      <alignment wrapText="1"/>
    </xf>
    <xf numFmtId="164" fontId="17" fillId="25" borderId="13" xfId="35" applyNumberFormat="1" applyBorder="1" applyAlignment="1">
      <alignment wrapText="1"/>
    </xf>
    <xf numFmtId="0" fontId="17" fillId="25" borderId="0" xfId="35"/>
    <xf numFmtId="0" fontId="17" fillId="29" borderId="11" xfId="39" applyBorder="1" applyAlignment="1">
      <alignment wrapText="1"/>
    </xf>
    <xf numFmtId="43" fontId="17" fillId="29" borderId="11" xfId="39" applyNumberFormat="1" applyBorder="1" applyAlignment="1">
      <alignment wrapText="1"/>
    </xf>
    <xf numFmtId="3" fontId="17" fillId="29" borderId="11" xfId="39" applyNumberFormat="1" applyBorder="1" applyAlignment="1">
      <alignment wrapText="1"/>
    </xf>
    <xf numFmtId="0" fontId="17" fillId="29" borderId="0" xfId="39"/>
    <xf numFmtId="164" fontId="1" fillId="23" borderId="11" xfId="33" applyNumberFormat="1" applyBorder="1" applyAlignment="1">
      <alignment wrapText="1"/>
    </xf>
    <xf numFmtId="164" fontId="1" fillId="23" borderId="13" xfId="33" applyNumberFormat="1" applyBorder="1" applyAlignment="1">
      <alignment wrapText="1"/>
    </xf>
    <xf numFmtId="0" fontId="1" fillId="23" borderId="0" xfId="33"/>
    <xf numFmtId="0" fontId="18" fillId="23" borderId="11" xfId="33" applyFont="1" applyBorder="1" applyAlignment="1">
      <alignment horizontal="center" wrapText="1"/>
    </xf>
    <xf numFmtId="3" fontId="6" fillId="2" borderId="11" xfId="7" applyNumberFormat="1" applyBorder="1" applyAlignment="1">
      <alignment wrapText="1"/>
    </xf>
    <xf numFmtId="0" fontId="6" fillId="2" borderId="13" xfId="7" applyBorder="1" applyAlignment="1">
      <alignment wrapText="1"/>
    </xf>
    <xf numFmtId="0" fontId="13" fillId="7" borderId="7" xfId="14" applyAlignment="1">
      <alignment wrapText="1"/>
    </xf>
    <xf numFmtId="3" fontId="13" fillId="7" borderId="7" xfId="14" applyNumberFormat="1" applyAlignment="1">
      <alignment wrapText="1"/>
    </xf>
    <xf numFmtId="3" fontId="17" fillId="25" borderId="11" xfId="35" applyNumberFormat="1" applyBorder="1" applyAlignment="1">
      <alignment wrapText="1"/>
    </xf>
    <xf numFmtId="0" fontId="17" fillId="25" borderId="13" xfId="35" applyBorder="1" applyAlignment="1">
      <alignment wrapText="1"/>
    </xf>
    <xf numFmtId="0" fontId="7" fillId="3" borderId="11" xfId="8" applyBorder="1" applyAlignment="1">
      <alignment wrapText="1"/>
    </xf>
    <xf numFmtId="3" fontId="7" fillId="3" borderId="11" xfId="8" applyNumberFormat="1" applyBorder="1" applyAlignment="1">
      <alignment wrapText="1"/>
    </xf>
    <xf numFmtId="0" fontId="6" fillId="2" borderId="0" xfId="7" applyAlignment="1">
      <alignment wrapText="1"/>
    </xf>
    <xf numFmtId="164" fontId="6" fillId="2" borderId="0" xfId="7" applyNumberFormat="1" applyAlignment="1">
      <alignment wrapText="1"/>
    </xf>
    <xf numFmtId="164" fontId="13" fillId="7" borderId="7" xfId="14" applyNumberFormat="1" applyAlignment="1">
      <alignment wrapText="1"/>
    </xf>
    <xf numFmtId="0" fontId="17" fillId="25" borderId="0" xfId="35" applyAlignment="1">
      <alignment wrapText="1"/>
    </xf>
    <xf numFmtId="164" fontId="17" fillId="25" borderId="0" xfId="35" applyNumberFormat="1" applyAlignment="1">
      <alignment wrapText="1"/>
    </xf>
    <xf numFmtId="0" fontId="7" fillId="3" borderId="0" xfId="8" applyAlignment="1">
      <alignment wrapText="1"/>
    </xf>
    <xf numFmtId="164" fontId="7" fillId="3" borderId="0" xfId="8" applyNumberFormat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41">
    <dxf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_(* #,##0_);_(* \(#,##0\);_(* &quot;-&quot;??_);_(@_)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</border>
    </dxf>
    <dxf>
      <numFmt numFmtId="164" formatCode="_(* #,##0_);_(* \(#,##0\);_(* &quot;-&quot;??_);_(@_)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164" formatCode="_(* #,##0_);_(* \(#,##0\);_(* &quot;-&quot;??_);_(@_)"/>
      <alignment horizontal="general" vertical="bottom" textRotation="0" wrapText="1" indent="0" justifyLastLine="0" shrinkToFit="0" readingOrder="0"/>
    </dxf>
    <dxf>
      <numFmt numFmtId="164" formatCode="_(* #,##0_);_(* \(#,##0\);_(* &quot;-&quot;??_);_(@_)"/>
      <alignment horizontal="general" vertical="bottom" textRotation="0" wrapText="1" indent="0" justifyLastLine="0" shrinkToFit="0" readingOrder="0"/>
    </dxf>
    <dxf>
      <numFmt numFmtId="164" formatCode="_(* #,##0_);_(* \(#,##0\);_(* &quot;-&quot;??_);_(@_)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_(* #,##0_);_(* \(#,##0\);_(* &quot;-&quot;??_);_(@_)"/>
      <alignment horizontal="general" vertical="bottom" textRotation="0" wrapText="1" indent="0" justifyLastLine="0" shrinkToFit="0" readingOrder="0"/>
    </dxf>
    <dxf>
      <numFmt numFmtId="164" formatCode="_(* #,##0_);_(* \(#,##0\);_(* &quot;-&quot;??_);_(@_)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border outline="0">
        <left style="thin">
          <color theme="4"/>
        </left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</border>
    </dxf>
    <dxf>
      <alignment horizontal="general" vertical="bottom" textRotation="0" wrapText="1" indent="0" justifyLastLine="0" shrinkToFit="0" readingOrder="0"/>
    </dxf>
    <dxf>
      <numFmt numFmtId="164" formatCode="_(* #,##0_);_(* \(#,##0\);_(* &quot;-&quot;??_);_(@_)"/>
      <alignment horizontal="general" vertical="bottom" textRotation="0" wrapText="1" indent="0" justifyLastLine="0" shrinkToFit="0" readingOrder="0"/>
    </dxf>
    <dxf>
      <numFmt numFmtId="164" formatCode="_(* #,##0_);_(* \(#,##0\);_(* &quot;-&quot;??_);_(@_)"/>
      <alignment horizontal="general" vertical="bottom" textRotation="0" wrapText="1" indent="0" justifyLastLine="0" shrinkToFit="0" readingOrder="0"/>
    </dxf>
    <dxf>
      <numFmt numFmtId="164" formatCode="_(* #,##0_);_(* \(#,##0\);_(* &quot;-&quot;??_);_(@_)"/>
      <alignment horizontal="general" vertical="bottom" textRotation="0" wrapText="1" indent="0" justifyLastLine="0" shrinkToFit="0" readingOrder="0"/>
    </dxf>
    <dxf>
      <numFmt numFmtId="164" formatCode="_(* #,##0_);_(* \(#,##0\);_(* &quot;-&quot;??_);_(@_)"/>
      <alignment horizontal="general" vertical="bottom" textRotation="0" wrapText="1" indent="0" justifyLastLine="0" shrinkToFit="0" readingOrder="0"/>
    </dxf>
    <dxf>
      <numFmt numFmtId="164" formatCode="_(* #,##0_);_(* \(#,##0\);_(* &quot;-&quot;??_);_(@_)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border outline="0">
        <left style="thin">
          <color theme="4"/>
        </left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_(* #,##0_);_(* \(#,##0\);_(* &quot;-&quot;??_);_(@_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64" formatCode="_(* #,##0_);_(* \(#,##0\);_(* &quot;-&quot;??_);_(@_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</border>
    </dxf>
    <dxf>
      <numFmt numFmtId="164" formatCode="_(* #,##0_);_(* \(#,##0\);_(* &quot;-&quot;??_);_(@_)"/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numFmt numFmtId="164" formatCode="_(* #,##0_);_(* \(#,##0\);_(* &quot;-&quot;??_);_(@_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64" formatCode="_(* #,##0_);_(* \(#,##0\);_(* &quot;-&quot;??_);_(@_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64" formatCode="_(* #,##0_);_(* \(#,##0\);_(* &quot;-&quot;??_);_(@_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64" formatCode="_(* #,##0_);_(* \(#,##0\);_(* &quot;-&quot;??_);_(@_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64" formatCode="_(* #,##0_);_(* \(#,##0\);_(* &quot;-&quot;??_);_(@_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64" formatCode="_(* #,##0_);_(* \(#,##0\);_(* &quot;-&quot;??_);_(@_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64" formatCode="_(* #,##0_);_(* \(#,##0\);_(* &quot;-&quot;??_);_(@_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64" formatCode="_(* #,##0_);_(* \(#,##0\);_(* &quot;-&quot;??_);_(@_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$&quot;#,##0_);[Red]\(&quot;$&quot;#,##0\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$&quot;#,##0_);[Red]\(&quot;$&quot;#,##0\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$&quot;#,##0_);[Red]\(&quot;$&quot;#,##0\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$&quot;#,##0_);[Red]\(&quot;$&quot;#,##0\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$&quot;#,##0_);[Red]\(&quot;$&quot;#,##0\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$&quot;#,##0_);[Red]\(&quot;$&quot;#,##0\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$&quot;#,##0_);[Red]\(&quot;$&quot;#,##0\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$&quot;#,##0_);[Red]\(&quot;$&quot;#,##0\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$&quot;#,##0_);[Red]\(&quot;$&quot;#,##0\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$&quot;#,##0_);[Red]\(&quot;$&quot;#,##0\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$&quot;#,##0_);[Red]\(&quot;$&quot;#,##0\)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numFmt numFmtId="10" formatCode="&quot;$&quot;#,##0_);[Red]\(&quot;$&quot;#,##0\)"/>
      <alignment horizontal="general" vertical="bottom" textRotation="0" wrapText="1" indent="0" justifyLastLine="0" shrinkToFit="0" readingOrder="0"/>
    </dxf>
    <dxf>
      <numFmt numFmtId="10" formatCode="&quot;$&quot;#,##0_);[Red]\(&quot;$&quot;#,##0\)"/>
      <alignment horizontal="general" vertical="bottom" textRotation="0" wrapText="1" indent="0" justifyLastLine="0" shrinkToFit="0" readingOrder="0"/>
    </dxf>
    <dxf>
      <numFmt numFmtId="10" formatCode="&quot;$&quot;#,##0_);[Red]\(&quot;$&quot;#,##0\)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HOURS OF OPERATIONS</a:t>
            </a:r>
          </a:p>
        </c:rich>
      </c:tx>
      <c:layout>
        <c:manualLayout>
          <c:xMode val="edge"/>
          <c:yMode val="edge"/>
          <c:x val="0.2428263342082240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OPERATIONS!$B$1</c:f>
              <c:strCache>
                <c:ptCount val="1"/>
                <c:pt idx="0">
                  <c:v>Total Systemwide Annual Weekend / Evening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OPERATIONS!$A$2:$A$14</c:f>
              <c:numCache>
                <c:formatCode>General</c:formatCode>
                <c:ptCount val="13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  <c:pt idx="10">
                  <c:v>2014</c:v>
                </c:pt>
                <c:pt idx="11">
                  <c:v>2013</c:v>
                </c:pt>
                <c:pt idx="12">
                  <c:v>2012</c:v>
                </c:pt>
              </c:numCache>
            </c:numRef>
          </c:cat>
          <c:val>
            <c:numRef>
              <c:f>OPERATIONS!$B$2:$B$14</c:f>
              <c:numCache>
                <c:formatCode>#,##0</c:formatCode>
                <c:ptCount val="13"/>
                <c:pt idx="0">
                  <c:v>7232</c:v>
                </c:pt>
                <c:pt idx="1">
                  <c:v>4160</c:v>
                </c:pt>
                <c:pt idx="2">
                  <c:v>4160</c:v>
                </c:pt>
                <c:pt idx="3" formatCode="General">
                  <c:v>0</c:v>
                </c:pt>
                <c:pt idx="4">
                  <c:v>4401</c:v>
                </c:pt>
                <c:pt idx="5">
                  <c:v>4401</c:v>
                </c:pt>
                <c:pt idx="6">
                  <c:v>4401</c:v>
                </c:pt>
                <c:pt idx="7">
                  <c:v>4401</c:v>
                </c:pt>
                <c:pt idx="8">
                  <c:v>4401</c:v>
                </c:pt>
                <c:pt idx="9">
                  <c:v>4401</c:v>
                </c:pt>
                <c:pt idx="10">
                  <c:v>4401</c:v>
                </c:pt>
                <c:pt idx="11">
                  <c:v>4401</c:v>
                </c:pt>
                <c:pt idx="12">
                  <c:v>5080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3-4241-8E72-FCB910BC94A1}"/>
            </c:ext>
          </c:extLst>
        </c:ser>
        <c:ser>
          <c:idx val="1"/>
          <c:order val="1"/>
          <c:tx>
            <c:strRef>
              <c:f>OPERATIONS!$C$1</c:f>
              <c:strCache>
                <c:ptCount val="1"/>
                <c:pt idx="0">
                  <c:v>Total Systemwide Annual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OPERATIONS!$A$2:$A$14</c:f>
              <c:numCache>
                <c:formatCode>General</c:formatCode>
                <c:ptCount val="13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  <c:pt idx="10">
                  <c:v>2014</c:v>
                </c:pt>
                <c:pt idx="11">
                  <c:v>2013</c:v>
                </c:pt>
                <c:pt idx="12">
                  <c:v>2012</c:v>
                </c:pt>
              </c:numCache>
            </c:numRef>
          </c:cat>
          <c:val>
            <c:numRef>
              <c:f>OPERATIONS!$C$2:$C$14</c:f>
              <c:numCache>
                <c:formatCode>#,##0</c:formatCode>
                <c:ptCount val="13"/>
                <c:pt idx="0">
                  <c:v>19800</c:v>
                </c:pt>
                <c:pt idx="1">
                  <c:v>15608</c:v>
                </c:pt>
                <c:pt idx="2">
                  <c:v>15608</c:v>
                </c:pt>
                <c:pt idx="3">
                  <c:v>7498</c:v>
                </c:pt>
                <c:pt idx="4">
                  <c:v>16422</c:v>
                </c:pt>
                <c:pt idx="5">
                  <c:v>16422</c:v>
                </c:pt>
                <c:pt idx="6">
                  <c:v>16422</c:v>
                </c:pt>
                <c:pt idx="7">
                  <c:v>16422</c:v>
                </c:pt>
                <c:pt idx="8">
                  <c:v>16422</c:v>
                </c:pt>
                <c:pt idx="9">
                  <c:v>16422</c:v>
                </c:pt>
                <c:pt idx="10">
                  <c:v>16422</c:v>
                </c:pt>
                <c:pt idx="11">
                  <c:v>16422</c:v>
                </c:pt>
                <c:pt idx="12">
                  <c:v>16284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D3-4241-8E72-FCB910BC94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94098656"/>
        <c:axId val="886719968"/>
      </c:barChart>
      <c:catAx>
        <c:axId val="89409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19968"/>
        <c:crosses val="autoZero"/>
        <c:auto val="1"/>
        <c:lblAlgn val="ctr"/>
        <c:lblOffset val="100"/>
        <c:noMultiLvlLbl val="0"/>
      </c:catAx>
      <c:valAx>
        <c:axId val="88671996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9409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BOARD</a:t>
            </a:r>
            <a:r>
              <a:rPr lang="en-US" baseline="0"/>
              <a:t> &amp; # OF MEETINGS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OPERATIONS!$D$1</c:f>
              <c:strCache>
                <c:ptCount val="1"/>
                <c:pt idx="0">
                  <c:v>Number of Library Trustees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OPERATIONS!$A$2:$A$14</c:f>
              <c:numCache>
                <c:formatCode>General</c:formatCode>
                <c:ptCount val="13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  <c:pt idx="10">
                  <c:v>2014</c:v>
                </c:pt>
                <c:pt idx="11">
                  <c:v>2013</c:v>
                </c:pt>
                <c:pt idx="12">
                  <c:v>2012</c:v>
                </c:pt>
              </c:numCache>
            </c:numRef>
          </c:cat>
          <c:val>
            <c:numRef>
              <c:f>OPERATIONS!$D$2:$D$14</c:f>
              <c:numCache>
                <c:formatCode>General</c:formatCode>
                <c:ptCount val="13"/>
                <c:pt idx="0">
                  <c:v>7</c:v>
                </c:pt>
                <c:pt idx="1">
                  <c:v>7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6-4241-B8EE-13F52CE30266}"/>
            </c:ext>
          </c:extLst>
        </c:ser>
        <c:ser>
          <c:idx val="1"/>
          <c:order val="1"/>
          <c:tx>
            <c:strRef>
              <c:f>OPERATIONS!$E$1</c:f>
              <c:strCache>
                <c:ptCount val="1"/>
                <c:pt idx="0">
                  <c:v>Regular Board Meetings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OPERATIONS!$A$2:$A$14</c:f>
              <c:numCache>
                <c:formatCode>General</c:formatCode>
                <c:ptCount val="13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  <c:pt idx="10">
                  <c:v>2014</c:v>
                </c:pt>
                <c:pt idx="11">
                  <c:v>2013</c:v>
                </c:pt>
                <c:pt idx="12">
                  <c:v>2012</c:v>
                </c:pt>
              </c:numCache>
            </c:numRef>
          </c:cat>
          <c:val>
            <c:numRef>
              <c:f>OPERATIONS!$E$2:$E$14</c:f>
              <c:numCache>
                <c:formatCode>General</c:formatCode>
                <c:ptCount val="13"/>
                <c:pt idx="0">
                  <c:v>13</c:v>
                </c:pt>
                <c:pt idx="1">
                  <c:v>11</c:v>
                </c:pt>
                <c:pt idx="2">
                  <c:v>8</c:v>
                </c:pt>
                <c:pt idx="3">
                  <c:v>7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12</c:v>
                </c:pt>
                <c:pt idx="8">
                  <c:v>6</c:v>
                </c:pt>
                <c:pt idx="9">
                  <c:v>5</c:v>
                </c:pt>
                <c:pt idx="10">
                  <c:v>8</c:v>
                </c:pt>
                <c:pt idx="11">
                  <c:v>8</c:v>
                </c:pt>
                <c:pt idx="1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A6-4241-B8EE-13F52CE302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7976304"/>
        <c:axId val="895878336"/>
      </c:barChart>
      <c:catAx>
        <c:axId val="102797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878336"/>
        <c:crosses val="autoZero"/>
        <c:auto val="1"/>
        <c:lblAlgn val="ctr"/>
        <c:lblOffset val="100"/>
        <c:noMultiLvlLbl val="0"/>
      </c:catAx>
      <c:valAx>
        <c:axId val="89587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97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FRIENDS</a:t>
            </a:r>
            <a:r>
              <a:rPr lang="en-US" baseline="0"/>
              <a:t> MEMBERS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OPERATIONS!$H$1</c:f>
              <c:strCache>
                <c:ptCount val="1"/>
                <c:pt idx="0">
                  <c:v>Friends Members all groups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OPERATIONS!$A$2:$A$14</c:f>
              <c:numCache>
                <c:formatCode>General</c:formatCode>
                <c:ptCount val="13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  <c:pt idx="10">
                  <c:v>2014</c:v>
                </c:pt>
                <c:pt idx="11">
                  <c:v>2013</c:v>
                </c:pt>
                <c:pt idx="12">
                  <c:v>2012</c:v>
                </c:pt>
              </c:numCache>
            </c:numRef>
          </c:cat>
          <c:val>
            <c:numRef>
              <c:f>OPERATIONS!$H$2:$H$14</c:f>
              <c:numCache>
                <c:formatCode>General</c:formatCode>
                <c:ptCount val="13"/>
                <c:pt idx="0">
                  <c:v>214</c:v>
                </c:pt>
                <c:pt idx="1">
                  <c:v>221</c:v>
                </c:pt>
                <c:pt idx="2">
                  <c:v>230</c:v>
                </c:pt>
                <c:pt idx="3">
                  <c:v>220</c:v>
                </c:pt>
                <c:pt idx="4">
                  <c:v>280</c:v>
                </c:pt>
                <c:pt idx="5">
                  <c:v>320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A-4F12-9420-4560BC0988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1063616"/>
        <c:axId val="895880832"/>
      </c:barChart>
      <c:catAx>
        <c:axId val="103106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880832"/>
        <c:crosses val="autoZero"/>
        <c:auto val="1"/>
        <c:lblAlgn val="ctr"/>
        <c:lblOffset val="100"/>
        <c:noMultiLvlLbl val="0"/>
      </c:catAx>
      <c:valAx>
        <c:axId val="89588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06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15</xdr:row>
      <xdr:rowOff>176212</xdr:rowOff>
    </xdr:from>
    <xdr:to>
      <xdr:col>3</xdr:col>
      <xdr:colOff>1571625</xdr:colOff>
      <xdr:row>30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A87063-75DD-4003-A9AD-72AC5AA0A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1643062</xdr:colOff>
      <xdr:row>16</xdr:row>
      <xdr:rowOff>23812</xdr:rowOff>
    </xdr:from>
    <xdr:to>
      <xdr:col>6</xdr:col>
      <xdr:colOff>433387</xdr:colOff>
      <xdr:row>30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3E7F2A-C6B7-474E-B023-4384F3E1A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538162</xdr:colOff>
      <xdr:row>16</xdr:row>
      <xdr:rowOff>42862</xdr:rowOff>
    </xdr:from>
    <xdr:to>
      <xdr:col>10</xdr:col>
      <xdr:colOff>319087</xdr:colOff>
      <xdr:row>30</xdr:row>
      <xdr:rowOff>119062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FB772F-8464-4A4E-B6B4-6D82355E0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200025</xdr:colOff>
      <xdr:row>10</xdr:row>
      <xdr:rowOff>38099</xdr:rowOff>
    </xdr:from>
    <xdr:to>
      <xdr:col>20</xdr:col>
      <xdr:colOff>361950</xdr:colOff>
      <xdr:row>12</xdr:row>
      <xdr:rowOff>161924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8B1682-14D2-46F5-B436-F45E118B9179}"/>
            </a:ext>
          </a:extLst>
        </xdr:cNvPr>
        <xdr:cNvSpPr txBox="1"/>
      </xdr:nvSpPr>
      <xdr:spPr>
        <a:xfrm>
          <a:off x="13001625" y="3962399"/>
          <a:ext cx="166687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THESE</a:t>
          </a:r>
          <a:r>
            <a:rPr lang="en-US" sz="1100" baseline="0"/>
            <a:t> NUMBERS DO NOT MAKE SENSE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5</xdr:row>
      <xdr:rowOff>57150</xdr:rowOff>
    </xdr:from>
    <xdr:to>
      <xdr:col>2</xdr:col>
      <xdr:colOff>647700</xdr:colOff>
      <xdr:row>10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9E33EA-631D-414A-A427-EB2394635766}"/>
            </a:ext>
          </a:extLst>
        </xdr:cNvPr>
        <xdr:cNvSpPr txBox="1"/>
      </xdr:nvSpPr>
      <xdr:spPr>
        <a:xfrm>
          <a:off x="1381125" y="1485900"/>
          <a:ext cx="1476375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COLLECTION METHOD</a:t>
          </a:r>
          <a:r>
            <a:rPr lang="en-US" sz="1100" baseline="0"/>
            <a:t> CHANGED OVER TIME</a:t>
          </a:r>
        </a:p>
        <a:p>
          <a:r>
            <a:rPr lang="en-US" sz="1100" baseline="0"/>
            <a:t>REPORTING 0-11 IS THE ONLY WAY TO DO COMPARISONS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B1:H14" totalsRowShown="0" headerRowDxfId="140" dataDxfId="139">
  <autoFilter ref="B1:H14" xr:uid="{00000000-0009-0000-0100-000004000000}"/>
  <tableColumns count="7">
    <tableColumn id="1" xr3:uid="{00000000-0010-0000-0100-000001000000}" name="Total Systemwide Annual Weekend / Evening Hours" dataDxfId="138"/>
    <tableColumn id="2" xr3:uid="{00000000-0010-0000-0100-000002000000}" name="Total Systemwide Annual Hours" dataDxfId="137"/>
    <tableColumn id="3" xr3:uid="{00000000-0010-0000-0100-000003000000}" name="Number of Library Trustees" dataDxfId="136"/>
    <tableColumn id="4" xr3:uid="{00000000-0010-0000-0100-000004000000}" name="Regular Board Meetings" dataDxfId="135"/>
    <tableColumn id="5" xr3:uid="{00000000-0010-0000-0100-000005000000}" name="Does the library have a FOL group?" dataDxfId="134"/>
    <tableColumn id="6" xr3:uid="{00000000-0010-0000-0100-000006000000}" name="Number of FOL groups" dataDxfId="133"/>
    <tableColumn id="7" xr3:uid="{00000000-0010-0000-0100-000007000000}" name="Friends Members all groups" dataDxfId="13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U14" totalsRowShown="0" headerRowDxfId="121" dataDxfId="120" tableBorderDxfId="119">
  <autoFilter ref="A1:U14" xr:uid="{00000000-0009-0000-0100-000006000000}"/>
  <tableColumns count="21">
    <tableColumn id="1" xr3:uid="{00000000-0010-0000-0300-000001000000}" name="REPORT YEAR" dataDxfId="118"/>
    <tableColumn id="2" xr3:uid="{00000000-0010-0000-0300-000002000000}" name="MLIS Librarian Positions: Full Time" dataDxfId="117"/>
    <tableColumn id="3" xr3:uid="{00000000-0010-0000-0300-000003000000}" name="MLIS Librarian Positions: Part time" dataDxfId="116"/>
    <tableColumn id="4" xr3:uid="{00000000-0010-0000-0300-000004000000}" name="Librarian positions: MLIS FTE" dataDxfId="115"/>
    <tableColumn id="5" xr3:uid="{00000000-0010-0000-0300-000005000000}" name="Full Time Funded Other Librarian Positions" dataDxfId="114"/>
    <tableColumn id="6" xr3:uid="{00000000-0010-0000-0300-000006000000}" name="Part Time Funded Other Librarian Positions" dataDxfId="113"/>
    <tableColumn id="7" xr3:uid="{00000000-0010-0000-0300-000007000000}" name="FTE Other Librarians" dataDxfId="112"/>
    <tableColumn id="11" xr3:uid="{00000000-0010-0000-0300-00000B000000}" name="Librarian positions:  BA/BS Full time" dataDxfId="111"/>
    <tableColumn id="12" xr3:uid="{00000000-0010-0000-0300-00000C000000}" name="Librarian positions:  BA/BS Part time" dataDxfId="110"/>
    <tableColumn id="13" xr3:uid="{00000000-0010-0000-0300-00000D000000}" name="Librarian positions: BA/BS FTE" dataDxfId="109"/>
    <tableColumn id="14" xr3:uid="{00000000-0010-0000-0300-00000E000000}" name="Librarian positions: Less than BA/BS Full time" dataDxfId="108"/>
    <tableColumn id="15" xr3:uid="{00000000-0010-0000-0300-00000F000000}" name="Librarian positions: Less than BA/BS Part time" dataDxfId="107"/>
    <tableColumn id="16" xr3:uid="{00000000-0010-0000-0300-000010000000}" name="Librarian positions: Less than BA/BS FTE" dataDxfId="106"/>
    <tableColumn id="17" xr3:uid="{00000000-0010-0000-0300-000011000000}" name="Total Librarians" dataDxfId="105"/>
    <tableColumn id="18" xr3:uid="{00000000-0010-0000-0300-000012000000}" name="All other Full time funded positions" dataDxfId="104"/>
    <tableColumn id="19" xr3:uid="{00000000-0010-0000-0300-000013000000}" name="All other Part time funded positions" dataDxfId="103"/>
    <tableColumn id="20" xr3:uid="{00000000-0010-0000-0300-000014000000}" name="All other staff FTE" dataDxfId="102"/>
    <tableColumn id="21" xr3:uid="{00000000-0010-0000-0300-000015000000}" name="Full time positions: Total" dataDxfId="101"/>
    <tableColumn id="22" xr3:uid="{00000000-0010-0000-0300-000016000000}" name="Part time positions: Total" dataDxfId="100"/>
    <tableColumn id="23" xr3:uid="{00000000-0010-0000-0300-000017000000}" name="Grand total library staff FTE" dataDxfId="99"/>
    <tableColumn id="24" xr3:uid="{00000000-0010-0000-0300-000018000000}" name="New librarian gross annual salary" dataDxfId="9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T16" totalsRowShown="0" headerRowDxfId="131">
  <autoFilter ref="A1:T16" xr:uid="{00000000-0009-0000-0100-000003000000}"/>
  <tableColumns count="20">
    <tableColumn id="20" xr3:uid="{00000000-0010-0000-0200-000014000000}" name="REPORT YEAR" dataDxfId="130"/>
    <tableColumn id="1" xr3:uid="{00000000-0010-0000-0200-000001000000}" name="Millage assessed" dataDxfId="129"/>
    <tableColumn id="2" xr3:uid="{00000000-0010-0000-0200-000002000000}" name="County operating revenue"/>
    <tableColumn id="3" xr3:uid="{00000000-0010-0000-0200-000003000000}" name="County capital revenue"/>
    <tableColumn id="4" xr3:uid="{00000000-0010-0000-0200-000004000000}" name="Total local operating revenue"/>
    <tableColumn id="5" xr3:uid="{00000000-0010-0000-0200-000005000000}" name="Total local capital revenue"/>
    <tableColumn id="6" xr3:uid="{00000000-0010-0000-0200-000006000000}" name="State Aid operating revenue"/>
    <tableColumn id="7" xr3:uid="{00000000-0010-0000-0200-000007000000}" name="Total State Aid revenue"/>
    <tableColumn id="8" xr3:uid="{00000000-0010-0000-0200-000008000000}" name="Lottery operating revenue"/>
    <tableColumn id="9" xr3:uid="{00000000-0010-0000-0200-000009000000}" name="Total state operating revenue"/>
    <tableColumn id="10" xr3:uid="{00000000-0010-0000-0200-00000A000000}" name="Federal / LSTA operating revenue" dataDxfId="128"/>
    <tableColumn id="11" xr3:uid="{00000000-0010-0000-0200-00000B000000}" name="Other federal operating revenue" dataDxfId="127"/>
    <tableColumn id="12" xr3:uid="{00000000-0010-0000-0200-00000C000000}" name="Total federal operating revenue" dataDxfId="126"/>
    <tableColumn id="13" xr3:uid="{00000000-0010-0000-0200-00000D000000}" name="Total federal capital revenue" dataDxfId="125"/>
    <tableColumn id="14" xr3:uid="{00000000-0010-0000-0200-00000E000000}" name="Other operating revenue" dataDxfId="124"/>
    <tableColumn id="15" xr3:uid="{00000000-0010-0000-0200-00000F000000}" name="Other capital revenue" dataDxfId="123"/>
    <tableColumn id="16" xr3:uid="{00000000-0010-0000-0200-000010000000}" name="Total operating revenue"/>
    <tableColumn id="17" xr3:uid="{00000000-0010-0000-0200-000011000000}" name="Subtotal: Capital outlay"/>
    <tableColumn id="18" xr3:uid="{00000000-0010-0000-0200-000012000000}" name="Total capital outlay including other revenue" dataDxfId="122"/>
    <tableColumn id="19" xr3:uid="{00000000-0010-0000-0200-000013000000}" name="Grand total operating + capital revenu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B1:D14" totalsRowShown="0" headerRowDxfId="97" dataDxfId="96">
  <autoFilter ref="B1:D14" xr:uid="{00000000-0009-0000-0100-000007000000}"/>
  <tableColumns count="3">
    <tableColumn id="1" xr3:uid="{00000000-0010-0000-0400-000001000000}" name="Salary / Wages" dataDxfId="95"/>
    <tableColumn id="2" xr3:uid="{00000000-0010-0000-0400-000002000000}" name="Employee benefits" dataDxfId="94"/>
    <tableColumn id="3" xr3:uid="{00000000-0010-0000-0400-000003000000}" name="Total staff expenditures" dataDxfId="9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8" displayName="Table8" ref="A1:G14" totalsRowShown="0" headerRowDxfId="92" dataDxfId="91" tableBorderDxfId="90">
  <autoFilter ref="A1:G14" xr:uid="{00000000-0009-0000-0100-000008000000}"/>
  <tableColumns count="7">
    <tableColumn id="1" xr3:uid="{00000000-0010-0000-0500-000001000000}" name="REPORT YEAR" dataDxfId="89"/>
    <tableColumn id="2" xr3:uid="{00000000-0010-0000-0500-000002000000}" name="Expenditures: Print materials" dataDxfId="88"/>
    <tableColumn id="3" xr3:uid="{00000000-0010-0000-0500-000003000000}" name="Expenditures: Electronic materials" dataDxfId="87"/>
    <tableColumn id="4" xr3:uid="{00000000-0010-0000-0500-000004000000}" name="Expenditures: AV materials" dataDxfId="86"/>
    <tableColumn id="5" xr3:uid="{00000000-0010-0000-0500-000005000000}" name="Expenditures: Other materials" dataDxfId="85"/>
    <tableColumn id="6" xr3:uid="{00000000-0010-0000-0500-000006000000}" name="Expenditures: Total Other Materials" dataDxfId="84"/>
    <tableColumn id="7" xr3:uid="{00000000-0010-0000-0500-000007000000}" name="Expenditures: Total for collections" dataDxfId="8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9" displayName="Table9" ref="A1:F14" totalsRowShown="0" headerRowDxfId="82" dataDxfId="81" tableBorderDxfId="80">
  <autoFilter ref="A1:F14" xr:uid="{00000000-0009-0000-0100-000009000000}"/>
  <tableColumns count="6">
    <tableColumn id="1" xr3:uid="{00000000-0010-0000-0600-000001000000}" name="REPORT YEAR" dataDxfId="79"/>
    <tableColumn id="2" xr3:uid="{00000000-0010-0000-0600-000002000000}" name="Expenditures: Other operating - Furniture &amp; Equipment" dataDxfId="78"/>
    <tableColumn id="3" xr3:uid="{00000000-0010-0000-0600-000003000000}" name="Expenditures: Other operating - Plant operations &amp; Maintenance" dataDxfId="77"/>
    <tableColumn id="4" xr3:uid="{00000000-0010-0000-0600-000004000000}" name="Expenditures: All other operating" dataDxfId="76"/>
    <tableColumn id="5" xr3:uid="{00000000-0010-0000-0600-000005000000}" name="Expenditures: Total other " dataDxfId="75"/>
    <tableColumn id="6" xr3:uid="{00000000-0010-0000-0600-000006000000}" name="Expenditures: Total operating" dataDxfId="74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10" displayName="Table10" ref="A1:B14" totalsRowShown="0" headerRowDxfId="73" tableBorderDxfId="72">
  <autoFilter ref="A1:B14" xr:uid="{00000000-0009-0000-0100-00000A000000}"/>
  <tableColumns count="2">
    <tableColumn id="1" xr3:uid="{00000000-0010-0000-0700-000001000000}" name="REPORT YEAR" dataDxfId="71"/>
    <tableColumn id="2" xr3:uid="{00000000-0010-0000-0700-000002000000}" name="Expenditures: GRAND TOTAL Operating + Capital" dataDxfId="7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Table12" displayName="Table12" ref="A1:X14" totalsRowShown="0" headerRowDxfId="69" dataDxfId="68" tableBorderDxfId="67" dataCellStyle="Comma">
  <autoFilter ref="A1:X14" xr:uid="{00000000-0009-0000-0100-00000C000000}"/>
  <tableColumns count="24">
    <tableColumn id="1" xr3:uid="{00000000-0010-0000-0800-000001000000}" name="REPORT YEAR" dataDxfId="66"/>
    <tableColumn id="2" xr3:uid="{00000000-0010-0000-0800-000002000000}" name="Collections: Number of print materials added " dataDxfId="65" dataCellStyle="Good"/>
    <tableColumn id="3" xr3:uid="{00000000-0010-0000-0800-000003000000}" name="Collections: Number of print materials removed (weeded)" dataDxfId="64" dataCellStyle="Good"/>
    <tableColumn id="4" xr3:uid="{00000000-0010-0000-0800-000004000000}" name="Collections: Total print materials held" dataDxfId="63" dataCellStyle="Good"/>
    <tableColumn id="5" xr3:uid="{00000000-0010-0000-0800-000005000000}" name="Collections: Print serials subscriptions (individual serial titles) added" dataDxfId="62" dataCellStyle="Accent2"/>
    <tableColumn id="6" xr3:uid="{00000000-0010-0000-0800-000006000000}" name="Collections: Print serials subscriptions (individual serial titles)  removed (weeded)" dataDxfId="61" dataCellStyle="Accent2"/>
    <tableColumn id="7" xr3:uid="{00000000-0010-0000-0800-000007000000}" name="Collections: Total print serials subscriptions (individual serial titles) held" dataDxfId="60" dataCellStyle="Accent2"/>
    <tableColumn id="8" xr3:uid="{00000000-0010-0000-0800-000008000000}" name="Collections: Audio materials (physical units), number added" dataDxfId="59" dataCellStyle="Comma"/>
    <tableColumn id="9" xr3:uid="{00000000-0010-0000-0800-000009000000}" name="Collections: Audio materials (physical units) number removed (weeded)" dataDxfId="58" dataCellStyle="Comma"/>
    <tableColumn id="10" xr3:uid="{00000000-0010-0000-0800-00000A000000}" name="Collections: Audio materials (physical units), number held" dataDxfId="57" dataCellStyle="Comma"/>
    <tableColumn id="11" xr3:uid="{00000000-0010-0000-0800-00000B000000}" name="Collections: Video materials (physical units), number added" dataDxfId="56" dataCellStyle="Accent5"/>
    <tableColumn id="12" xr3:uid="{00000000-0010-0000-0800-00000C000000}" name="Collections: Video materials (physical units) number removed (weeded)" dataDxfId="55" dataCellStyle="Accent5"/>
    <tableColumn id="13" xr3:uid="{00000000-0010-0000-0800-00000D000000}" name="Collections: Video materials (physical units), number held" dataDxfId="54" dataCellStyle="Accent5"/>
    <tableColumn id="14" xr3:uid="{00000000-0010-0000-0800-00000E000000}" name="Collection: Total Physical Items" dataDxfId="53" dataCellStyle="Good"/>
    <tableColumn id="15" xr3:uid="{00000000-0010-0000-0800-00000F000000}" name="Column1" dataCellStyle="Check Cell"/>
    <tableColumn id="16" xr3:uid="{00000000-0010-0000-0800-000010000000}" name="Downloadable audio units held" dataDxfId="52" dataCellStyle="Comma"/>
    <tableColumn id="17" xr3:uid="{00000000-0010-0000-0800-000011000000}" name="Downloadable video units held" dataDxfId="51" dataCellStyle="Comma"/>
    <tableColumn id="18" xr3:uid="{00000000-0010-0000-0800-000012000000}" name="Electronic books (E-books) held" dataDxfId="50" dataCellStyle="Comma"/>
    <tableColumn id="19" xr3:uid="{00000000-0010-0000-0800-000013000000}" name="Downloadable periodical titles"/>
    <tableColumn id="20" xr3:uid="{00000000-0010-0000-0800-000014000000}" name="Total downloadable units available" dataDxfId="49" dataCellStyle="Accent6"/>
    <tableColumn id="21" xr3:uid="{00000000-0010-0000-0800-000015000000}" name="Electronic databases subscribed to by the library alone" dataDxfId="48" dataCellStyle="Comma"/>
    <tableColumn id="22" xr3:uid="{00000000-0010-0000-0800-000016000000}" name="Electronic databases subscribed to as part of a consortium" dataDxfId="47" dataCellStyle="Comma"/>
    <tableColumn id="23" xr3:uid="{00000000-0010-0000-0800-000017000000}" name="Total of Discus databases" dataDxfId="46" dataCellStyle="Comma"/>
    <tableColumn id="24" xr3:uid="{00000000-0010-0000-0800-000018000000}" name="Total databases" dataDxfId="45" dataCellStyle="40% - Accent4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Table13" displayName="Table13" ref="A1:F14" totalsRowShown="0" headerRowDxfId="44" dataDxfId="43" tableBorderDxfId="42">
  <autoFilter ref="A1:F14" xr:uid="{00000000-0009-0000-0100-00000D000000}"/>
  <tableColumns count="6">
    <tableColumn id="1" xr3:uid="{00000000-0010-0000-0900-000001000000}" name="REPORT YEAR" dataDxfId="41"/>
    <tableColumn id="2" xr3:uid="{00000000-0010-0000-0900-000002000000}" name="Registered users, Adult" dataDxfId="40" dataCellStyle="Comma"/>
    <tableColumn id="3" xr3:uid="{00000000-0010-0000-0900-000003000000}" name="Registered users, Juvenile" dataDxfId="39" dataCellStyle="Comma"/>
    <tableColumn id="4" xr3:uid="{00000000-0010-0000-0900-000004000000}" name="Total registered users" dataDxfId="38" dataCellStyle="Comma"/>
    <tableColumn id="5" xr3:uid="{00000000-0010-0000-0900-000005000000}" name="Annual Library Visits (gate count)" dataDxfId="37" dataCellStyle="Comma"/>
    <tableColumn id="6" xr3:uid="{00000000-0010-0000-0900-000006000000}" name="Population of the service area (2020 Census)" dataDxfId="36" dataCellStyle="Comma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A000000}" name="Table14" displayName="Table14" ref="A1:D14" totalsRowShown="0" headerRowDxfId="35" tableBorderDxfId="34">
  <autoFilter ref="A1:D14" xr:uid="{00000000-0009-0000-0100-00000E000000}"/>
  <tableColumns count="4">
    <tableColumn id="1" xr3:uid="{00000000-0010-0000-0A00-000001000000}" name="REPORT YEAR" dataDxfId="33"/>
    <tableColumn id="2" xr3:uid="{00000000-0010-0000-0A00-000002000000}" name="Number of public internet computers" dataDxfId="32"/>
    <tableColumn id="3" xr3:uid="{00000000-0010-0000-0A00-000003000000}" name="Number of wireless sessions" dataDxfId="31"/>
    <tableColumn id="4" xr3:uid="{00000000-0010-0000-0A00-000004000000}" name="Number of website visits" dataDxfId="30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B000000}" name="Table15" displayName="Table15" ref="A1:D14" totalsRowShown="0" headerRowDxfId="29" tableBorderDxfId="28">
  <autoFilter ref="A1:D14" xr:uid="{00000000-0009-0000-0100-00000F000000}"/>
  <tableColumns count="4">
    <tableColumn id="1" xr3:uid="{00000000-0010-0000-0B00-000001000000}" name="REPORT YEAR" dataDxfId="27"/>
    <tableColumn id="2" xr3:uid="{00000000-0010-0000-0B00-000002000000}" name="Number of times library facilities were used by external parties/groups for non-library functions (scheduled use only)." dataDxfId="26"/>
    <tableColumn id="3" xr3:uid="{00000000-0010-0000-0B00-000003000000}" name="Number of Reference Transactions" dataDxfId="25"/>
    <tableColumn id="4" xr3:uid="{00000000-0010-0000-0B00-000004000000}" name="Number of scheduled 1:1 sessions between library staff and patron(s)." dataDxfId="24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9A0EB9-E84E-4588-8537-7A518349B17D}" name="Table2" displayName="Table2" ref="A1:C14" totalsRowShown="0" tableBorderDxfId="10">
  <autoFilter ref="A1:C14" xr:uid="{7ABAD6A7-BD4F-4CB0-B2A3-4EB510C7838B}"/>
  <tableColumns count="3">
    <tableColumn id="1" xr3:uid="{B8A39075-D93E-4984-AD31-F68429500C76}" name="REPORT YEAR" dataDxfId="9"/>
    <tableColumn id="2" xr3:uid="{4FB9828B-92E1-457B-9D1E-DD7F174FD816}" name="Interlibrary loans provided to another library" dataDxfId="8"/>
    <tableColumn id="3" xr3:uid="{BDFAB3E7-3BD3-443F-AB2D-0321819E7C57}" name="Interlibrary loans received from another library" dataDxfId="7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C000000}" name="Table5" displayName="Table5" ref="A1:N14" totalsRowShown="0" headerRowDxfId="23" dataDxfId="22" tableBorderDxfId="21">
  <autoFilter ref="A1:N14" xr:uid="{00000000-0009-0000-0100-000005000000}"/>
  <tableColumns count="14">
    <tableColumn id="1" xr3:uid="{00000000-0010-0000-0C00-000001000000}" name="REPORT YEAR" dataDxfId="20"/>
    <tableColumn id="3" xr3:uid="{00000000-0010-0000-0C00-000003000000}" name="Synchronous Pgm Sessions Kids 0-5" dataDxfId="19" dataCellStyle="Bad"/>
    <tableColumn id="4" xr3:uid="{00000000-0010-0000-0C00-000004000000}" name="Synchronous Pgm Sessions Kids 6-11" dataDxfId="18" dataCellStyle="Bad"/>
    <tableColumn id="6" xr3:uid="{00000000-0010-0000-0C00-000006000000}" name="Total Programs 0-11" dataCellStyle="Normal"/>
    <tableColumn id="7" xr3:uid="{00000000-0010-0000-0C00-000007000000}" name="Total YA Programs for ages 12-18" dataCellStyle="Normal"/>
    <tableColumn id="8" xr3:uid="{00000000-0010-0000-0C00-000008000000}" name="Total Adult Programs for 18+" dataCellStyle="Normal"/>
    <tableColumn id="9" xr3:uid="{00000000-0010-0000-0C00-000009000000}" name="Total Gen Audience" dataDxfId="17"/>
    <tableColumn id="10" xr3:uid="{00000000-0010-0000-0C00-00000A000000}" name="Total of all programs" dataDxfId="16" dataCellStyle="Good"/>
    <tableColumn id="5" xr3:uid="{470796ED-3C3A-4C8F-88D2-70CEA8B55CC8}" name="Column1" dataDxfId="6" dataCellStyle="Check Cell"/>
    <tableColumn id="11" xr3:uid="{00000000-0010-0000-0C00-00000B000000}" name="Children 0 to 11 programs attendance" dataDxfId="15" dataCellStyle="Comma"/>
    <tableColumn id="12" xr3:uid="{00000000-0010-0000-0C00-00000C000000}" name="YA 12-18 programs attendance" dataDxfId="14" dataCellStyle="Comma"/>
    <tableColumn id="13" xr3:uid="{00000000-0010-0000-0C00-00000D000000}" name="Adult programs attendance" dataDxfId="13"/>
    <tableColumn id="14" xr3:uid="{00000000-0010-0000-0C00-00000E000000}" name="Total General" dataDxfId="12"/>
    <tableColumn id="15" xr3:uid="{00000000-0010-0000-0C00-00000F000000}" name="Total Attendance all programs and all ages" dataDxfId="11" dataCellStyle="Accent5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4" totalsRowShown="0" headerRowDxfId="5" dataDxfId="4">
  <autoFilter ref="A1:D14" xr:uid="{00000000-0009-0000-0100-000001000000}"/>
  <tableColumns count="4">
    <tableColumn id="1" xr3:uid="{00000000-0010-0000-0000-000001000000}" name="REPORT YEAR" dataDxfId="3"/>
    <tableColumn id="244" xr3:uid="{00000000-0010-0000-0000-0000F4000000}" name="Number of staff trained" dataDxfId="2"/>
    <tableColumn id="245" xr3:uid="{00000000-0010-0000-0000-0000F5000000}" name="Number of hours of training attended by staff" dataDxfId="1"/>
    <tableColumn id="246" xr3:uid="{00000000-0010-0000-0000-0000F6000000}" name="Number of items distributed as take-and-makes, activity kits, or other items intended for use outside the library. 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activeCell="J12" sqref="J12"/>
    </sheetView>
  </sheetViews>
  <sheetFormatPr defaultRowHeight="15" x14ac:dyDescent="0.25"/>
  <cols>
    <col min="2" max="2" width="21.7109375" style="1" customWidth="1"/>
    <col min="3" max="3" width="19.42578125" style="1" customWidth="1"/>
    <col min="4" max="4" width="27.140625" style="1" customWidth="1"/>
    <col min="5" max="5" width="26" style="1"/>
    <col min="6" max="6" width="33.5703125" style="1" customWidth="1"/>
    <col min="7" max="7" width="26" style="1"/>
    <col min="8" max="8" width="27.5703125" style="1" customWidth="1"/>
  </cols>
  <sheetData>
    <row r="1" spans="1:8" ht="30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7">
        <v>2024</v>
      </c>
      <c r="B2" s="2">
        <v>7232</v>
      </c>
      <c r="C2" s="2">
        <v>19800</v>
      </c>
      <c r="D2" s="1">
        <v>7</v>
      </c>
      <c r="E2" s="1">
        <v>13</v>
      </c>
      <c r="F2" s="1" t="s">
        <v>128</v>
      </c>
      <c r="G2" s="1">
        <v>1</v>
      </c>
      <c r="H2" s="1">
        <v>214</v>
      </c>
    </row>
    <row r="3" spans="1:8" x14ac:dyDescent="0.25">
      <c r="A3" s="7">
        <v>2023</v>
      </c>
      <c r="B3" s="2">
        <v>4160</v>
      </c>
      <c r="C3" s="2">
        <v>15608</v>
      </c>
      <c r="D3" s="1">
        <v>7</v>
      </c>
      <c r="E3" s="1">
        <v>11</v>
      </c>
      <c r="F3" s="1" t="s">
        <v>128</v>
      </c>
      <c r="G3" s="1">
        <v>1</v>
      </c>
      <c r="H3" s="1">
        <v>221</v>
      </c>
    </row>
    <row r="4" spans="1:8" x14ac:dyDescent="0.25">
      <c r="A4" s="7">
        <v>2022</v>
      </c>
      <c r="B4" s="2">
        <v>4160</v>
      </c>
      <c r="C4" s="2">
        <v>15608</v>
      </c>
      <c r="D4" s="1">
        <v>10</v>
      </c>
      <c r="E4" s="1">
        <v>8</v>
      </c>
      <c r="F4" s="1" t="s">
        <v>128</v>
      </c>
      <c r="G4" s="1">
        <v>1</v>
      </c>
      <c r="H4" s="1">
        <v>230</v>
      </c>
    </row>
    <row r="5" spans="1:8" x14ac:dyDescent="0.25">
      <c r="A5" s="7">
        <v>2021</v>
      </c>
      <c r="B5" s="1">
        <v>0</v>
      </c>
      <c r="C5" s="2">
        <v>7498</v>
      </c>
      <c r="D5" s="1">
        <v>10</v>
      </c>
      <c r="E5" s="1">
        <v>7</v>
      </c>
      <c r="F5" s="1" t="s">
        <v>128</v>
      </c>
      <c r="G5" s="1">
        <v>1</v>
      </c>
      <c r="H5" s="1">
        <v>220</v>
      </c>
    </row>
    <row r="6" spans="1:8" x14ac:dyDescent="0.25">
      <c r="A6" s="7">
        <v>2020</v>
      </c>
      <c r="B6" s="2">
        <v>4401</v>
      </c>
      <c r="C6" s="2">
        <v>16422</v>
      </c>
      <c r="D6" s="1">
        <v>10</v>
      </c>
      <c r="E6" s="1">
        <v>9</v>
      </c>
      <c r="F6" s="1" t="s">
        <v>128</v>
      </c>
      <c r="G6" s="1">
        <v>1</v>
      </c>
      <c r="H6" s="1">
        <v>280</v>
      </c>
    </row>
    <row r="7" spans="1:8" x14ac:dyDescent="0.25">
      <c r="A7" s="7">
        <v>2019</v>
      </c>
      <c r="B7" s="2">
        <v>4401</v>
      </c>
      <c r="C7" s="2">
        <v>16422</v>
      </c>
      <c r="D7" s="1">
        <v>10</v>
      </c>
      <c r="E7" s="1">
        <v>9</v>
      </c>
      <c r="F7" s="1" t="s">
        <v>128</v>
      </c>
      <c r="G7" s="1">
        <v>1</v>
      </c>
      <c r="H7" s="1">
        <v>320</v>
      </c>
    </row>
    <row r="8" spans="1:8" x14ac:dyDescent="0.25">
      <c r="A8" s="7">
        <v>2018</v>
      </c>
      <c r="B8" s="2">
        <v>4401</v>
      </c>
      <c r="C8" s="2">
        <v>16422</v>
      </c>
      <c r="D8" s="1">
        <v>10</v>
      </c>
      <c r="E8" s="1">
        <v>8</v>
      </c>
      <c r="F8" s="1" t="s">
        <v>128</v>
      </c>
      <c r="G8" s="1">
        <v>1</v>
      </c>
      <c r="H8" s="1">
        <v>400</v>
      </c>
    </row>
    <row r="9" spans="1:8" x14ac:dyDescent="0.25">
      <c r="A9" s="7">
        <v>2017</v>
      </c>
      <c r="B9" s="2">
        <v>4401</v>
      </c>
      <c r="C9" s="2">
        <v>16422</v>
      </c>
      <c r="D9" s="1">
        <v>10</v>
      </c>
      <c r="E9" s="1">
        <v>12</v>
      </c>
      <c r="F9" s="1" t="s">
        <v>128</v>
      </c>
      <c r="G9" s="1">
        <v>1</v>
      </c>
      <c r="H9" s="1">
        <v>400</v>
      </c>
    </row>
    <row r="10" spans="1:8" x14ac:dyDescent="0.25">
      <c r="A10" s="7">
        <v>2016</v>
      </c>
      <c r="B10" s="2">
        <v>4401</v>
      </c>
      <c r="C10" s="2">
        <v>16422</v>
      </c>
      <c r="D10" s="1">
        <v>10</v>
      </c>
      <c r="E10" s="1">
        <v>6</v>
      </c>
      <c r="F10" s="1" t="s">
        <v>128</v>
      </c>
      <c r="G10" s="1">
        <v>1</v>
      </c>
      <c r="H10" s="1">
        <v>400</v>
      </c>
    </row>
    <row r="11" spans="1:8" x14ac:dyDescent="0.25">
      <c r="A11" s="7">
        <v>2015</v>
      </c>
      <c r="B11" s="2">
        <v>4401</v>
      </c>
      <c r="C11" s="2">
        <v>16422</v>
      </c>
      <c r="D11" s="1">
        <v>10</v>
      </c>
      <c r="E11" s="1">
        <v>5</v>
      </c>
      <c r="F11" s="1" t="s">
        <v>128</v>
      </c>
      <c r="G11" s="1">
        <v>1</v>
      </c>
      <c r="H11" s="1">
        <v>400</v>
      </c>
    </row>
    <row r="12" spans="1:8" x14ac:dyDescent="0.25">
      <c r="A12" s="7">
        <v>2014</v>
      </c>
      <c r="B12" s="2">
        <v>4401</v>
      </c>
      <c r="C12" s="2">
        <v>16422</v>
      </c>
      <c r="D12" s="1">
        <v>10</v>
      </c>
      <c r="E12" s="1">
        <v>8</v>
      </c>
      <c r="F12" s="1" t="s">
        <v>128</v>
      </c>
      <c r="G12" s="1">
        <v>1</v>
      </c>
      <c r="H12" s="1">
        <v>400</v>
      </c>
    </row>
    <row r="13" spans="1:8" x14ac:dyDescent="0.25">
      <c r="A13" s="7">
        <v>2013</v>
      </c>
      <c r="B13" s="2">
        <v>4401</v>
      </c>
      <c r="C13" s="2">
        <v>16422</v>
      </c>
      <c r="D13" s="1">
        <v>10</v>
      </c>
      <c r="E13" s="1">
        <v>8</v>
      </c>
      <c r="F13" s="1" t="s">
        <v>128</v>
      </c>
      <c r="G13" s="1">
        <v>1</v>
      </c>
      <c r="H13" s="1">
        <v>400</v>
      </c>
    </row>
    <row r="14" spans="1:8" x14ac:dyDescent="0.25">
      <c r="A14" s="10">
        <v>2012</v>
      </c>
      <c r="B14" s="2">
        <v>5080</v>
      </c>
      <c r="C14" s="2">
        <v>16284</v>
      </c>
      <c r="D14" s="1">
        <v>10</v>
      </c>
      <c r="E14" s="1">
        <v>11</v>
      </c>
      <c r="F14" s="1" t="s">
        <v>128</v>
      </c>
      <c r="G14" s="1">
        <v>1</v>
      </c>
      <c r="H14" s="1">
        <v>480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4"/>
  <sheetViews>
    <sheetView tabSelected="1" workbookViewId="0">
      <selection activeCell="K20" sqref="K20"/>
    </sheetView>
  </sheetViews>
  <sheetFormatPr defaultColWidth="12.5703125" defaultRowHeight="15" x14ac:dyDescent="0.25"/>
  <cols>
    <col min="1" max="16384" width="12.5703125" style="1"/>
  </cols>
  <sheetData>
    <row r="1" spans="1:21" ht="75" x14ac:dyDescent="0.25">
      <c r="A1" s="18" t="s">
        <v>0</v>
      </c>
      <c r="B1" s="18" t="s">
        <v>8</v>
      </c>
      <c r="C1" s="18" t="s">
        <v>9</v>
      </c>
      <c r="D1" s="18" t="s">
        <v>10</v>
      </c>
      <c r="E1" s="18" t="s">
        <v>11</v>
      </c>
      <c r="F1" s="18" t="s">
        <v>12</v>
      </c>
      <c r="G1" s="18" t="s">
        <v>13</v>
      </c>
      <c r="H1" s="18" t="s">
        <v>14</v>
      </c>
      <c r="I1" s="18" t="s">
        <v>15</v>
      </c>
      <c r="J1" s="18" t="s">
        <v>16</v>
      </c>
      <c r="K1" s="18" t="s">
        <v>17</v>
      </c>
      <c r="L1" s="18" t="s">
        <v>18</v>
      </c>
      <c r="M1" s="18" t="s">
        <v>19</v>
      </c>
      <c r="N1" s="18" t="s">
        <v>20</v>
      </c>
      <c r="O1" s="18" t="s">
        <v>21</v>
      </c>
      <c r="P1" s="18" t="s">
        <v>22</v>
      </c>
      <c r="Q1" s="18" t="s">
        <v>23</v>
      </c>
      <c r="R1" s="18" t="s">
        <v>24</v>
      </c>
      <c r="S1" s="18" t="s">
        <v>25</v>
      </c>
      <c r="T1" s="18" t="s">
        <v>26</v>
      </c>
      <c r="U1" s="21" t="s">
        <v>27</v>
      </c>
    </row>
    <row r="2" spans="1:21" x14ac:dyDescent="0.25">
      <c r="A2" s="9">
        <v>2024</v>
      </c>
      <c r="B2" s="9">
        <v>24</v>
      </c>
      <c r="C2" s="9">
        <v>0</v>
      </c>
      <c r="D2" s="9">
        <v>24</v>
      </c>
      <c r="E2" s="9">
        <v>0</v>
      </c>
      <c r="F2" s="9">
        <v>0</v>
      </c>
      <c r="G2" s="9">
        <v>0</v>
      </c>
      <c r="H2" s="9">
        <v>2</v>
      </c>
      <c r="I2" s="9">
        <v>1</v>
      </c>
      <c r="J2" s="9">
        <v>3</v>
      </c>
      <c r="K2" s="9">
        <v>1</v>
      </c>
      <c r="L2" s="9">
        <v>0</v>
      </c>
      <c r="M2" s="9">
        <v>1</v>
      </c>
      <c r="N2" s="9">
        <v>24</v>
      </c>
      <c r="O2" s="9">
        <v>44</v>
      </c>
      <c r="P2" s="9">
        <v>50</v>
      </c>
      <c r="Q2" s="9">
        <v>66</v>
      </c>
      <c r="R2" s="9">
        <v>68</v>
      </c>
      <c r="S2" s="9">
        <v>50</v>
      </c>
      <c r="T2" s="9">
        <v>90</v>
      </c>
      <c r="U2" s="19">
        <v>44845</v>
      </c>
    </row>
    <row r="3" spans="1:21" x14ac:dyDescent="0.25">
      <c r="A3" s="9">
        <v>2023</v>
      </c>
      <c r="B3" s="9">
        <v>22</v>
      </c>
      <c r="C3" s="9">
        <v>0</v>
      </c>
      <c r="D3" s="9">
        <v>22</v>
      </c>
      <c r="E3" s="9">
        <v>1</v>
      </c>
      <c r="F3" s="9">
        <v>0</v>
      </c>
      <c r="G3" s="9">
        <v>1</v>
      </c>
      <c r="H3" s="9"/>
      <c r="I3" s="9"/>
      <c r="J3" s="9"/>
      <c r="K3" s="9"/>
      <c r="L3" s="9"/>
      <c r="M3" s="9"/>
      <c r="N3" s="9">
        <v>23</v>
      </c>
      <c r="O3" s="9">
        <v>44</v>
      </c>
      <c r="P3" s="9">
        <v>44</v>
      </c>
      <c r="Q3" s="9">
        <v>64.2</v>
      </c>
      <c r="R3" s="9">
        <v>67</v>
      </c>
      <c r="S3" s="9">
        <v>44</v>
      </c>
      <c r="T3" s="9">
        <v>87.2</v>
      </c>
      <c r="U3" s="19">
        <v>44845</v>
      </c>
    </row>
    <row r="4" spans="1:21" x14ac:dyDescent="0.25">
      <c r="A4" s="9">
        <v>2022</v>
      </c>
      <c r="B4" s="9">
        <v>19</v>
      </c>
      <c r="C4" s="9">
        <v>1</v>
      </c>
      <c r="D4" s="9">
        <v>20</v>
      </c>
      <c r="E4" s="9">
        <v>2</v>
      </c>
      <c r="F4" s="9">
        <v>0</v>
      </c>
      <c r="G4" s="9">
        <v>2</v>
      </c>
      <c r="H4" s="9"/>
      <c r="I4" s="9"/>
      <c r="J4" s="9"/>
      <c r="K4" s="9"/>
      <c r="L4" s="9"/>
      <c r="M4" s="9"/>
      <c r="N4" s="9">
        <v>22</v>
      </c>
      <c r="O4" s="9">
        <v>45</v>
      </c>
      <c r="P4" s="9">
        <v>36</v>
      </c>
      <c r="Q4" s="9">
        <v>81</v>
      </c>
      <c r="R4" s="9">
        <v>66</v>
      </c>
      <c r="S4" s="9">
        <v>37</v>
      </c>
      <c r="T4" s="9">
        <v>103</v>
      </c>
      <c r="U4" s="19">
        <v>40872</v>
      </c>
    </row>
    <row r="5" spans="1:21" x14ac:dyDescent="0.25">
      <c r="A5" s="9">
        <v>2021</v>
      </c>
      <c r="B5" s="9">
        <v>19</v>
      </c>
      <c r="C5" s="9">
        <v>1</v>
      </c>
      <c r="D5" s="9">
        <v>20</v>
      </c>
      <c r="E5" s="9">
        <v>2</v>
      </c>
      <c r="F5" s="9">
        <v>0</v>
      </c>
      <c r="G5" s="9">
        <v>2</v>
      </c>
      <c r="H5" s="9"/>
      <c r="I5" s="9"/>
      <c r="J5" s="9"/>
      <c r="K5" s="9"/>
      <c r="L5" s="9"/>
      <c r="M5" s="9"/>
      <c r="N5" s="9">
        <v>22</v>
      </c>
      <c r="O5" s="9">
        <v>45</v>
      </c>
      <c r="P5" s="9">
        <v>36</v>
      </c>
      <c r="Q5" s="9">
        <v>81</v>
      </c>
      <c r="R5" s="9">
        <v>66</v>
      </c>
      <c r="S5" s="9">
        <v>37</v>
      </c>
      <c r="T5" s="9">
        <v>103</v>
      </c>
      <c r="U5" s="19">
        <v>40872</v>
      </c>
    </row>
    <row r="6" spans="1:21" x14ac:dyDescent="0.25">
      <c r="A6" s="9">
        <v>2020</v>
      </c>
      <c r="B6" s="9">
        <v>19</v>
      </c>
      <c r="C6" s="9">
        <v>1</v>
      </c>
      <c r="D6" s="9">
        <v>20</v>
      </c>
      <c r="E6" s="9">
        <v>2</v>
      </c>
      <c r="F6" s="9">
        <v>1</v>
      </c>
      <c r="G6" s="9">
        <v>3</v>
      </c>
      <c r="H6" s="9"/>
      <c r="I6" s="9"/>
      <c r="J6" s="9"/>
      <c r="K6" s="9"/>
      <c r="L6" s="9"/>
      <c r="M6" s="9"/>
      <c r="N6" s="9">
        <v>22</v>
      </c>
      <c r="O6" s="9">
        <v>45</v>
      </c>
      <c r="P6" s="9">
        <v>36</v>
      </c>
      <c r="Q6" s="9">
        <v>60</v>
      </c>
      <c r="R6" s="9">
        <v>66</v>
      </c>
      <c r="S6" s="9">
        <v>38</v>
      </c>
      <c r="T6" s="9">
        <v>82</v>
      </c>
      <c r="U6" s="19">
        <v>39859</v>
      </c>
    </row>
    <row r="7" spans="1:21" x14ac:dyDescent="0.25">
      <c r="A7" s="9">
        <v>2019</v>
      </c>
      <c r="B7" s="9">
        <v>21</v>
      </c>
      <c r="C7" s="9">
        <v>1</v>
      </c>
      <c r="D7" s="9">
        <v>22</v>
      </c>
      <c r="E7" s="9">
        <v>0</v>
      </c>
      <c r="F7" s="9">
        <v>0</v>
      </c>
      <c r="G7" s="9">
        <v>0</v>
      </c>
      <c r="H7" s="9"/>
      <c r="I7" s="9"/>
      <c r="J7" s="9"/>
      <c r="K7" s="9"/>
      <c r="L7" s="9"/>
      <c r="M7" s="9"/>
      <c r="N7" s="9">
        <v>22</v>
      </c>
      <c r="O7" s="9">
        <v>45</v>
      </c>
      <c r="P7" s="9">
        <v>39</v>
      </c>
      <c r="Q7" s="9">
        <v>67</v>
      </c>
      <c r="R7" s="9">
        <v>66</v>
      </c>
      <c r="S7" s="9">
        <v>40</v>
      </c>
      <c r="T7" s="9">
        <v>89</v>
      </c>
      <c r="U7" s="20">
        <v>39852</v>
      </c>
    </row>
    <row r="8" spans="1:21" x14ac:dyDescent="0.25">
      <c r="A8" s="9">
        <v>2018</v>
      </c>
      <c r="B8" s="9">
        <v>15</v>
      </c>
      <c r="C8" s="9">
        <v>1</v>
      </c>
      <c r="D8" s="9">
        <v>16</v>
      </c>
      <c r="E8" s="9">
        <v>0</v>
      </c>
      <c r="F8" s="9">
        <v>0</v>
      </c>
      <c r="G8" s="9">
        <v>0</v>
      </c>
      <c r="H8" s="9">
        <v>2</v>
      </c>
      <c r="I8" s="9">
        <v>1</v>
      </c>
      <c r="J8" s="9">
        <v>2.75</v>
      </c>
      <c r="K8" s="9">
        <v>1</v>
      </c>
      <c r="L8" s="9">
        <v>0</v>
      </c>
      <c r="M8" s="9">
        <v>1</v>
      </c>
      <c r="N8" s="9">
        <v>19.5</v>
      </c>
      <c r="O8" s="9">
        <v>62</v>
      </c>
      <c r="P8" s="9">
        <v>43</v>
      </c>
      <c r="Q8" s="9">
        <v>75</v>
      </c>
      <c r="R8" s="9">
        <v>80</v>
      </c>
      <c r="S8" s="9">
        <v>45</v>
      </c>
      <c r="T8" s="9">
        <v>94.5</v>
      </c>
      <c r="U8" s="19">
        <v>39859</v>
      </c>
    </row>
    <row r="9" spans="1:21" x14ac:dyDescent="0.25">
      <c r="A9" s="9">
        <v>2017</v>
      </c>
      <c r="B9" s="9">
        <v>15</v>
      </c>
      <c r="C9" s="9">
        <v>1</v>
      </c>
      <c r="D9" s="9">
        <v>16</v>
      </c>
      <c r="E9" s="9"/>
      <c r="F9" s="9"/>
      <c r="G9" s="9"/>
      <c r="H9" s="9">
        <v>2</v>
      </c>
      <c r="I9" s="9">
        <v>1</v>
      </c>
      <c r="J9" s="9">
        <v>3</v>
      </c>
      <c r="K9" s="9">
        <v>1</v>
      </c>
      <c r="L9" s="9">
        <v>0</v>
      </c>
      <c r="M9" s="9">
        <v>1</v>
      </c>
      <c r="N9" s="9">
        <v>20</v>
      </c>
      <c r="O9" s="9">
        <v>44</v>
      </c>
      <c r="P9" s="9">
        <v>43</v>
      </c>
      <c r="Q9" s="9">
        <v>76</v>
      </c>
      <c r="R9" s="9">
        <v>62</v>
      </c>
      <c r="S9" s="9">
        <v>45</v>
      </c>
      <c r="T9" s="9">
        <v>96</v>
      </c>
      <c r="U9" s="19">
        <v>39859</v>
      </c>
    </row>
    <row r="10" spans="1:21" x14ac:dyDescent="0.25">
      <c r="A10" s="9">
        <v>2016</v>
      </c>
      <c r="B10" s="9">
        <v>11</v>
      </c>
      <c r="C10" s="9">
        <v>1</v>
      </c>
      <c r="D10" s="9">
        <v>11.75</v>
      </c>
      <c r="E10" s="9"/>
      <c r="F10" s="9"/>
      <c r="G10" s="9"/>
      <c r="H10" s="9">
        <v>2</v>
      </c>
      <c r="I10" s="9">
        <v>1</v>
      </c>
      <c r="J10" s="9">
        <v>2.75</v>
      </c>
      <c r="K10" s="9">
        <v>4</v>
      </c>
      <c r="L10" s="9">
        <v>1</v>
      </c>
      <c r="M10" s="9">
        <v>4.75</v>
      </c>
      <c r="N10" s="9">
        <v>19.25</v>
      </c>
      <c r="O10" s="9">
        <v>43</v>
      </c>
      <c r="P10" s="9">
        <v>42</v>
      </c>
      <c r="Q10" s="9">
        <v>74.5</v>
      </c>
      <c r="R10" s="9">
        <v>60</v>
      </c>
      <c r="S10" s="9">
        <v>45</v>
      </c>
      <c r="T10" s="9">
        <v>93.75</v>
      </c>
      <c r="U10" s="19">
        <v>38432</v>
      </c>
    </row>
    <row r="11" spans="1:21" x14ac:dyDescent="0.25">
      <c r="A11" s="9">
        <v>2015</v>
      </c>
      <c r="B11" s="9">
        <v>17</v>
      </c>
      <c r="C11" s="9">
        <v>0</v>
      </c>
      <c r="D11" s="9">
        <v>17</v>
      </c>
      <c r="E11" s="9"/>
      <c r="F11" s="9"/>
      <c r="G11" s="9"/>
      <c r="H11" s="9">
        <v>2</v>
      </c>
      <c r="I11" s="9">
        <v>1</v>
      </c>
      <c r="J11" s="9">
        <v>3</v>
      </c>
      <c r="K11" s="9">
        <v>4</v>
      </c>
      <c r="L11" s="9">
        <v>1</v>
      </c>
      <c r="M11" s="9">
        <v>5</v>
      </c>
      <c r="N11" s="9">
        <v>25</v>
      </c>
      <c r="O11" s="9">
        <v>17</v>
      </c>
      <c r="P11" s="9">
        <v>60</v>
      </c>
      <c r="Q11" s="9">
        <v>90</v>
      </c>
      <c r="R11" s="9">
        <v>40</v>
      </c>
      <c r="S11" s="9">
        <v>62</v>
      </c>
      <c r="T11" s="9">
        <v>115</v>
      </c>
      <c r="U11" s="19">
        <v>38432</v>
      </c>
    </row>
    <row r="12" spans="1:21" x14ac:dyDescent="0.25">
      <c r="A12" s="9">
        <v>2014</v>
      </c>
      <c r="B12" s="9">
        <v>17</v>
      </c>
      <c r="C12" s="9">
        <v>0</v>
      </c>
      <c r="D12" s="9">
        <v>17</v>
      </c>
      <c r="E12" s="9"/>
      <c r="F12" s="9"/>
      <c r="G12" s="9"/>
      <c r="H12" s="9">
        <v>2</v>
      </c>
      <c r="I12" s="9">
        <v>1</v>
      </c>
      <c r="J12" s="9">
        <v>3</v>
      </c>
      <c r="K12" s="9">
        <v>4</v>
      </c>
      <c r="L12" s="9">
        <v>1</v>
      </c>
      <c r="M12" s="9">
        <v>5</v>
      </c>
      <c r="N12" s="9">
        <v>25</v>
      </c>
      <c r="O12" s="9">
        <v>17</v>
      </c>
      <c r="P12" s="9">
        <v>60</v>
      </c>
      <c r="Q12" s="9">
        <v>90</v>
      </c>
      <c r="R12" s="9">
        <v>40</v>
      </c>
      <c r="S12" s="9">
        <v>62</v>
      </c>
      <c r="T12" s="9">
        <v>115</v>
      </c>
      <c r="U12" s="19">
        <v>38432</v>
      </c>
    </row>
    <row r="13" spans="1:21" x14ac:dyDescent="0.25">
      <c r="A13" s="9">
        <v>2013</v>
      </c>
      <c r="B13" s="9">
        <v>17</v>
      </c>
      <c r="C13" s="9">
        <v>0</v>
      </c>
      <c r="D13" s="9">
        <v>17</v>
      </c>
      <c r="E13" s="9"/>
      <c r="F13" s="9"/>
      <c r="G13" s="9"/>
      <c r="H13" s="9">
        <v>3</v>
      </c>
      <c r="I13" s="9">
        <v>1</v>
      </c>
      <c r="J13" s="9">
        <v>4</v>
      </c>
      <c r="K13" s="9">
        <v>3</v>
      </c>
      <c r="L13" s="9">
        <v>1</v>
      </c>
      <c r="M13" s="9">
        <v>4</v>
      </c>
      <c r="N13" s="9">
        <v>25</v>
      </c>
      <c r="O13" s="9">
        <v>16</v>
      </c>
      <c r="P13" s="9">
        <v>57</v>
      </c>
      <c r="Q13" s="9">
        <v>46</v>
      </c>
      <c r="R13" s="9">
        <v>39</v>
      </c>
      <c r="S13" s="9">
        <v>59</v>
      </c>
      <c r="T13" s="9">
        <v>71</v>
      </c>
      <c r="U13" s="20">
        <v>37313</v>
      </c>
    </row>
    <row r="14" spans="1:21" x14ac:dyDescent="0.25">
      <c r="A14" s="9">
        <v>2012</v>
      </c>
      <c r="B14" s="9">
        <v>16</v>
      </c>
      <c r="C14" s="9">
        <v>0</v>
      </c>
      <c r="D14" s="9"/>
      <c r="E14" s="9"/>
      <c r="F14" s="9"/>
      <c r="G14" s="9"/>
      <c r="H14" s="9">
        <v>2</v>
      </c>
      <c r="I14" s="9">
        <v>2</v>
      </c>
      <c r="J14" s="9">
        <v>4</v>
      </c>
      <c r="K14" s="9">
        <v>4</v>
      </c>
      <c r="L14" s="9">
        <v>0</v>
      </c>
      <c r="M14" s="9">
        <v>4</v>
      </c>
      <c r="N14" s="9">
        <v>23.5</v>
      </c>
      <c r="O14" s="9">
        <v>16</v>
      </c>
      <c r="P14" s="9">
        <v>44</v>
      </c>
      <c r="Q14" s="9">
        <v>41</v>
      </c>
      <c r="R14" s="9">
        <v>38</v>
      </c>
      <c r="S14" s="9">
        <v>46</v>
      </c>
      <c r="T14" s="9">
        <v>64.5</v>
      </c>
      <c r="U14" s="19">
        <v>35868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6"/>
  <sheetViews>
    <sheetView workbookViewId="0">
      <selection activeCell="S20" sqref="S20"/>
    </sheetView>
  </sheetViews>
  <sheetFormatPr defaultRowHeight="15" x14ac:dyDescent="0.25"/>
  <cols>
    <col min="1" max="1" width="26" style="1"/>
    <col min="2" max="2" width="26.28515625" style="1" customWidth="1"/>
    <col min="3" max="3" width="26" style="1"/>
    <col min="4" max="4" width="29" style="1" customWidth="1"/>
    <col min="5" max="5" width="26.28515625" style="1" customWidth="1"/>
    <col min="6" max="6" width="28" style="1" customWidth="1"/>
    <col min="7" max="7" width="26" style="1"/>
    <col min="8" max="8" width="26.28515625" style="1" customWidth="1"/>
    <col min="9" max="9" width="29.28515625" style="1" customWidth="1"/>
    <col min="10" max="10" width="32.5703125" style="1" customWidth="1"/>
    <col min="11" max="11" width="32" style="1" customWidth="1"/>
    <col min="12" max="12" width="31.28515625" style="1" customWidth="1"/>
    <col min="13" max="13" width="28.5703125" style="1" customWidth="1"/>
    <col min="14" max="14" width="26" style="1"/>
    <col min="15" max="17" width="26.140625" style="1" bestFit="1" customWidth="1"/>
    <col min="18" max="18" width="41.5703125" style="1" customWidth="1"/>
    <col min="19" max="19" width="37.5703125" style="1" customWidth="1"/>
    <col min="20" max="20" width="12.140625" bestFit="1" customWidth="1"/>
  </cols>
  <sheetData>
    <row r="1" spans="1:20" ht="90" x14ac:dyDescent="0.2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 x14ac:dyDescent="0.25">
      <c r="A2" s="1">
        <v>2024</v>
      </c>
      <c r="B2" s="1">
        <v>4.5999999999999996</v>
      </c>
      <c r="C2" s="3">
        <v>8450000</v>
      </c>
      <c r="D2" s="3">
        <v>0</v>
      </c>
      <c r="E2" s="3">
        <v>8450000</v>
      </c>
      <c r="F2" s="3">
        <v>0</v>
      </c>
      <c r="G2" s="4">
        <v>634916.78</v>
      </c>
      <c r="H2" s="3">
        <v>634917</v>
      </c>
      <c r="I2" s="3">
        <v>0</v>
      </c>
      <c r="J2" s="3">
        <v>634917</v>
      </c>
      <c r="K2" s="3">
        <v>7641</v>
      </c>
      <c r="L2" s="3">
        <v>0</v>
      </c>
      <c r="M2" s="3">
        <v>7641</v>
      </c>
      <c r="N2" s="3">
        <v>0</v>
      </c>
      <c r="O2" s="3">
        <v>51200</v>
      </c>
      <c r="P2" s="3">
        <v>0</v>
      </c>
      <c r="Q2" s="3">
        <v>9143758</v>
      </c>
      <c r="R2" s="3">
        <v>0</v>
      </c>
      <c r="T2" s="3">
        <v>9143758</v>
      </c>
    </row>
    <row r="3" spans="1:20" x14ac:dyDescent="0.25">
      <c r="A3" s="1">
        <v>2023</v>
      </c>
      <c r="B3" s="1">
        <v>4.8</v>
      </c>
      <c r="C3" s="3">
        <v>7970000</v>
      </c>
      <c r="D3" s="3">
        <v>0</v>
      </c>
      <c r="E3" s="3">
        <v>7970000</v>
      </c>
      <c r="F3" s="3">
        <v>0</v>
      </c>
      <c r="G3" s="3">
        <v>634917</v>
      </c>
      <c r="H3" s="3">
        <v>634917</v>
      </c>
      <c r="I3" s="3">
        <v>0</v>
      </c>
      <c r="J3" s="3">
        <v>634917</v>
      </c>
      <c r="K3" s="3">
        <v>55771</v>
      </c>
      <c r="L3" s="3">
        <v>0</v>
      </c>
      <c r="M3" s="3">
        <v>55771</v>
      </c>
      <c r="N3" s="3">
        <v>0</v>
      </c>
      <c r="O3" s="3">
        <v>60500</v>
      </c>
      <c r="P3" s="3">
        <v>0</v>
      </c>
      <c r="Q3" s="3">
        <v>8721188</v>
      </c>
      <c r="R3" s="3">
        <v>0</v>
      </c>
      <c r="T3" s="3">
        <v>8721188</v>
      </c>
    </row>
    <row r="4" spans="1:20" x14ac:dyDescent="0.25">
      <c r="A4" s="1">
        <v>2022</v>
      </c>
      <c r="B4" s="1">
        <v>4.8</v>
      </c>
      <c r="C4" s="3">
        <v>7736000</v>
      </c>
      <c r="D4" s="3">
        <v>0</v>
      </c>
      <c r="E4" s="3">
        <v>7736000</v>
      </c>
      <c r="F4" s="3">
        <v>0</v>
      </c>
      <c r="G4" s="3">
        <v>459154</v>
      </c>
      <c r="H4" s="3">
        <v>459154</v>
      </c>
      <c r="I4" s="3">
        <v>49623</v>
      </c>
      <c r="J4" s="3">
        <v>508777</v>
      </c>
      <c r="K4" s="3">
        <v>33000</v>
      </c>
      <c r="L4" s="3">
        <v>0</v>
      </c>
      <c r="M4" s="3">
        <v>33000</v>
      </c>
      <c r="N4" s="3">
        <v>0</v>
      </c>
      <c r="O4" s="3">
        <v>0</v>
      </c>
      <c r="P4" s="3">
        <v>0</v>
      </c>
      <c r="Q4" s="3">
        <v>8277777</v>
      </c>
      <c r="R4" s="3">
        <v>0</v>
      </c>
      <c r="T4" s="3">
        <v>8277777</v>
      </c>
    </row>
    <row r="5" spans="1:20" x14ac:dyDescent="0.25">
      <c r="A5" s="1">
        <v>2021</v>
      </c>
      <c r="B5" s="1">
        <v>4.8</v>
      </c>
      <c r="C5" s="3">
        <v>6974000</v>
      </c>
      <c r="D5" s="3">
        <v>0</v>
      </c>
      <c r="E5" s="3">
        <v>6974000</v>
      </c>
      <c r="F5" s="3">
        <v>0</v>
      </c>
      <c r="G5" s="3">
        <v>452146</v>
      </c>
      <c r="H5" s="3">
        <v>452146</v>
      </c>
      <c r="I5" s="3">
        <v>0</v>
      </c>
      <c r="J5" s="3">
        <v>452146</v>
      </c>
      <c r="K5" s="3">
        <v>1000</v>
      </c>
      <c r="L5" s="3">
        <v>0</v>
      </c>
      <c r="M5" s="3">
        <v>1000</v>
      </c>
      <c r="N5" s="3">
        <v>0</v>
      </c>
      <c r="O5" s="3">
        <v>0</v>
      </c>
      <c r="P5" s="3">
        <v>0</v>
      </c>
      <c r="Q5" s="3">
        <v>7427146</v>
      </c>
      <c r="R5" s="3">
        <v>0</v>
      </c>
      <c r="S5" s="3">
        <v>0</v>
      </c>
      <c r="T5" s="3">
        <v>7427146</v>
      </c>
    </row>
    <row r="6" spans="1:20" x14ac:dyDescent="0.25">
      <c r="A6" s="1">
        <v>2020</v>
      </c>
      <c r="B6" s="1">
        <v>4.8</v>
      </c>
      <c r="C6" s="3">
        <v>6864999</v>
      </c>
      <c r="D6" s="3">
        <v>0</v>
      </c>
      <c r="E6" s="3">
        <v>6864999</v>
      </c>
      <c r="F6" s="3">
        <v>0</v>
      </c>
      <c r="G6" s="3">
        <v>452146</v>
      </c>
      <c r="H6" s="3">
        <v>452146</v>
      </c>
      <c r="I6" s="1">
        <v>0</v>
      </c>
      <c r="J6" s="3">
        <v>452146</v>
      </c>
      <c r="K6" s="3">
        <v>7487</v>
      </c>
      <c r="L6" s="1">
        <v>0</v>
      </c>
      <c r="M6" s="3">
        <v>7487</v>
      </c>
      <c r="N6" s="3">
        <v>50000</v>
      </c>
      <c r="O6" s="3">
        <v>0</v>
      </c>
      <c r="P6" s="3">
        <v>0</v>
      </c>
      <c r="Q6" s="3">
        <v>7324632</v>
      </c>
      <c r="R6" s="3">
        <v>50000</v>
      </c>
      <c r="S6" s="3">
        <v>50000</v>
      </c>
      <c r="T6" s="3">
        <v>7374632</v>
      </c>
    </row>
    <row r="7" spans="1:20" x14ac:dyDescent="0.25">
      <c r="A7" s="1">
        <v>2019</v>
      </c>
      <c r="B7" s="1">
        <v>4.8</v>
      </c>
      <c r="C7" s="3">
        <v>6206120</v>
      </c>
      <c r="D7" s="3">
        <v>1000000</v>
      </c>
      <c r="E7" s="3">
        <v>6206120</v>
      </c>
      <c r="F7" s="3">
        <v>1000000</v>
      </c>
      <c r="G7" s="3">
        <v>395628</v>
      </c>
      <c r="H7" s="3">
        <v>395628</v>
      </c>
      <c r="I7" s="3">
        <v>21739</v>
      </c>
      <c r="J7" s="3">
        <v>417367</v>
      </c>
      <c r="K7" s="3">
        <v>15650</v>
      </c>
      <c r="L7" s="3">
        <v>0</v>
      </c>
      <c r="M7" s="3">
        <v>15650</v>
      </c>
      <c r="N7" s="3">
        <v>50000</v>
      </c>
      <c r="O7" s="3">
        <v>0</v>
      </c>
      <c r="P7" s="3">
        <v>0</v>
      </c>
      <c r="Q7" s="3">
        <v>6639137</v>
      </c>
      <c r="R7" s="3">
        <v>1050000</v>
      </c>
      <c r="S7" s="3">
        <v>1050000</v>
      </c>
      <c r="T7" s="3">
        <v>7689137</v>
      </c>
    </row>
    <row r="8" spans="1:20" x14ac:dyDescent="0.25">
      <c r="A8" s="1">
        <v>2018</v>
      </c>
      <c r="B8" s="1">
        <v>4.8</v>
      </c>
      <c r="C8" s="3">
        <v>6296120</v>
      </c>
      <c r="E8" s="3">
        <v>6296120</v>
      </c>
      <c r="G8" s="3">
        <v>395628</v>
      </c>
      <c r="H8" s="3">
        <v>395628</v>
      </c>
      <c r="I8" s="3">
        <v>17391</v>
      </c>
      <c r="J8" s="3">
        <v>395628</v>
      </c>
      <c r="O8" s="1">
        <v>0</v>
      </c>
      <c r="P8" s="1">
        <v>0</v>
      </c>
      <c r="Q8" s="3">
        <v>6296120</v>
      </c>
      <c r="T8" s="3">
        <v>6296120</v>
      </c>
    </row>
    <row r="9" spans="1:20" x14ac:dyDescent="0.25">
      <c r="A9" s="1">
        <v>2017</v>
      </c>
      <c r="B9" s="1">
        <v>4.7</v>
      </c>
      <c r="C9" s="3">
        <v>5460350</v>
      </c>
      <c r="D9" s="3">
        <v>110000</v>
      </c>
      <c r="E9" s="3">
        <v>5460350</v>
      </c>
      <c r="F9" s="3">
        <v>110000</v>
      </c>
      <c r="G9" s="3">
        <v>339110</v>
      </c>
      <c r="H9" s="3">
        <v>339110</v>
      </c>
      <c r="I9" s="3">
        <v>30629</v>
      </c>
      <c r="J9" s="3">
        <v>369739</v>
      </c>
      <c r="L9" s="3">
        <v>850</v>
      </c>
      <c r="O9" s="3">
        <v>140280</v>
      </c>
      <c r="P9" s="1">
        <v>0</v>
      </c>
      <c r="Q9" s="3">
        <v>5971219</v>
      </c>
      <c r="R9" s="3">
        <v>110000</v>
      </c>
      <c r="T9" s="3">
        <v>6081219</v>
      </c>
    </row>
    <row r="10" spans="1:20" x14ac:dyDescent="0.25">
      <c r="A10" s="1">
        <v>2016</v>
      </c>
      <c r="B10" s="1">
        <v>4.42</v>
      </c>
      <c r="C10" s="3">
        <v>5113000</v>
      </c>
      <c r="D10" s="3">
        <v>110000</v>
      </c>
      <c r="E10" s="3">
        <v>5113000</v>
      </c>
      <c r="F10" s="3">
        <v>110000</v>
      </c>
      <c r="G10" s="3">
        <v>339110</v>
      </c>
      <c r="H10" s="3">
        <v>339110</v>
      </c>
      <c r="I10" s="3">
        <v>147874</v>
      </c>
      <c r="J10" s="3">
        <v>486984</v>
      </c>
      <c r="K10" s="3">
        <v>4390</v>
      </c>
      <c r="O10" s="3">
        <v>153500</v>
      </c>
      <c r="P10" s="1">
        <v>0</v>
      </c>
      <c r="Q10" s="3">
        <v>5757874</v>
      </c>
      <c r="R10" s="3">
        <v>110000</v>
      </c>
      <c r="T10" s="3">
        <v>5757874</v>
      </c>
    </row>
    <row r="11" spans="1:20" x14ac:dyDescent="0.25">
      <c r="A11" s="1">
        <v>2015</v>
      </c>
      <c r="B11" s="1">
        <v>4.42</v>
      </c>
      <c r="C11" s="3">
        <v>4936120</v>
      </c>
      <c r="D11" s="3">
        <v>110000</v>
      </c>
      <c r="E11" s="3">
        <v>4936120</v>
      </c>
      <c r="F11" s="3">
        <v>110000</v>
      </c>
      <c r="G11" s="3">
        <v>206504</v>
      </c>
      <c r="H11" s="3">
        <v>206504</v>
      </c>
      <c r="I11" s="3">
        <v>76087</v>
      </c>
      <c r="J11" s="3">
        <v>282591</v>
      </c>
      <c r="O11" s="3">
        <v>157971</v>
      </c>
      <c r="P11" s="1">
        <v>0</v>
      </c>
      <c r="Q11" s="3">
        <v>5376682</v>
      </c>
      <c r="R11" s="3">
        <v>110000</v>
      </c>
      <c r="T11" s="3">
        <v>5376682</v>
      </c>
    </row>
    <row r="12" spans="1:20" x14ac:dyDescent="0.25">
      <c r="A12" s="1">
        <v>2014</v>
      </c>
      <c r="B12" s="1">
        <v>4.4000000000000004</v>
      </c>
      <c r="C12" s="3">
        <v>4962800</v>
      </c>
      <c r="D12" s="3">
        <v>110000</v>
      </c>
      <c r="E12" s="3">
        <v>4962800</v>
      </c>
      <c r="F12" s="3">
        <v>110000</v>
      </c>
      <c r="G12" s="3">
        <v>206504</v>
      </c>
      <c r="H12" s="3">
        <v>206504</v>
      </c>
      <c r="I12" s="3">
        <v>76087</v>
      </c>
      <c r="J12" s="3">
        <v>282591</v>
      </c>
      <c r="K12" s="3">
        <v>250</v>
      </c>
      <c r="O12" s="3">
        <v>157416</v>
      </c>
      <c r="P12" s="1">
        <v>0</v>
      </c>
      <c r="Q12" s="3">
        <v>5403057</v>
      </c>
      <c r="R12" s="3">
        <v>110000</v>
      </c>
      <c r="T12" s="3">
        <v>5513057</v>
      </c>
    </row>
    <row r="13" spans="1:20" x14ac:dyDescent="0.25">
      <c r="A13" s="1">
        <v>2013</v>
      </c>
      <c r="B13" s="1">
        <v>4.4000000000000004</v>
      </c>
      <c r="C13" s="3">
        <v>4804490</v>
      </c>
      <c r="D13" s="3">
        <v>110300</v>
      </c>
      <c r="E13" s="3">
        <v>4804490</v>
      </c>
      <c r="F13" s="3">
        <v>110300</v>
      </c>
      <c r="G13" s="3">
        <v>226073</v>
      </c>
      <c r="H13" s="3">
        <v>226073</v>
      </c>
      <c r="I13" s="3">
        <v>30884</v>
      </c>
      <c r="J13" s="3">
        <v>256957</v>
      </c>
      <c r="O13" s="3">
        <v>158648</v>
      </c>
      <c r="P13" s="3">
        <v>0</v>
      </c>
      <c r="Q13" s="3">
        <v>5220095</v>
      </c>
      <c r="R13" s="3">
        <v>110300</v>
      </c>
      <c r="S13" s="3"/>
      <c r="T13" s="3">
        <v>5330395</v>
      </c>
    </row>
    <row r="14" spans="1:20" x14ac:dyDescent="0.25">
      <c r="A14" s="1">
        <v>2012</v>
      </c>
      <c r="B14" s="1">
        <v>4.3</v>
      </c>
      <c r="C14" s="3">
        <v>4458386</v>
      </c>
      <c r="D14" s="3">
        <v>469006</v>
      </c>
      <c r="E14" s="3">
        <v>4458386</v>
      </c>
      <c r="F14" s="3">
        <v>469006</v>
      </c>
      <c r="G14" s="3">
        <v>165690</v>
      </c>
      <c r="H14" s="3">
        <v>193471</v>
      </c>
      <c r="I14" s="3">
        <v>27781</v>
      </c>
      <c r="J14" s="3">
        <v>193471</v>
      </c>
      <c r="P14" s="1">
        <v>0</v>
      </c>
      <c r="Q14" s="3">
        <v>4851502</v>
      </c>
      <c r="R14" s="3">
        <v>469006</v>
      </c>
      <c r="T14" s="3">
        <v>5320508</v>
      </c>
    </row>
    <row r="15" spans="1:20" x14ac:dyDescent="0.25">
      <c r="T15" s="1"/>
    </row>
    <row r="16" spans="1:20" x14ac:dyDescent="0.25">
      <c r="T1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selection activeCell="B21" sqref="B21"/>
    </sheetView>
  </sheetViews>
  <sheetFormatPr defaultRowHeight="15" x14ac:dyDescent="0.25"/>
  <cols>
    <col min="2" max="4" width="26" style="1"/>
  </cols>
  <sheetData>
    <row r="1" spans="1:4" ht="30" x14ac:dyDescent="0.25">
      <c r="A1" s="5" t="s">
        <v>0</v>
      </c>
      <c r="B1" s="1" t="s">
        <v>47</v>
      </c>
      <c r="C1" s="1" t="s">
        <v>48</v>
      </c>
      <c r="D1" s="1" t="s">
        <v>49</v>
      </c>
    </row>
    <row r="2" spans="1:4" x14ac:dyDescent="0.25">
      <c r="A2" s="7">
        <v>2024</v>
      </c>
      <c r="B2" s="3">
        <v>4268095</v>
      </c>
      <c r="C2" s="3">
        <v>1981809</v>
      </c>
      <c r="D2" s="3">
        <v>6249904</v>
      </c>
    </row>
    <row r="3" spans="1:4" x14ac:dyDescent="0.25">
      <c r="A3" s="7">
        <v>2023</v>
      </c>
      <c r="B3" s="3">
        <v>3961856</v>
      </c>
      <c r="C3" s="3">
        <v>1735896</v>
      </c>
      <c r="D3" s="3">
        <v>5697752</v>
      </c>
    </row>
    <row r="4" spans="1:4" x14ac:dyDescent="0.25">
      <c r="A4" s="7">
        <v>2022</v>
      </c>
      <c r="B4" s="3">
        <v>3778650</v>
      </c>
      <c r="C4" s="3">
        <v>1519379</v>
      </c>
      <c r="D4" s="3">
        <v>5298029</v>
      </c>
    </row>
    <row r="5" spans="1:4" x14ac:dyDescent="0.25">
      <c r="A5" s="7">
        <v>2021</v>
      </c>
      <c r="B5" s="3">
        <v>3791735</v>
      </c>
      <c r="C5" s="3">
        <v>1497183</v>
      </c>
      <c r="D5" s="3">
        <v>5288918</v>
      </c>
    </row>
    <row r="6" spans="1:4" x14ac:dyDescent="0.25">
      <c r="A6" s="7">
        <v>2020</v>
      </c>
      <c r="B6" s="3">
        <v>3791735</v>
      </c>
      <c r="C6" s="3">
        <v>1497183</v>
      </c>
      <c r="D6" s="3">
        <v>5288918</v>
      </c>
    </row>
    <row r="7" spans="1:4" x14ac:dyDescent="0.25">
      <c r="A7" s="7">
        <v>2019</v>
      </c>
      <c r="B7" s="3">
        <v>3485164</v>
      </c>
      <c r="C7" s="3">
        <v>1278441</v>
      </c>
      <c r="D7" s="3">
        <v>4763605</v>
      </c>
    </row>
    <row r="8" spans="1:4" x14ac:dyDescent="0.25">
      <c r="A8" s="7">
        <v>2018</v>
      </c>
      <c r="B8" s="3">
        <v>3339050</v>
      </c>
      <c r="C8" s="3">
        <v>1244296</v>
      </c>
      <c r="D8" s="3">
        <v>4583346</v>
      </c>
    </row>
    <row r="9" spans="1:4" x14ac:dyDescent="0.25">
      <c r="A9" s="7">
        <v>2017</v>
      </c>
      <c r="B9" s="3">
        <v>3166597</v>
      </c>
      <c r="C9" s="3">
        <v>1069046</v>
      </c>
      <c r="D9" s="3">
        <v>4235643</v>
      </c>
    </row>
    <row r="10" spans="1:4" x14ac:dyDescent="0.25">
      <c r="A10" s="7">
        <v>2016</v>
      </c>
      <c r="B10" s="3">
        <v>3083406</v>
      </c>
      <c r="C10" s="3">
        <v>911888</v>
      </c>
      <c r="D10" s="3">
        <v>3995294</v>
      </c>
    </row>
    <row r="11" spans="1:4" x14ac:dyDescent="0.25">
      <c r="A11" s="7">
        <v>2015</v>
      </c>
      <c r="B11" s="3">
        <v>2873322</v>
      </c>
      <c r="C11" s="3">
        <v>918431</v>
      </c>
      <c r="D11" s="3">
        <v>3791753</v>
      </c>
    </row>
    <row r="12" spans="1:4" x14ac:dyDescent="0.25">
      <c r="A12" s="7">
        <v>2014</v>
      </c>
      <c r="B12" s="3">
        <v>2716788</v>
      </c>
      <c r="C12" s="3">
        <v>846154</v>
      </c>
      <c r="D12" s="3">
        <v>3562942</v>
      </c>
    </row>
    <row r="13" spans="1:4" x14ac:dyDescent="0.25">
      <c r="A13" s="7">
        <v>2013</v>
      </c>
      <c r="B13" s="4">
        <v>2694405</v>
      </c>
      <c r="C13" s="4">
        <v>831643</v>
      </c>
      <c r="D13" s="4">
        <v>3526048</v>
      </c>
    </row>
    <row r="14" spans="1:4" x14ac:dyDescent="0.25">
      <c r="A14" s="10">
        <v>2012</v>
      </c>
      <c r="B14" s="3">
        <v>2573046</v>
      </c>
      <c r="C14" s="3">
        <v>760185</v>
      </c>
      <c r="D14" s="3">
        <v>3333231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>
      <selection sqref="A1:A1048576"/>
    </sheetView>
  </sheetViews>
  <sheetFormatPr defaultColWidth="19.7109375" defaultRowHeight="15" x14ac:dyDescent="0.25"/>
  <cols>
    <col min="1" max="1" width="9.42578125" customWidth="1"/>
  </cols>
  <sheetData>
    <row r="1" spans="1:7" ht="90" x14ac:dyDescent="0.25">
      <c r="A1" s="18" t="s">
        <v>0</v>
      </c>
      <c r="B1" s="18" t="s">
        <v>50</v>
      </c>
      <c r="C1" s="18" t="s">
        <v>51</v>
      </c>
      <c r="D1" s="18" t="s">
        <v>52</v>
      </c>
      <c r="E1" s="18" t="s">
        <v>53</v>
      </c>
      <c r="F1" s="18" t="s">
        <v>54</v>
      </c>
      <c r="G1" s="18" t="s">
        <v>55</v>
      </c>
    </row>
    <row r="2" spans="1:7" x14ac:dyDescent="0.25">
      <c r="A2" s="9">
        <v>2024</v>
      </c>
      <c r="B2" s="13">
        <v>602251</v>
      </c>
      <c r="C2" s="13">
        <v>1001435</v>
      </c>
      <c r="D2" s="13">
        <v>101600</v>
      </c>
      <c r="E2" s="13">
        <v>82000</v>
      </c>
      <c r="F2" s="13">
        <v>183600</v>
      </c>
      <c r="G2" s="13">
        <v>1787286</v>
      </c>
    </row>
    <row r="3" spans="1:7" x14ac:dyDescent="0.25">
      <c r="A3" s="9">
        <v>2023</v>
      </c>
      <c r="B3" s="13">
        <v>570615</v>
      </c>
      <c r="C3" s="13">
        <v>1032165</v>
      </c>
      <c r="D3" s="13">
        <v>103600</v>
      </c>
      <c r="E3" s="13">
        <v>0</v>
      </c>
      <c r="F3" s="13">
        <v>103600</v>
      </c>
      <c r="G3" s="13">
        <v>1706380</v>
      </c>
    </row>
    <row r="4" spans="1:7" x14ac:dyDescent="0.25">
      <c r="A4" s="9">
        <v>2022</v>
      </c>
      <c r="B4" s="13">
        <v>539565</v>
      </c>
      <c r="C4" s="13">
        <v>850637</v>
      </c>
      <c r="D4" s="13">
        <v>108100</v>
      </c>
      <c r="E4" s="13">
        <v>182413</v>
      </c>
      <c r="F4" s="13">
        <v>290513</v>
      </c>
      <c r="G4" s="13">
        <v>1680715</v>
      </c>
    </row>
    <row r="5" spans="1:7" x14ac:dyDescent="0.25">
      <c r="A5" s="9">
        <v>2021</v>
      </c>
      <c r="B5" s="13">
        <v>452146</v>
      </c>
      <c r="C5" s="13">
        <v>991374</v>
      </c>
      <c r="D5" s="13">
        <v>98333</v>
      </c>
      <c r="E5" s="13">
        <v>135170</v>
      </c>
      <c r="F5" s="13">
        <v>233503</v>
      </c>
      <c r="G5" s="13">
        <v>1677023</v>
      </c>
    </row>
    <row r="6" spans="1:7" x14ac:dyDescent="0.25">
      <c r="A6" s="9">
        <v>2020</v>
      </c>
      <c r="B6" s="13">
        <v>457019</v>
      </c>
      <c r="C6" s="13">
        <v>498040</v>
      </c>
      <c r="D6" s="13">
        <v>92134</v>
      </c>
      <c r="E6" s="13">
        <v>191884</v>
      </c>
      <c r="F6" s="13">
        <v>284018</v>
      </c>
      <c r="G6" s="13">
        <v>1239077</v>
      </c>
    </row>
    <row r="7" spans="1:7" x14ac:dyDescent="0.25">
      <c r="A7" s="9">
        <v>2019</v>
      </c>
      <c r="B7" s="13">
        <v>444339</v>
      </c>
      <c r="C7" s="13">
        <v>391129</v>
      </c>
      <c r="D7" s="13">
        <v>87970</v>
      </c>
      <c r="E7" s="13">
        <v>52567</v>
      </c>
      <c r="F7" s="13">
        <v>140537</v>
      </c>
      <c r="G7" s="13">
        <v>976005</v>
      </c>
    </row>
    <row r="8" spans="1:7" x14ac:dyDescent="0.25">
      <c r="A8" s="9">
        <v>2018</v>
      </c>
      <c r="B8" s="13">
        <v>451886</v>
      </c>
      <c r="C8" s="13">
        <v>242741</v>
      </c>
      <c r="D8" s="13">
        <v>113175</v>
      </c>
      <c r="E8" s="13">
        <v>24641</v>
      </c>
      <c r="F8" s="9"/>
      <c r="G8" s="13">
        <v>832443</v>
      </c>
    </row>
    <row r="9" spans="1:7" x14ac:dyDescent="0.25">
      <c r="A9" s="9">
        <v>2017</v>
      </c>
      <c r="B9" s="13">
        <v>429434</v>
      </c>
      <c r="C9" s="13">
        <v>202432</v>
      </c>
      <c r="D9" s="13">
        <v>79970</v>
      </c>
      <c r="E9" s="13">
        <v>25839</v>
      </c>
      <c r="F9" s="9"/>
      <c r="G9" s="13">
        <v>737675</v>
      </c>
    </row>
    <row r="10" spans="1:7" x14ac:dyDescent="0.25">
      <c r="A10" s="9">
        <v>2016</v>
      </c>
      <c r="B10" s="13">
        <v>283300</v>
      </c>
      <c r="C10" s="13">
        <v>240673</v>
      </c>
      <c r="D10" s="13">
        <v>71200</v>
      </c>
      <c r="E10" s="13">
        <v>27641</v>
      </c>
      <c r="F10" s="13">
        <v>98841</v>
      </c>
      <c r="G10" s="13">
        <v>622814</v>
      </c>
    </row>
    <row r="11" spans="1:7" x14ac:dyDescent="0.25">
      <c r="A11" s="9">
        <v>2015</v>
      </c>
      <c r="B11" s="13">
        <v>355790</v>
      </c>
      <c r="C11" s="13">
        <v>101130</v>
      </c>
      <c r="D11" s="13">
        <v>83746</v>
      </c>
      <c r="E11" s="13">
        <v>21785</v>
      </c>
      <c r="F11" s="9"/>
      <c r="G11" s="13">
        <v>562451</v>
      </c>
    </row>
    <row r="12" spans="1:7" x14ac:dyDescent="0.25">
      <c r="A12" s="9">
        <v>2014</v>
      </c>
      <c r="B12" s="13">
        <v>393488</v>
      </c>
      <c r="C12" s="13">
        <v>151503</v>
      </c>
      <c r="D12" s="13">
        <v>99296</v>
      </c>
      <c r="E12" s="13">
        <v>15550</v>
      </c>
      <c r="F12" s="9"/>
      <c r="G12" s="13">
        <v>659837</v>
      </c>
    </row>
    <row r="13" spans="1:7" x14ac:dyDescent="0.25">
      <c r="A13" s="9">
        <v>2013</v>
      </c>
      <c r="B13" s="13">
        <v>417337</v>
      </c>
      <c r="C13" s="13">
        <v>116711</v>
      </c>
      <c r="D13" s="13">
        <v>79750</v>
      </c>
      <c r="E13" s="13"/>
      <c r="F13" s="13"/>
      <c r="G13" s="13">
        <v>613798</v>
      </c>
    </row>
    <row r="14" spans="1:7" x14ac:dyDescent="0.25">
      <c r="A14" s="9">
        <v>2012</v>
      </c>
      <c r="B14" s="13">
        <v>360268</v>
      </c>
      <c r="C14" s="13">
        <v>65250</v>
      </c>
      <c r="D14" s="13">
        <v>89750</v>
      </c>
      <c r="E14" s="13">
        <v>89750</v>
      </c>
      <c r="F14" s="13">
        <v>89750</v>
      </c>
      <c r="G14" s="13">
        <v>515268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workbookViewId="0">
      <selection activeCell="H1" sqref="H1"/>
    </sheetView>
  </sheetViews>
  <sheetFormatPr defaultRowHeight="15" x14ac:dyDescent="0.25"/>
  <cols>
    <col min="1" max="6" width="15.85546875" customWidth="1"/>
  </cols>
  <sheetData>
    <row r="1" spans="1:6" ht="135" x14ac:dyDescent="0.25">
      <c r="A1" s="18" t="s">
        <v>0</v>
      </c>
      <c r="B1" s="18" t="s">
        <v>56</v>
      </c>
      <c r="C1" s="18" t="s">
        <v>57</v>
      </c>
      <c r="D1" s="18" t="s">
        <v>58</v>
      </c>
      <c r="E1" s="18" t="s">
        <v>59</v>
      </c>
      <c r="F1" s="18" t="s">
        <v>60</v>
      </c>
    </row>
    <row r="2" spans="1:6" x14ac:dyDescent="0.25">
      <c r="A2" s="9">
        <v>2024</v>
      </c>
      <c r="B2" s="13">
        <v>213750</v>
      </c>
      <c r="C2" s="13">
        <v>246000</v>
      </c>
      <c r="D2" s="13">
        <v>561337</v>
      </c>
      <c r="E2" s="13">
        <v>1021087</v>
      </c>
      <c r="F2" s="13">
        <v>9058277</v>
      </c>
    </row>
    <row r="3" spans="1:6" x14ac:dyDescent="0.25">
      <c r="A3" s="9">
        <v>2023</v>
      </c>
      <c r="B3" s="13">
        <v>110413</v>
      </c>
      <c r="C3" s="13">
        <v>368800</v>
      </c>
      <c r="D3" s="13">
        <v>596259</v>
      </c>
      <c r="E3" s="13">
        <v>1075472</v>
      </c>
      <c r="F3" s="13">
        <v>8479604</v>
      </c>
    </row>
    <row r="4" spans="1:6" x14ac:dyDescent="0.25">
      <c r="A4" s="9">
        <v>2022</v>
      </c>
      <c r="B4" s="13">
        <v>345120</v>
      </c>
      <c r="C4" s="13">
        <v>449740</v>
      </c>
      <c r="D4" s="13">
        <v>461060</v>
      </c>
      <c r="E4" s="13">
        <v>1255920</v>
      </c>
      <c r="F4" s="13">
        <v>8234664</v>
      </c>
    </row>
    <row r="5" spans="1:6" x14ac:dyDescent="0.25">
      <c r="A5" s="9">
        <v>2021</v>
      </c>
      <c r="B5" s="13">
        <v>345120</v>
      </c>
      <c r="C5" s="13">
        <v>427750</v>
      </c>
      <c r="D5" s="13">
        <v>453100</v>
      </c>
      <c r="E5" s="13">
        <v>1225970</v>
      </c>
      <c r="F5" s="13">
        <v>8191911</v>
      </c>
    </row>
    <row r="6" spans="1:6" x14ac:dyDescent="0.25">
      <c r="A6" s="9">
        <v>2020</v>
      </c>
      <c r="B6" s="13">
        <v>152100</v>
      </c>
      <c r="C6" s="13">
        <v>315000</v>
      </c>
      <c r="D6" s="13">
        <v>516551</v>
      </c>
      <c r="E6" s="13">
        <v>983651</v>
      </c>
      <c r="F6" s="13">
        <v>7511646</v>
      </c>
    </row>
    <row r="7" spans="1:6" x14ac:dyDescent="0.25">
      <c r="A7" s="9">
        <v>2019</v>
      </c>
      <c r="B7" s="13">
        <v>92000</v>
      </c>
      <c r="C7" s="13">
        <v>309500</v>
      </c>
      <c r="D7" s="13">
        <v>609804</v>
      </c>
      <c r="E7" s="13">
        <v>1011304</v>
      </c>
      <c r="F7" s="13">
        <v>6750914</v>
      </c>
    </row>
    <row r="8" spans="1:6" x14ac:dyDescent="0.25">
      <c r="A8" s="9">
        <v>2018</v>
      </c>
      <c r="B8" s="13">
        <v>162494</v>
      </c>
      <c r="C8" s="13">
        <v>283190</v>
      </c>
      <c r="D8" s="13">
        <v>363483</v>
      </c>
      <c r="E8" s="13">
        <v>809167</v>
      </c>
      <c r="F8" s="13">
        <v>6224956</v>
      </c>
    </row>
    <row r="9" spans="1:6" x14ac:dyDescent="0.25">
      <c r="A9" s="9">
        <v>2017</v>
      </c>
      <c r="B9" s="13">
        <v>112276</v>
      </c>
      <c r="C9" s="13">
        <v>378334</v>
      </c>
      <c r="D9" s="13">
        <v>393858</v>
      </c>
      <c r="E9" s="13">
        <v>884468</v>
      </c>
      <c r="F9" s="13">
        <v>5857786</v>
      </c>
    </row>
    <row r="10" spans="1:6" x14ac:dyDescent="0.25">
      <c r="A10" s="9">
        <v>2016</v>
      </c>
      <c r="B10" s="13">
        <v>4565</v>
      </c>
      <c r="C10" s="13">
        <v>400076</v>
      </c>
      <c r="D10" s="13">
        <v>360686</v>
      </c>
      <c r="E10" s="13">
        <v>765327</v>
      </c>
      <c r="F10" s="13">
        <v>5383435</v>
      </c>
    </row>
    <row r="11" spans="1:6" x14ac:dyDescent="0.25">
      <c r="A11" s="9">
        <v>2015</v>
      </c>
      <c r="B11" s="13">
        <v>812</v>
      </c>
      <c r="C11" s="13">
        <v>582406</v>
      </c>
      <c r="D11" s="13">
        <v>252691</v>
      </c>
      <c r="E11" s="13">
        <v>835909</v>
      </c>
      <c r="F11" s="13">
        <v>5190113</v>
      </c>
    </row>
    <row r="12" spans="1:6" x14ac:dyDescent="0.25">
      <c r="A12" s="9">
        <v>2014</v>
      </c>
      <c r="B12" s="13">
        <v>5196</v>
      </c>
      <c r="C12" s="13">
        <v>549217</v>
      </c>
      <c r="D12" s="13">
        <v>333761</v>
      </c>
      <c r="E12" s="13">
        <v>888174</v>
      </c>
      <c r="F12" s="13">
        <v>5110953</v>
      </c>
    </row>
    <row r="13" spans="1:6" x14ac:dyDescent="0.25">
      <c r="A13" s="9">
        <v>2013</v>
      </c>
      <c r="B13" s="13">
        <v>6133</v>
      </c>
      <c r="C13" s="13">
        <v>790432</v>
      </c>
      <c r="D13" s="13">
        <v>200625</v>
      </c>
      <c r="E13" s="13">
        <v>997190</v>
      </c>
      <c r="F13" s="13">
        <v>5137036</v>
      </c>
    </row>
    <row r="14" spans="1:6" x14ac:dyDescent="0.25">
      <c r="A14" s="9">
        <v>2012</v>
      </c>
      <c r="B14" s="13">
        <v>13495</v>
      </c>
      <c r="C14" s="13">
        <v>559158</v>
      </c>
      <c r="D14" s="13">
        <v>319697</v>
      </c>
      <c r="E14" s="13">
        <v>892350</v>
      </c>
      <c r="F14" s="13">
        <v>4740849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workbookViewId="0">
      <selection activeCell="L8" sqref="L8"/>
    </sheetView>
  </sheetViews>
  <sheetFormatPr defaultRowHeight="15" x14ac:dyDescent="0.25"/>
  <sheetData>
    <row r="1" spans="1:6" ht="105" x14ac:dyDescent="0.25">
      <c r="A1" s="5" t="s">
        <v>0</v>
      </c>
      <c r="B1" s="6" t="s">
        <v>61</v>
      </c>
      <c r="C1" s="6" t="s">
        <v>62</v>
      </c>
      <c r="D1" s="6" t="s">
        <v>63</v>
      </c>
      <c r="E1" s="6" t="s">
        <v>64</v>
      </c>
      <c r="F1" s="6" t="s">
        <v>65</v>
      </c>
    </row>
    <row r="2" spans="1:6" x14ac:dyDescent="0.25">
      <c r="A2" s="7">
        <v>2024</v>
      </c>
      <c r="B2" s="13">
        <v>0</v>
      </c>
      <c r="C2" s="13">
        <v>0</v>
      </c>
      <c r="D2" s="13">
        <v>0</v>
      </c>
      <c r="E2" s="13">
        <v>0</v>
      </c>
      <c r="F2" s="13">
        <v>0</v>
      </c>
    </row>
    <row r="3" spans="1:6" x14ac:dyDescent="0.25">
      <c r="A3" s="7">
        <v>2023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</row>
    <row r="4" spans="1:6" x14ac:dyDescent="0.25">
      <c r="A4" s="7">
        <v>2022</v>
      </c>
      <c r="B4" s="13">
        <v>0</v>
      </c>
      <c r="C4" s="13">
        <v>40000</v>
      </c>
      <c r="D4" s="13">
        <v>345120</v>
      </c>
      <c r="E4" s="13">
        <v>0</v>
      </c>
      <c r="F4" s="13">
        <v>385120</v>
      </c>
    </row>
    <row r="5" spans="1:6" x14ac:dyDescent="0.25">
      <c r="A5" s="7">
        <v>2021</v>
      </c>
      <c r="B5" s="13">
        <v>0</v>
      </c>
      <c r="C5" s="13">
        <v>0</v>
      </c>
      <c r="D5" s="13">
        <v>345120</v>
      </c>
      <c r="E5" s="13">
        <v>0</v>
      </c>
      <c r="F5" s="13">
        <v>345120</v>
      </c>
    </row>
    <row r="6" spans="1:6" x14ac:dyDescent="0.25">
      <c r="A6" s="7">
        <v>2020</v>
      </c>
      <c r="B6" s="13">
        <v>0</v>
      </c>
      <c r="C6" s="13">
        <v>109000</v>
      </c>
      <c r="D6" s="13">
        <v>52100</v>
      </c>
      <c r="E6" s="13">
        <v>0</v>
      </c>
      <c r="F6" s="13">
        <v>161100</v>
      </c>
    </row>
    <row r="7" spans="1:6" x14ac:dyDescent="0.25">
      <c r="A7" s="7">
        <v>2019</v>
      </c>
      <c r="B7" s="13">
        <v>0</v>
      </c>
      <c r="C7" s="13">
        <v>232000</v>
      </c>
      <c r="D7" s="13">
        <v>30000</v>
      </c>
      <c r="E7" s="13">
        <v>0</v>
      </c>
      <c r="F7" s="13">
        <v>262000</v>
      </c>
    </row>
    <row r="8" spans="1:6" x14ac:dyDescent="0.25">
      <c r="A8" s="7">
        <v>2018</v>
      </c>
      <c r="B8" s="9"/>
      <c r="C8" s="9"/>
      <c r="D8" s="9"/>
      <c r="E8" s="9"/>
      <c r="F8" s="9"/>
    </row>
    <row r="9" spans="1:6" x14ac:dyDescent="0.25">
      <c r="A9" s="7">
        <v>2017</v>
      </c>
      <c r="B9" s="9">
        <v>0</v>
      </c>
      <c r="C9" s="9">
        <v>0</v>
      </c>
      <c r="D9" s="9">
        <v>0</v>
      </c>
      <c r="E9" s="9">
        <v>0</v>
      </c>
      <c r="F9" s="9">
        <v>0</v>
      </c>
    </row>
    <row r="10" spans="1:6" x14ac:dyDescent="0.25">
      <c r="A10" s="7">
        <v>2016</v>
      </c>
      <c r="B10" s="9"/>
      <c r="C10" s="9"/>
      <c r="D10" s="9"/>
      <c r="E10" s="9"/>
      <c r="F10" s="9"/>
    </row>
    <row r="11" spans="1:6" x14ac:dyDescent="0.25">
      <c r="A11" s="7">
        <v>2015</v>
      </c>
      <c r="B11" s="9"/>
      <c r="C11" s="9"/>
      <c r="D11" s="9"/>
      <c r="E11" s="9"/>
      <c r="F11" s="9"/>
    </row>
    <row r="12" spans="1:6" x14ac:dyDescent="0.25">
      <c r="A12" s="7">
        <v>2014</v>
      </c>
      <c r="B12" s="13">
        <v>14544</v>
      </c>
      <c r="C12" s="9"/>
      <c r="D12" s="9"/>
      <c r="E12" s="9"/>
      <c r="F12" s="13">
        <v>14544</v>
      </c>
    </row>
    <row r="13" spans="1:6" x14ac:dyDescent="0.25">
      <c r="A13" s="7">
        <v>2013</v>
      </c>
      <c r="B13" s="9"/>
      <c r="C13" s="14">
        <v>26524</v>
      </c>
      <c r="D13" s="9"/>
      <c r="E13" s="14">
        <v>83776</v>
      </c>
      <c r="F13" s="14">
        <v>110300</v>
      </c>
    </row>
    <row r="14" spans="1:6" x14ac:dyDescent="0.25">
      <c r="A14" s="10">
        <v>2012</v>
      </c>
      <c r="B14" s="12"/>
      <c r="C14" s="12"/>
      <c r="D14" s="12"/>
      <c r="E14" s="12"/>
      <c r="F14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4"/>
  <sheetViews>
    <sheetView workbookViewId="0">
      <selection activeCell="G5" sqref="G5"/>
    </sheetView>
  </sheetViews>
  <sheetFormatPr defaultRowHeight="15" x14ac:dyDescent="0.25"/>
  <cols>
    <col min="1" max="1" width="15" customWidth="1"/>
    <col min="2" max="2" width="45.7109375" customWidth="1"/>
  </cols>
  <sheetData>
    <row r="1" spans="1:2" ht="105" x14ac:dyDescent="0.25">
      <c r="A1" s="18" t="s">
        <v>0</v>
      </c>
      <c r="B1" s="18" t="s">
        <v>66</v>
      </c>
    </row>
    <row r="2" spans="1:2" x14ac:dyDescent="0.25">
      <c r="A2" s="9">
        <v>2024</v>
      </c>
      <c r="B2" s="13">
        <v>9058277</v>
      </c>
    </row>
    <row r="3" spans="1:2" x14ac:dyDescent="0.25">
      <c r="A3" s="9">
        <v>2023</v>
      </c>
      <c r="B3" s="13">
        <v>8479604</v>
      </c>
    </row>
    <row r="4" spans="1:2" x14ac:dyDescent="0.25">
      <c r="A4" s="9">
        <v>2022</v>
      </c>
      <c r="B4" s="13">
        <v>8619784</v>
      </c>
    </row>
    <row r="5" spans="1:2" x14ac:dyDescent="0.25">
      <c r="A5" s="9">
        <v>2021</v>
      </c>
      <c r="B5" s="13">
        <v>8537031</v>
      </c>
    </row>
    <row r="6" spans="1:2" x14ac:dyDescent="0.25">
      <c r="A6" s="9">
        <v>2020</v>
      </c>
      <c r="B6" s="13">
        <v>7672746</v>
      </c>
    </row>
    <row r="7" spans="1:2" x14ac:dyDescent="0.25">
      <c r="A7" s="9">
        <v>2019</v>
      </c>
      <c r="B7" s="13">
        <v>7012914</v>
      </c>
    </row>
    <row r="8" spans="1:2" x14ac:dyDescent="0.25">
      <c r="A8" s="9">
        <v>2018</v>
      </c>
      <c r="B8" s="13">
        <v>6224956</v>
      </c>
    </row>
    <row r="9" spans="1:2" x14ac:dyDescent="0.25">
      <c r="A9" s="9">
        <v>2017</v>
      </c>
      <c r="B9" s="13">
        <v>5857786</v>
      </c>
    </row>
    <row r="10" spans="1:2" x14ac:dyDescent="0.25">
      <c r="A10" s="9">
        <v>2016</v>
      </c>
      <c r="B10" s="13">
        <v>5383435</v>
      </c>
    </row>
    <row r="11" spans="1:2" x14ac:dyDescent="0.25">
      <c r="A11" s="9">
        <v>2015</v>
      </c>
      <c r="B11" s="13">
        <v>5190113</v>
      </c>
    </row>
    <row r="12" spans="1:2" x14ac:dyDescent="0.25">
      <c r="A12" s="9">
        <v>2014</v>
      </c>
      <c r="B12" s="13">
        <v>5125497</v>
      </c>
    </row>
    <row r="13" spans="1:2" x14ac:dyDescent="0.25">
      <c r="A13" s="9">
        <v>2013</v>
      </c>
      <c r="B13" s="13">
        <v>5247336</v>
      </c>
    </row>
    <row r="14" spans="1:2" x14ac:dyDescent="0.25">
      <c r="A14" s="9">
        <v>2012</v>
      </c>
      <c r="B14" s="13">
        <v>4740849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5"/>
  <sheetViews>
    <sheetView topLeftCell="F1" workbookViewId="0">
      <selection activeCell="O13" sqref="O13"/>
    </sheetView>
  </sheetViews>
  <sheetFormatPr defaultColWidth="13.42578125" defaultRowHeight="15" x14ac:dyDescent="0.25"/>
  <cols>
    <col min="2" max="4" width="13.42578125" style="28"/>
    <col min="5" max="7" width="13.42578125" style="32"/>
    <col min="11" max="13" width="13.42578125" style="36"/>
    <col min="20" max="20" width="13.42578125" style="40"/>
    <col min="24" max="24" width="13.42578125" style="43"/>
  </cols>
  <sheetData>
    <row r="1" spans="1:24" ht="121.5" thickTop="1" thickBot="1" x14ac:dyDescent="0.3">
      <c r="A1" s="6" t="s">
        <v>0</v>
      </c>
      <c r="B1" s="25" t="s">
        <v>67</v>
      </c>
      <c r="C1" s="25" t="s">
        <v>68</v>
      </c>
      <c r="D1" s="25" t="s">
        <v>69</v>
      </c>
      <c r="E1" s="29" t="s">
        <v>70</v>
      </c>
      <c r="F1" s="29" t="s">
        <v>71</v>
      </c>
      <c r="G1" s="29" t="s">
        <v>72</v>
      </c>
      <c r="H1" s="6" t="s">
        <v>73</v>
      </c>
      <c r="I1" s="6" t="s">
        <v>74</v>
      </c>
      <c r="J1" s="6" t="s">
        <v>75</v>
      </c>
      <c r="K1" s="33" t="s">
        <v>76</v>
      </c>
      <c r="L1" s="33" t="s">
        <v>77</v>
      </c>
      <c r="M1" s="33" t="s">
        <v>78</v>
      </c>
      <c r="N1" s="25" t="s">
        <v>79</v>
      </c>
      <c r="O1" s="24" t="s">
        <v>135</v>
      </c>
      <c r="P1" s="6" t="s">
        <v>80</v>
      </c>
      <c r="Q1" s="6" t="s">
        <v>81</v>
      </c>
      <c r="R1" s="6" t="s">
        <v>82</v>
      </c>
      <c r="S1" s="6" t="s">
        <v>83</v>
      </c>
      <c r="T1" s="37" t="s">
        <v>84</v>
      </c>
      <c r="U1" s="6" t="s">
        <v>85</v>
      </c>
      <c r="V1" s="6" t="s">
        <v>86</v>
      </c>
      <c r="W1" s="6" t="s">
        <v>87</v>
      </c>
      <c r="X1" s="44" t="s">
        <v>88</v>
      </c>
    </row>
    <row r="2" spans="1:24" ht="31.5" thickTop="1" thickBot="1" x14ac:dyDescent="0.3">
      <c r="A2" s="9">
        <v>2024</v>
      </c>
      <c r="B2" s="26">
        <v>34889</v>
      </c>
      <c r="C2" s="26">
        <v>37817</v>
      </c>
      <c r="D2" s="26">
        <v>337543</v>
      </c>
      <c r="E2" s="30">
        <v>0</v>
      </c>
      <c r="F2" s="30">
        <v>0</v>
      </c>
      <c r="G2" s="30">
        <v>0</v>
      </c>
      <c r="H2" s="17">
        <v>405</v>
      </c>
      <c r="I2" s="17">
        <v>2238</v>
      </c>
      <c r="J2" s="17">
        <v>9912</v>
      </c>
      <c r="K2" s="34">
        <v>1221</v>
      </c>
      <c r="L2" s="34">
        <v>2510</v>
      </c>
      <c r="M2" s="34">
        <v>18817</v>
      </c>
      <c r="N2" s="26">
        <v>368607</v>
      </c>
      <c r="O2" s="24"/>
      <c r="P2" s="22" t="s">
        <v>136</v>
      </c>
      <c r="Q2" s="22" t="s">
        <v>136</v>
      </c>
      <c r="R2" s="22" t="s">
        <v>136</v>
      </c>
      <c r="S2" s="22" t="s">
        <v>136</v>
      </c>
      <c r="T2" s="22" t="s">
        <v>136</v>
      </c>
      <c r="U2" s="22" t="s">
        <v>136</v>
      </c>
      <c r="V2" s="22" t="s">
        <v>136</v>
      </c>
      <c r="W2" s="22" t="s">
        <v>136</v>
      </c>
      <c r="X2" s="22" t="s">
        <v>136</v>
      </c>
    </row>
    <row r="3" spans="1:24" ht="16.5" thickTop="1" thickBot="1" x14ac:dyDescent="0.3">
      <c r="A3" s="9">
        <v>2023</v>
      </c>
      <c r="B3" s="26">
        <v>35624</v>
      </c>
      <c r="C3" s="26">
        <v>27696</v>
      </c>
      <c r="D3" s="26">
        <v>340471</v>
      </c>
      <c r="E3" s="30">
        <v>0</v>
      </c>
      <c r="F3" s="30">
        <v>0</v>
      </c>
      <c r="G3" s="30">
        <v>0</v>
      </c>
      <c r="H3" s="17">
        <v>1137</v>
      </c>
      <c r="I3" s="17">
        <v>1736</v>
      </c>
      <c r="J3" s="17">
        <v>11745</v>
      </c>
      <c r="K3" s="34">
        <v>1974</v>
      </c>
      <c r="L3" s="34">
        <v>1458</v>
      </c>
      <c r="M3" s="34">
        <v>20106</v>
      </c>
      <c r="N3" s="26">
        <v>372965</v>
      </c>
      <c r="O3" s="24"/>
      <c r="P3" s="23">
        <v>593480</v>
      </c>
      <c r="Q3" s="23">
        <v>99441</v>
      </c>
      <c r="R3" s="23">
        <v>801332</v>
      </c>
      <c r="S3" s="23">
        <v>4802</v>
      </c>
      <c r="T3" s="39">
        <v>1499055</v>
      </c>
      <c r="U3" s="17">
        <v>30</v>
      </c>
      <c r="V3" s="17">
        <v>0</v>
      </c>
      <c r="W3" s="17">
        <v>71</v>
      </c>
      <c r="X3" s="41">
        <v>101</v>
      </c>
    </row>
    <row r="4" spans="1:24" ht="16.5" thickTop="1" thickBot="1" x14ac:dyDescent="0.3">
      <c r="A4" s="9">
        <v>2022</v>
      </c>
      <c r="B4" s="26">
        <v>33211</v>
      </c>
      <c r="C4" s="26">
        <v>20594</v>
      </c>
      <c r="D4" s="26">
        <v>349889</v>
      </c>
      <c r="E4" s="30">
        <v>0</v>
      </c>
      <c r="F4" s="30">
        <v>0</v>
      </c>
      <c r="G4" s="30">
        <v>8</v>
      </c>
      <c r="H4" s="17">
        <v>1279</v>
      </c>
      <c r="I4" s="17">
        <v>1095</v>
      </c>
      <c r="J4" s="17">
        <v>11539</v>
      </c>
      <c r="K4" s="34">
        <v>2409</v>
      </c>
      <c r="L4" s="34">
        <v>1149</v>
      </c>
      <c r="M4" s="34">
        <v>19099</v>
      </c>
      <c r="N4" s="26">
        <v>380527</v>
      </c>
      <c r="O4" s="24"/>
      <c r="P4" s="23">
        <v>482680</v>
      </c>
      <c r="Q4" s="23">
        <v>89213</v>
      </c>
      <c r="R4" s="23">
        <v>660172</v>
      </c>
      <c r="S4" s="23">
        <v>4149</v>
      </c>
      <c r="T4" s="39">
        <v>1236214</v>
      </c>
      <c r="U4" s="17">
        <v>30</v>
      </c>
      <c r="V4" s="17">
        <v>0</v>
      </c>
      <c r="W4" s="17">
        <v>55</v>
      </c>
      <c r="X4" s="41">
        <v>85</v>
      </c>
    </row>
    <row r="5" spans="1:24" ht="16.5" thickTop="1" thickBot="1" x14ac:dyDescent="0.3">
      <c r="A5" s="9">
        <v>2021</v>
      </c>
      <c r="B5" s="26">
        <v>29505</v>
      </c>
      <c r="C5" s="26">
        <v>21768</v>
      </c>
      <c r="D5" s="26">
        <v>337272</v>
      </c>
      <c r="E5" s="30">
        <v>0</v>
      </c>
      <c r="F5" s="30">
        <v>0</v>
      </c>
      <c r="G5" s="30">
        <v>1</v>
      </c>
      <c r="H5" s="17">
        <v>1569</v>
      </c>
      <c r="I5" s="17">
        <v>1082</v>
      </c>
      <c r="J5" s="17">
        <v>11355</v>
      </c>
      <c r="K5" s="34">
        <v>1755</v>
      </c>
      <c r="L5" s="34">
        <v>1031</v>
      </c>
      <c r="M5" s="34">
        <v>17839</v>
      </c>
      <c r="N5" s="26">
        <v>366666</v>
      </c>
      <c r="O5" s="24"/>
      <c r="P5" s="23">
        <v>415590</v>
      </c>
      <c r="Q5" s="23">
        <v>106110</v>
      </c>
      <c r="R5" s="23">
        <v>469901</v>
      </c>
      <c r="S5" s="22">
        <v>275</v>
      </c>
      <c r="T5" s="39">
        <v>991876</v>
      </c>
      <c r="U5" s="17">
        <v>9</v>
      </c>
      <c r="V5" s="17">
        <v>0</v>
      </c>
      <c r="W5" s="17">
        <v>55</v>
      </c>
      <c r="X5" s="41">
        <v>64</v>
      </c>
    </row>
    <row r="6" spans="1:24" ht="16.5" thickTop="1" thickBot="1" x14ac:dyDescent="0.3">
      <c r="A6" s="9">
        <v>2020</v>
      </c>
      <c r="B6" s="26">
        <v>30318</v>
      </c>
      <c r="C6" s="26">
        <v>24476</v>
      </c>
      <c r="D6" s="26">
        <v>329535</v>
      </c>
      <c r="E6" s="30">
        <v>0</v>
      </c>
      <c r="F6" s="30">
        <v>0</v>
      </c>
      <c r="G6" s="30">
        <v>1</v>
      </c>
      <c r="H6" s="17">
        <v>957</v>
      </c>
      <c r="I6" s="17">
        <v>798</v>
      </c>
      <c r="J6" s="17">
        <v>10868</v>
      </c>
      <c r="K6" s="34">
        <v>2378</v>
      </c>
      <c r="L6" s="34">
        <v>720</v>
      </c>
      <c r="M6" s="34">
        <v>17115</v>
      </c>
      <c r="N6" s="26">
        <f>SUM(Table12[[#This Row],[Collections: Total print materials held]]+Table12[[#This Row],[Collections: Total print serials subscriptions (individual serial titles) held]]+Table12[[#This Row],[Collections: Audio materials (physical units), number held]]+Table12[[#This Row],[Collections: Video materials (physical units), number held]])</f>
        <v>357519</v>
      </c>
      <c r="O6" s="24"/>
      <c r="P6" s="23">
        <v>400701</v>
      </c>
      <c r="Q6" s="23">
        <v>71306</v>
      </c>
      <c r="R6" s="23">
        <v>446251</v>
      </c>
      <c r="S6" s="22">
        <v>278</v>
      </c>
      <c r="T6" s="39">
        <v>918536</v>
      </c>
      <c r="U6" s="17">
        <v>9</v>
      </c>
      <c r="V6" s="17">
        <v>0</v>
      </c>
      <c r="W6" s="17">
        <v>55</v>
      </c>
      <c r="X6" s="41">
        <v>64</v>
      </c>
    </row>
    <row r="7" spans="1:24" ht="16.5" thickTop="1" thickBot="1" x14ac:dyDescent="0.3">
      <c r="A7" s="9">
        <v>2019</v>
      </c>
      <c r="B7" s="26">
        <v>32111</v>
      </c>
      <c r="C7" s="26">
        <v>33645</v>
      </c>
      <c r="D7" s="26">
        <v>323693</v>
      </c>
      <c r="E7" s="30">
        <v>0</v>
      </c>
      <c r="F7" s="30">
        <v>1</v>
      </c>
      <c r="G7" s="30">
        <v>1</v>
      </c>
      <c r="H7" s="17">
        <v>1208</v>
      </c>
      <c r="I7" s="17">
        <v>1060</v>
      </c>
      <c r="J7" s="17">
        <v>10709</v>
      </c>
      <c r="K7" s="34">
        <v>2571</v>
      </c>
      <c r="L7" s="34">
        <v>1099</v>
      </c>
      <c r="M7" s="34">
        <v>15457</v>
      </c>
      <c r="N7" s="26">
        <f>SUM(Table12[[#This Row],[Collections: Total print materials held]]+Table12[[#This Row],[Collections: Total print serials subscriptions (individual serial titles) held]]+Table12[[#This Row],[Collections: Audio materials (physical units), number held]]+Table12[[#This Row],[Collections: Video materials (physical units), number held]])</f>
        <v>349860</v>
      </c>
      <c r="O7" s="24"/>
      <c r="P7" s="23">
        <v>371671</v>
      </c>
      <c r="Q7" s="23">
        <v>43685</v>
      </c>
      <c r="R7" s="23">
        <v>317099</v>
      </c>
      <c r="S7" s="22">
        <v>204</v>
      </c>
      <c r="T7" s="39">
        <v>732659</v>
      </c>
      <c r="U7" s="17">
        <v>9</v>
      </c>
      <c r="V7" s="17">
        <v>0</v>
      </c>
      <c r="W7" s="17">
        <v>51</v>
      </c>
      <c r="X7" s="41">
        <v>60</v>
      </c>
    </row>
    <row r="8" spans="1:24" ht="16.5" thickTop="1" thickBot="1" x14ac:dyDescent="0.3">
      <c r="A8" s="9">
        <v>2018</v>
      </c>
      <c r="B8" s="26">
        <v>30345</v>
      </c>
      <c r="C8" s="26">
        <v>51733</v>
      </c>
      <c r="D8" s="26">
        <v>338545</v>
      </c>
      <c r="E8" s="30">
        <v>0</v>
      </c>
      <c r="F8" s="30">
        <v>0</v>
      </c>
      <c r="G8" s="30">
        <v>315</v>
      </c>
      <c r="H8" s="17">
        <v>1588</v>
      </c>
      <c r="I8" s="17">
        <v>1186</v>
      </c>
      <c r="J8" s="17">
        <v>11435</v>
      </c>
      <c r="K8" s="34">
        <v>2752</v>
      </c>
      <c r="L8" s="34">
        <v>1645</v>
      </c>
      <c r="M8" s="34">
        <v>15421</v>
      </c>
      <c r="N8" s="26">
        <f>SUM(Table12[[#This Row],[Collections: Total print materials held]]+Table12[[#This Row],[Collections: Total print serials subscriptions (individual serial titles) held]]+Table12[[#This Row],[Collections: Audio materials (physical units), number held]]+Table12[[#This Row],[Collections: Video materials (physical units), number held]])</f>
        <v>365716</v>
      </c>
      <c r="O8" s="24"/>
      <c r="P8" s="23">
        <v>7516</v>
      </c>
      <c r="Q8" s="22">
        <v>0</v>
      </c>
      <c r="R8" s="23">
        <v>9837</v>
      </c>
      <c r="S8" s="22">
        <v>151</v>
      </c>
      <c r="T8" s="39">
        <v>17504</v>
      </c>
      <c r="U8" s="17">
        <v>6</v>
      </c>
      <c r="V8" s="17">
        <v>0</v>
      </c>
      <c r="W8" s="17">
        <v>50</v>
      </c>
      <c r="X8" s="41">
        <v>56</v>
      </c>
    </row>
    <row r="9" spans="1:24" ht="16.5" thickTop="1" thickBot="1" x14ac:dyDescent="0.3">
      <c r="A9" s="9">
        <v>2017</v>
      </c>
      <c r="B9" s="26">
        <v>27594</v>
      </c>
      <c r="C9" s="26">
        <v>43966</v>
      </c>
      <c r="D9" s="26">
        <v>359933</v>
      </c>
      <c r="E9" s="30">
        <v>0</v>
      </c>
      <c r="F9" s="30">
        <v>1</v>
      </c>
      <c r="G9" s="30">
        <v>338</v>
      </c>
      <c r="H9" s="17">
        <v>1122</v>
      </c>
      <c r="I9" s="17">
        <v>1859</v>
      </c>
      <c r="J9" s="17">
        <v>11033</v>
      </c>
      <c r="K9" s="34">
        <v>1017</v>
      </c>
      <c r="L9" s="34">
        <v>2064</v>
      </c>
      <c r="M9" s="34">
        <v>14314</v>
      </c>
      <c r="N9" s="26">
        <f>SUM(Table12[[#This Row],[Collections: Total print materials held]]+Table12[[#This Row],[Collections: Total print serials subscriptions (individual serial titles) held]]+Table12[[#This Row],[Collections: Audio materials (physical units), number held]]+Table12[[#This Row],[Collections: Video materials (physical units), number held]])</f>
        <v>385618</v>
      </c>
      <c r="O9" s="24"/>
      <c r="P9" s="23">
        <v>7788</v>
      </c>
      <c r="Q9" s="22">
        <v>0</v>
      </c>
      <c r="R9" s="23">
        <v>5856</v>
      </c>
      <c r="S9" s="22">
        <v>141</v>
      </c>
      <c r="T9" s="39">
        <v>13785</v>
      </c>
      <c r="U9" s="17">
        <v>9</v>
      </c>
      <c r="V9" s="17"/>
      <c r="W9" s="17">
        <v>50</v>
      </c>
      <c r="X9" s="41">
        <v>59</v>
      </c>
    </row>
    <row r="10" spans="1:24" ht="16.5" thickTop="1" thickBot="1" x14ac:dyDescent="0.3">
      <c r="A10" s="9">
        <v>2016</v>
      </c>
      <c r="B10" s="26">
        <v>30549</v>
      </c>
      <c r="C10" s="26">
        <v>23160</v>
      </c>
      <c r="D10" s="26">
        <v>369257</v>
      </c>
      <c r="E10" s="30">
        <v>0</v>
      </c>
      <c r="F10" s="30">
        <v>0</v>
      </c>
      <c r="G10" s="30">
        <v>339</v>
      </c>
      <c r="H10" s="17">
        <v>1299</v>
      </c>
      <c r="I10" s="17">
        <v>7196</v>
      </c>
      <c r="J10" s="17">
        <v>10945</v>
      </c>
      <c r="K10" s="34">
        <v>1106</v>
      </c>
      <c r="L10" s="34">
        <v>0</v>
      </c>
      <c r="M10" s="34">
        <v>13835</v>
      </c>
      <c r="N10" s="26">
        <f>SUM(Table12[[#This Row],[Collections: Total print materials held]]+Table12[[#This Row],[Collections: Total print serials subscriptions (individual serial titles) held]]+Table12[[#This Row],[Collections: Audio materials (physical units), number held]]+Table12[[#This Row],[Collections: Video materials (physical units), number held]])</f>
        <v>394376</v>
      </c>
      <c r="O10" s="24"/>
      <c r="P10" s="23">
        <v>7196</v>
      </c>
      <c r="Q10" s="22">
        <v>0</v>
      </c>
      <c r="R10" s="23">
        <v>4367</v>
      </c>
      <c r="S10" s="22">
        <v>132</v>
      </c>
      <c r="T10" s="39">
        <v>11695</v>
      </c>
      <c r="U10" s="17">
        <v>9</v>
      </c>
      <c r="V10" s="17"/>
      <c r="W10" s="17">
        <v>50</v>
      </c>
      <c r="X10" s="41">
        <v>59</v>
      </c>
    </row>
    <row r="11" spans="1:24" ht="16.5" thickTop="1" thickBot="1" x14ac:dyDescent="0.3">
      <c r="A11" s="9">
        <v>2015</v>
      </c>
      <c r="B11" s="26">
        <v>26772</v>
      </c>
      <c r="C11" s="26">
        <v>29486</v>
      </c>
      <c r="D11" s="26">
        <v>368194</v>
      </c>
      <c r="E11" s="30">
        <v>2</v>
      </c>
      <c r="F11" s="30">
        <v>54</v>
      </c>
      <c r="G11" s="30">
        <v>339</v>
      </c>
      <c r="H11" s="17">
        <v>1493</v>
      </c>
      <c r="I11" s="17">
        <v>621</v>
      </c>
      <c r="J11" s="17">
        <v>10214</v>
      </c>
      <c r="K11" s="34">
        <v>1123</v>
      </c>
      <c r="L11" s="34">
        <v>374</v>
      </c>
      <c r="M11" s="34">
        <v>12868</v>
      </c>
      <c r="N11" s="26">
        <f>SUM(Table12[[#This Row],[Collections: Total print materials held]]+Table12[[#This Row],[Collections: Total print serials subscriptions (individual serial titles) held]]+Table12[[#This Row],[Collections: Audio materials (physical units), number held]]+Table12[[#This Row],[Collections: Video materials (physical units), number held]])</f>
        <v>391615</v>
      </c>
      <c r="O11" s="24"/>
      <c r="P11" s="23">
        <v>6973</v>
      </c>
      <c r="Q11" s="22">
        <v>6</v>
      </c>
      <c r="R11" s="23">
        <v>3262</v>
      </c>
      <c r="S11" s="22">
        <v>155</v>
      </c>
      <c r="T11" s="39">
        <v>10396</v>
      </c>
      <c r="U11" s="17">
        <v>9</v>
      </c>
      <c r="V11" s="17"/>
      <c r="W11" s="17"/>
      <c r="X11" s="41">
        <v>59</v>
      </c>
    </row>
    <row r="12" spans="1:24" ht="16.5" thickTop="1" thickBot="1" x14ac:dyDescent="0.3">
      <c r="A12" s="9">
        <v>2014</v>
      </c>
      <c r="B12" s="26">
        <v>29312</v>
      </c>
      <c r="C12" s="26">
        <v>48338</v>
      </c>
      <c r="D12" s="26">
        <v>291220</v>
      </c>
      <c r="E12" s="30">
        <v>2</v>
      </c>
      <c r="F12" s="30">
        <v>76</v>
      </c>
      <c r="G12" s="30">
        <v>391</v>
      </c>
      <c r="H12" s="17">
        <v>1305</v>
      </c>
      <c r="I12" s="17">
        <v>2335</v>
      </c>
      <c r="J12" s="17">
        <v>7223</v>
      </c>
      <c r="K12" s="34">
        <v>1425</v>
      </c>
      <c r="L12" s="34">
        <v>2466</v>
      </c>
      <c r="M12" s="34">
        <v>11925</v>
      </c>
      <c r="N12" s="26">
        <f>SUM(Table12[[#This Row],[Collections: Total print materials held]]+Table12[[#This Row],[Collections: Total print serials subscriptions (individual serial titles) held]]+Table12[[#This Row],[Collections: Audio materials (physical units), number held]]+Table12[[#This Row],[Collections: Video materials (physical units), number held]])</f>
        <v>310759</v>
      </c>
      <c r="O12" s="24"/>
      <c r="P12" s="23">
        <v>5518</v>
      </c>
      <c r="Q12" s="22">
        <v>0</v>
      </c>
      <c r="R12" s="23">
        <v>1778</v>
      </c>
      <c r="S12" s="23">
        <v>7398</v>
      </c>
      <c r="T12" s="38">
        <f>SUM(Table12[[#This Row],[Downloadable audio units held]]+Table12[[#This Row],[Electronic books (E-books) held]]+Table12[[#This Row],[Downloadable periodical titles]])</f>
        <v>14694</v>
      </c>
      <c r="U12" s="17">
        <v>7</v>
      </c>
      <c r="V12" s="17"/>
      <c r="W12" s="17"/>
      <c r="X12" s="41">
        <v>56</v>
      </c>
    </row>
    <row r="13" spans="1:24" ht="16.5" thickTop="1" thickBot="1" x14ac:dyDescent="0.3">
      <c r="A13" s="9">
        <v>2013</v>
      </c>
      <c r="B13" s="26">
        <v>25169</v>
      </c>
      <c r="C13" s="26">
        <v>23365</v>
      </c>
      <c r="D13" s="26">
        <v>310246</v>
      </c>
      <c r="E13" s="30">
        <v>22</v>
      </c>
      <c r="F13" s="30">
        <v>54</v>
      </c>
      <c r="G13" s="30">
        <v>465</v>
      </c>
      <c r="H13" s="17">
        <v>1114</v>
      </c>
      <c r="I13" s="17">
        <v>775</v>
      </c>
      <c r="J13" s="17">
        <v>8253</v>
      </c>
      <c r="K13" s="34">
        <v>1015</v>
      </c>
      <c r="L13" s="34">
        <v>1343</v>
      </c>
      <c r="M13" s="34">
        <v>12966</v>
      </c>
      <c r="N13" s="26">
        <f>SUM(Table12[[#This Row],[Collections: Total print materials held]]+Table12[[#This Row],[Collections: Total print serials subscriptions (individual serial titles) held]]+Table12[[#This Row],[Collections: Audio materials (physical units), number held]]+Table12[[#This Row],[Collections: Video materials (physical units), number held]])</f>
        <v>331930</v>
      </c>
      <c r="O13" s="24"/>
      <c r="P13" s="17">
        <v>4452</v>
      </c>
      <c r="Q13" s="17">
        <v>0</v>
      </c>
      <c r="R13" s="17">
        <v>848</v>
      </c>
      <c r="S13" s="17">
        <v>5300</v>
      </c>
      <c r="T13" s="38">
        <f>SUM(Table12[[#This Row],[Downloadable audio units held]]+Table12[[#This Row],[Electronic books (E-books) held]]+Table12[[#This Row],[Downloadable periodical titles]])</f>
        <v>10600</v>
      </c>
      <c r="U13" s="17">
        <v>7</v>
      </c>
      <c r="V13" s="17">
        <v>0</v>
      </c>
      <c r="W13" s="17">
        <v>49</v>
      </c>
      <c r="X13" s="41">
        <v>56</v>
      </c>
    </row>
    <row r="14" spans="1:24" ht="16.5" thickTop="1" thickBot="1" x14ac:dyDescent="0.3">
      <c r="A14" s="12">
        <v>2012</v>
      </c>
      <c r="B14" s="27">
        <v>25032</v>
      </c>
      <c r="C14" s="27">
        <v>9939</v>
      </c>
      <c r="D14" s="27">
        <v>308442</v>
      </c>
      <c r="E14" s="31">
        <v>0</v>
      </c>
      <c r="F14" s="31">
        <v>113</v>
      </c>
      <c r="G14" s="31">
        <v>468</v>
      </c>
      <c r="H14" s="16">
        <v>1093</v>
      </c>
      <c r="I14" s="16">
        <v>561</v>
      </c>
      <c r="J14" s="16">
        <v>7914</v>
      </c>
      <c r="K14" s="35">
        <v>1012</v>
      </c>
      <c r="L14" s="35">
        <v>294</v>
      </c>
      <c r="M14" s="35">
        <v>13294</v>
      </c>
      <c r="N14" s="26">
        <f>SUM(Table12[[#This Row],[Collections: Total print materials held]]+Table12[[#This Row],[Collections: Total print serials subscriptions (individual serial titles) held]]+Table12[[#This Row],[Collections: Audio materials (physical units), number held]]+Table12[[#This Row],[Collections: Video materials (physical units), number held]])</f>
        <v>330118</v>
      </c>
      <c r="O14" s="24"/>
      <c r="P14" s="16">
        <v>4039</v>
      </c>
      <c r="Q14" s="16">
        <v>0</v>
      </c>
      <c r="R14" s="16">
        <v>790</v>
      </c>
      <c r="S14" s="16"/>
      <c r="T14" s="38">
        <f>SUM(Table12[[#This Row],[Downloadable audio units held]]+Table12[[#This Row],[Electronic books (E-books) held]]+Table12[[#This Row],[Downloadable periodical titles]])</f>
        <v>4829</v>
      </c>
      <c r="U14" s="16">
        <v>5</v>
      </c>
      <c r="V14" s="16"/>
      <c r="W14" s="16">
        <v>36</v>
      </c>
      <c r="X14" s="42">
        <v>41</v>
      </c>
    </row>
    <row r="15" spans="1:24" ht="15.75" thickTop="1" x14ac:dyDescent="0.25"/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4"/>
  <sheetViews>
    <sheetView workbookViewId="0">
      <selection activeCell="H6" sqref="H6"/>
    </sheetView>
  </sheetViews>
  <sheetFormatPr defaultColWidth="14.28515625" defaultRowHeight="15" x14ac:dyDescent="0.25"/>
  <cols>
    <col min="2" max="5" width="14.28515625" style="1"/>
  </cols>
  <sheetData>
    <row r="1" spans="1:6" ht="90" x14ac:dyDescent="0.25">
      <c r="A1" s="6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x14ac:dyDescent="0.25">
      <c r="A2" s="9">
        <v>2024</v>
      </c>
      <c r="B2" s="15">
        <v>154961</v>
      </c>
      <c r="C2" s="15">
        <v>36410</v>
      </c>
      <c r="D2" s="15">
        <v>191371</v>
      </c>
      <c r="E2" s="15">
        <v>425758</v>
      </c>
      <c r="F2" s="15">
        <v>282090</v>
      </c>
    </row>
    <row r="3" spans="1:6" x14ac:dyDescent="0.25">
      <c r="A3" s="9">
        <v>2023</v>
      </c>
      <c r="B3" s="15">
        <v>103245</v>
      </c>
      <c r="C3" s="15">
        <v>103265</v>
      </c>
      <c r="D3" s="15">
        <v>206510</v>
      </c>
      <c r="E3" s="15">
        <v>397620</v>
      </c>
      <c r="F3" s="15">
        <v>282090</v>
      </c>
    </row>
    <row r="4" spans="1:6" x14ac:dyDescent="0.25">
      <c r="A4" s="9">
        <v>2022</v>
      </c>
      <c r="B4" s="15">
        <v>105226</v>
      </c>
      <c r="C4" s="15">
        <v>105252</v>
      </c>
      <c r="D4" s="15">
        <v>210478</v>
      </c>
      <c r="E4" s="15">
        <v>330488</v>
      </c>
      <c r="F4" s="15">
        <v>282090</v>
      </c>
    </row>
    <row r="5" spans="1:6" x14ac:dyDescent="0.25">
      <c r="A5" s="9">
        <v>2021</v>
      </c>
      <c r="B5" s="15">
        <v>116782</v>
      </c>
      <c r="C5" s="15">
        <v>116831</v>
      </c>
      <c r="D5" s="15">
        <v>233613</v>
      </c>
      <c r="E5" s="15">
        <v>180845</v>
      </c>
      <c r="F5" s="15">
        <v>282090</v>
      </c>
    </row>
    <row r="6" spans="1:6" x14ac:dyDescent="0.25">
      <c r="A6" s="9">
        <v>2020</v>
      </c>
      <c r="B6" s="15">
        <v>113552</v>
      </c>
      <c r="C6" s="15">
        <v>113612</v>
      </c>
      <c r="D6" s="15">
        <v>227164</v>
      </c>
      <c r="E6" s="15">
        <v>368492</v>
      </c>
      <c r="F6" s="15">
        <v>226073</v>
      </c>
    </row>
    <row r="7" spans="1:6" x14ac:dyDescent="0.25">
      <c r="A7" s="9">
        <v>2019</v>
      </c>
      <c r="B7" s="15">
        <v>117152</v>
      </c>
      <c r="C7" s="15">
        <v>117219</v>
      </c>
      <c r="D7" s="15">
        <v>234371</v>
      </c>
      <c r="E7" s="15">
        <v>525854</v>
      </c>
      <c r="F7" s="15">
        <v>226073</v>
      </c>
    </row>
    <row r="8" spans="1:6" x14ac:dyDescent="0.25">
      <c r="A8" s="9">
        <v>2018</v>
      </c>
      <c r="B8" s="15">
        <v>117626</v>
      </c>
      <c r="C8" s="15">
        <v>27332</v>
      </c>
      <c r="D8" s="15">
        <v>144958</v>
      </c>
      <c r="E8" s="15">
        <v>559440</v>
      </c>
      <c r="F8" s="15">
        <v>226073</v>
      </c>
    </row>
    <row r="9" spans="1:6" x14ac:dyDescent="0.25">
      <c r="A9" s="9">
        <v>2017</v>
      </c>
      <c r="B9" s="15">
        <v>117545</v>
      </c>
      <c r="C9" s="15">
        <v>25531</v>
      </c>
      <c r="D9" s="15">
        <v>143076</v>
      </c>
      <c r="E9" s="15">
        <v>571289</v>
      </c>
      <c r="F9" s="15">
        <v>226073</v>
      </c>
    </row>
    <row r="10" spans="1:6" x14ac:dyDescent="0.25">
      <c r="A10" s="9">
        <v>2016</v>
      </c>
      <c r="B10" s="15">
        <v>121645</v>
      </c>
      <c r="C10" s="15">
        <v>26056</v>
      </c>
      <c r="D10" s="15">
        <v>147701</v>
      </c>
      <c r="E10" s="15">
        <v>567369</v>
      </c>
      <c r="F10" s="15">
        <v>226073</v>
      </c>
    </row>
    <row r="11" spans="1:6" x14ac:dyDescent="0.25">
      <c r="A11" s="9">
        <v>2015</v>
      </c>
      <c r="B11" s="15">
        <v>127407</v>
      </c>
      <c r="C11" s="15">
        <v>32044</v>
      </c>
      <c r="D11" s="15">
        <v>159451</v>
      </c>
      <c r="E11" s="15">
        <v>559674</v>
      </c>
      <c r="F11" s="15">
        <v>226073</v>
      </c>
    </row>
    <row r="12" spans="1:6" x14ac:dyDescent="0.25">
      <c r="A12" s="9">
        <v>2014</v>
      </c>
      <c r="B12" s="15">
        <v>114938</v>
      </c>
      <c r="C12" s="15">
        <v>35246</v>
      </c>
      <c r="D12" s="15">
        <v>150184</v>
      </c>
      <c r="E12" s="15">
        <v>574173</v>
      </c>
      <c r="F12" s="15">
        <v>226073</v>
      </c>
    </row>
    <row r="13" spans="1:6" x14ac:dyDescent="0.25">
      <c r="A13" s="9">
        <v>2013</v>
      </c>
      <c r="B13" s="15">
        <v>107462</v>
      </c>
      <c r="C13" s="15">
        <v>33236</v>
      </c>
      <c r="D13" s="15">
        <v>140698</v>
      </c>
      <c r="E13" s="15">
        <v>844406</v>
      </c>
      <c r="F13" s="15">
        <v>226073</v>
      </c>
    </row>
    <row r="14" spans="1:6" x14ac:dyDescent="0.25">
      <c r="A14" s="12">
        <v>2012</v>
      </c>
      <c r="B14" s="15">
        <v>100121</v>
      </c>
      <c r="C14" s="15">
        <v>30772</v>
      </c>
      <c r="D14" s="15">
        <v>130893</v>
      </c>
      <c r="E14" s="15">
        <v>669059</v>
      </c>
      <c r="F14" s="15">
        <v>226073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4"/>
  <sheetViews>
    <sheetView workbookViewId="0">
      <selection activeCell="D5" sqref="D5"/>
    </sheetView>
  </sheetViews>
  <sheetFormatPr defaultRowHeight="15" x14ac:dyDescent="0.25"/>
  <cols>
    <col min="1" max="1" width="15" customWidth="1"/>
    <col min="2" max="2" width="36.140625" style="1" customWidth="1"/>
    <col min="3" max="3" width="28.42578125" style="1" customWidth="1"/>
    <col min="4" max="4" width="26" style="1"/>
  </cols>
  <sheetData>
    <row r="1" spans="1:4" ht="30" x14ac:dyDescent="0.25">
      <c r="A1" s="6" t="s">
        <v>0</v>
      </c>
      <c r="B1" s="1" t="s">
        <v>94</v>
      </c>
      <c r="C1" s="1" t="s">
        <v>95</v>
      </c>
      <c r="D1" s="1" t="s">
        <v>96</v>
      </c>
    </row>
    <row r="2" spans="1:4" x14ac:dyDescent="0.25">
      <c r="A2" s="9">
        <v>2024</v>
      </c>
      <c r="B2" s="1">
        <v>84</v>
      </c>
      <c r="C2" s="2">
        <v>580926</v>
      </c>
      <c r="D2" s="2">
        <v>330189</v>
      </c>
    </row>
    <row r="3" spans="1:4" x14ac:dyDescent="0.25">
      <c r="A3" s="9">
        <v>2023</v>
      </c>
      <c r="B3" s="1">
        <v>94</v>
      </c>
      <c r="C3" s="2">
        <v>1487747</v>
      </c>
      <c r="D3" s="2">
        <v>271028</v>
      </c>
    </row>
    <row r="4" spans="1:4" x14ac:dyDescent="0.25">
      <c r="A4" s="9">
        <v>2022</v>
      </c>
      <c r="B4" s="1">
        <v>86</v>
      </c>
      <c r="C4" s="2">
        <v>1377583</v>
      </c>
      <c r="D4" s="1">
        <v>0</v>
      </c>
    </row>
    <row r="5" spans="1:4" x14ac:dyDescent="0.25">
      <c r="A5" s="9">
        <v>2021</v>
      </c>
      <c r="B5" s="1">
        <v>86</v>
      </c>
      <c r="C5" s="2">
        <v>179098</v>
      </c>
      <c r="D5" s="2">
        <v>228953</v>
      </c>
    </row>
    <row r="6" spans="1:4" x14ac:dyDescent="0.25">
      <c r="A6" s="9">
        <v>2020</v>
      </c>
      <c r="B6" s="1">
        <v>115</v>
      </c>
      <c r="C6" s="2">
        <v>155065</v>
      </c>
      <c r="D6" s="2">
        <v>237150</v>
      </c>
    </row>
    <row r="7" spans="1:4" x14ac:dyDescent="0.25">
      <c r="A7" s="9">
        <v>2019</v>
      </c>
      <c r="B7" s="1">
        <v>115</v>
      </c>
      <c r="C7" s="2">
        <v>143601</v>
      </c>
      <c r="D7" s="2">
        <v>466746</v>
      </c>
    </row>
    <row r="8" spans="1:4" x14ac:dyDescent="0.25">
      <c r="A8" s="9">
        <v>2018</v>
      </c>
      <c r="B8" s="1">
        <v>115</v>
      </c>
      <c r="C8" s="2">
        <v>6204</v>
      </c>
      <c r="D8" s="2">
        <v>263357</v>
      </c>
    </row>
    <row r="9" spans="1:4" x14ac:dyDescent="0.25">
      <c r="A9" s="9">
        <v>2017</v>
      </c>
      <c r="B9" s="1">
        <v>115</v>
      </c>
      <c r="C9" s="2">
        <v>5538</v>
      </c>
    </row>
    <row r="10" spans="1:4" x14ac:dyDescent="0.25">
      <c r="A10" s="9">
        <v>2016</v>
      </c>
      <c r="B10" s="1">
        <v>115</v>
      </c>
      <c r="C10" s="2">
        <v>5240</v>
      </c>
    </row>
    <row r="11" spans="1:4" x14ac:dyDescent="0.25">
      <c r="A11" s="9">
        <v>2015</v>
      </c>
      <c r="B11" s="1">
        <v>115</v>
      </c>
      <c r="C11" s="2">
        <v>4987</v>
      </c>
    </row>
    <row r="12" spans="1:4" x14ac:dyDescent="0.25">
      <c r="A12" s="9">
        <v>2014</v>
      </c>
      <c r="B12" s="1">
        <v>115</v>
      </c>
      <c r="C12" s="2">
        <v>5083</v>
      </c>
    </row>
    <row r="13" spans="1:4" x14ac:dyDescent="0.25">
      <c r="A13" s="9">
        <v>2013</v>
      </c>
      <c r="B13" s="1">
        <v>115</v>
      </c>
    </row>
    <row r="14" spans="1:4" x14ac:dyDescent="0.25">
      <c r="A14" s="12">
        <v>2012</v>
      </c>
      <c r="B14" s="1">
        <v>105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4"/>
  <sheetViews>
    <sheetView workbookViewId="0">
      <selection activeCell="B32" sqref="B32"/>
    </sheetView>
  </sheetViews>
  <sheetFormatPr defaultColWidth="44" defaultRowHeight="15" x14ac:dyDescent="0.25"/>
  <cols>
    <col min="1" max="1" width="12" customWidth="1"/>
    <col min="2" max="4" width="24.5703125" style="1" customWidth="1"/>
  </cols>
  <sheetData>
    <row r="1" spans="1:4" ht="75" x14ac:dyDescent="0.25">
      <c r="A1" s="6" t="s">
        <v>0</v>
      </c>
      <c r="B1" s="1" t="s">
        <v>97</v>
      </c>
      <c r="C1" s="1" t="s">
        <v>98</v>
      </c>
      <c r="D1" s="1" t="s">
        <v>99</v>
      </c>
    </row>
    <row r="2" spans="1:4" x14ac:dyDescent="0.25">
      <c r="A2" s="9">
        <v>2024</v>
      </c>
      <c r="B2" s="1">
        <v>235</v>
      </c>
      <c r="C2" s="2">
        <v>307775</v>
      </c>
      <c r="D2" s="1">
        <v>315</v>
      </c>
    </row>
    <row r="3" spans="1:4" x14ac:dyDescent="0.25">
      <c r="A3" s="9">
        <v>2023</v>
      </c>
      <c r="B3" s="1">
        <v>258</v>
      </c>
      <c r="C3" s="2">
        <v>303221</v>
      </c>
      <c r="D3" s="1">
        <v>259</v>
      </c>
    </row>
    <row r="4" spans="1:4" x14ac:dyDescent="0.25">
      <c r="A4" s="9">
        <v>2022</v>
      </c>
      <c r="B4" s="1">
        <v>0</v>
      </c>
      <c r="C4" s="2">
        <v>274560</v>
      </c>
      <c r="D4" s="1">
        <v>0</v>
      </c>
    </row>
    <row r="5" spans="1:4" x14ac:dyDescent="0.25">
      <c r="A5" s="9">
        <v>2021</v>
      </c>
      <c r="C5" s="2">
        <v>156208</v>
      </c>
      <c r="D5" s="1">
        <v>0</v>
      </c>
    </row>
    <row r="6" spans="1:4" x14ac:dyDescent="0.25">
      <c r="A6" s="9">
        <v>2020</v>
      </c>
      <c r="C6" s="2">
        <v>315562</v>
      </c>
      <c r="D6" s="1">
        <v>0</v>
      </c>
    </row>
    <row r="7" spans="1:4" x14ac:dyDescent="0.25">
      <c r="A7" s="9">
        <v>2019</v>
      </c>
      <c r="C7" s="2">
        <v>363636</v>
      </c>
    </row>
    <row r="8" spans="1:4" x14ac:dyDescent="0.25">
      <c r="A8" s="9">
        <v>2018</v>
      </c>
      <c r="C8" s="2">
        <v>231855</v>
      </c>
    </row>
    <row r="9" spans="1:4" x14ac:dyDescent="0.25">
      <c r="A9" s="9">
        <v>2017</v>
      </c>
      <c r="C9" s="2">
        <v>223340</v>
      </c>
    </row>
    <row r="10" spans="1:4" x14ac:dyDescent="0.25">
      <c r="A10" s="9">
        <v>2016</v>
      </c>
      <c r="C10" s="2">
        <v>231217</v>
      </c>
    </row>
    <row r="11" spans="1:4" x14ac:dyDescent="0.25">
      <c r="A11" s="9">
        <v>2015</v>
      </c>
      <c r="C11" s="2">
        <v>243938</v>
      </c>
    </row>
    <row r="12" spans="1:4" x14ac:dyDescent="0.25">
      <c r="A12" s="9">
        <v>2014</v>
      </c>
      <c r="C12" s="2">
        <v>226265</v>
      </c>
    </row>
    <row r="13" spans="1:4" x14ac:dyDescent="0.25">
      <c r="A13" s="9">
        <v>2013</v>
      </c>
      <c r="C13" s="2">
        <v>225927</v>
      </c>
    </row>
    <row r="14" spans="1:4" x14ac:dyDescent="0.25">
      <c r="A14" s="12">
        <v>2012</v>
      </c>
      <c r="C14" s="1">
        <v>175000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4"/>
  <sheetViews>
    <sheetView workbookViewId="0">
      <selection activeCell="W9" sqref="W9"/>
    </sheetView>
  </sheetViews>
  <sheetFormatPr defaultRowHeight="16.5" thickTop="1" thickBottom="1" x14ac:dyDescent="0.3"/>
  <cols>
    <col min="2" max="2" width="10.28515625" customWidth="1"/>
    <col min="3" max="3" width="11.42578125" customWidth="1"/>
    <col min="4" max="4" width="11.5703125" customWidth="1"/>
    <col min="5" max="5" width="12" customWidth="1"/>
    <col min="6" max="7" width="10.7109375" customWidth="1"/>
    <col min="8" max="8" width="15.7109375" customWidth="1"/>
    <col min="9" max="9" width="10" customWidth="1"/>
    <col min="10" max="10" width="10.28515625" customWidth="1"/>
    <col min="11" max="11" width="10.140625" style="28" customWidth="1"/>
    <col min="12" max="12" width="10.140625" style="24" customWidth="1"/>
    <col min="17" max="17" width="9.140625" style="28"/>
    <col min="18" max="18" width="14.140625" style="36" customWidth="1"/>
    <col min="20" max="20" width="13.42578125" customWidth="1"/>
  </cols>
  <sheetData>
    <row r="1" spans="1:21" ht="160.5" customHeight="1" thickTop="1" thickBot="1" x14ac:dyDescent="0.3">
      <c r="A1" s="5" t="s">
        <v>0</v>
      </c>
      <c r="B1" s="6" t="s">
        <v>100</v>
      </c>
      <c r="C1" s="6" t="s">
        <v>101</v>
      </c>
      <c r="D1" s="6" t="s">
        <v>102</v>
      </c>
      <c r="E1" s="6" t="s">
        <v>103</v>
      </c>
      <c r="F1" s="6" t="s">
        <v>104</v>
      </c>
      <c r="G1" s="6" t="s">
        <v>105</v>
      </c>
      <c r="H1" s="6" t="s">
        <v>106</v>
      </c>
      <c r="I1" s="6" t="s">
        <v>107</v>
      </c>
      <c r="J1" s="6" t="s">
        <v>108</v>
      </c>
      <c r="K1" s="25" t="s">
        <v>138</v>
      </c>
      <c r="L1" s="47"/>
      <c r="M1" s="6" t="s">
        <v>109</v>
      </c>
      <c r="N1" s="6" t="s">
        <v>110</v>
      </c>
      <c r="O1" s="6" t="s">
        <v>111</v>
      </c>
      <c r="P1" s="6" t="s">
        <v>112</v>
      </c>
      <c r="Q1" s="25" t="s">
        <v>137</v>
      </c>
      <c r="R1" s="33" t="s">
        <v>139</v>
      </c>
      <c r="S1" s="51" t="s">
        <v>113</v>
      </c>
      <c r="T1" s="51" t="s">
        <v>114</v>
      </c>
      <c r="U1" s="51" t="s">
        <v>115</v>
      </c>
    </row>
    <row r="2" spans="1:21" thickTop="1" thickBot="1" x14ac:dyDescent="0.3">
      <c r="A2" s="7">
        <v>2024</v>
      </c>
      <c r="B2" s="8">
        <v>558566</v>
      </c>
      <c r="C2" s="8">
        <v>40348</v>
      </c>
      <c r="D2" s="8">
        <v>598914</v>
      </c>
      <c r="E2" s="8">
        <v>341960</v>
      </c>
      <c r="F2" s="8">
        <v>40476</v>
      </c>
      <c r="G2" s="8">
        <v>382436</v>
      </c>
      <c r="H2" s="8">
        <v>11820</v>
      </c>
      <c r="I2" s="8">
        <v>900526</v>
      </c>
      <c r="J2" s="8">
        <v>92644</v>
      </c>
      <c r="K2" s="45">
        <v>993170</v>
      </c>
      <c r="L2" s="48"/>
      <c r="M2" s="8">
        <v>214363</v>
      </c>
      <c r="N2" s="8">
        <v>193535</v>
      </c>
      <c r="O2" s="8">
        <v>15116</v>
      </c>
      <c r="P2" s="8">
        <v>34381</v>
      </c>
      <c r="Q2" s="45">
        <v>457395</v>
      </c>
      <c r="R2" s="49">
        <f>SUM(K2+Q2)</f>
        <v>1450565</v>
      </c>
      <c r="S2" s="51"/>
      <c r="T2" s="51"/>
      <c r="U2" s="51"/>
    </row>
    <row r="3" spans="1:21" thickTop="1" thickBot="1" x14ac:dyDescent="0.3">
      <c r="A3" s="7">
        <v>2023</v>
      </c>
      <c r="B3" s="8">
        <v>455267</v>
      </c>
      <c r="C3" s="8">
        <v>25651</v>
      </c>
      <c r="D3" s="8">
        <v>480918</v>
      </c>
      <c r="E3" s="8">
        <v>241421</v>
      </c>
      <c r="F3" s="8">
        <v>36697</v>
      </c>
      <c r="G3" s="8">
        <v>278118</v>
      </c>
      <c r="H3" s="8">
        <v>9084</v>
      </c>
      <c r="I3" s="8">
        <v>696688</v>
      </c>
      <c r="J3" s="8">
        <v>71432</v>
      </c>
      <c r="K3" s="45">
        <v>768120</v>
      </c>
      <c r="L3" s="48"/>
      <c r="M3" s="8">
        <v>186551</v>
      </c>
      <c r="N3" s="8">
        <v>170376</v>
      </c>
      <c r="O3" s="8">
        <v>8680</v>
      </c>
      <c r="P3" s="8">
        <v>11954</v>
      </c>
      <c r="Q3" s="45">
        <v>377561</v>
      </c>
      <c r="R3" s="49">
        <f t="shared" ref="R3:R12" si="0">SUM(K3+Q3)</f>
        <v>1145681</v>
      </c>
      <c r="S3" s="52">
        <v>967459</v>
      </c>
      <c r="T3" s="52">
        <v>1345020</v>
      </c>
      <c r="U3" s="52">
        <v>2113140</v>
      </c>
    </row>
    <row r="4" spans="1:21" thickTop="1" thickBot="1" x14ac:dyDescent="0.3">
      <c r="A4" s="7">
        <v>2022</v>
      </c>
      <c r="B4" s="8">
        <v>457192</v>
      </c>
      <c r="C4" s="8">
        <v>27037</v>
      </c>
      <c r="D4" s="8">
        <v>484229</v>
      </c>
      <c r="E4" s="8">
        <v>238694</v>
      </c>
      <c r="F4" s="8">
        <v>38076</v>
      </c>
      <c r="G4" s="8">
        <v>276770</v>
      </c>
      <c r="H4" s="9">
        <v>0</v>
      </c>
      <c r="I4" s="8">
        <v>695886</v>
      </c>
      <c r="J4" s="8">
        <v>65113</v>
      </c>
      <c r="K4" s="45">
        <v>760999</v>
      </c>
      <c r="L4" s="48"/>
      <c r="M4" s="8">
        <v>145536</v>
      </c>
      <c r="N4" s="8">
        <v>112487</v>
      </c>
      <c r="O4" s="8">
        <v>10358</v>
      </c>
      <c r="P4" s="8">
        <v>15065</v>
      </c>
      <c r="Q4" s="45">
        <v>283446</v>
      </c>
      <c r="R4" s="49">
        <f t="shared" si="0"/>
        <v>1044445</v>
      </c>
      <c r="S4" s="52">
        <v>792166</v>
      </c>
      <c r="T4" s="52">
        <v>1075612</v>
      </c>
      <c r="U4" s="52">
        <v>1836611</v>
      </c>
    </row>
    <row r="5" spans="1:21" thickTop="1" thickBot="1" x14ac:dyDescent="0.3">
      <c r="A5" s="7">
        <v>2021</v>
      </c>
      <c r="B5" s="8">
        <v>293600</v>
      </c>
      <c r="C5" s="8">
        <v>17459</v>
      </c>
      <c r="D5" s="8">
        <v>311059</v>
      </c>
      <c r="E5" s="8">
        <v>180012</v>
      </c>
      <c r="F5" s="8">
        <v>33647</v>
      </c>
      <c r="G5" s="8">
        <v>213659</v>
      </c>
      <c r="H5" s="8">
        <v>1250</v>
      </c>
      <c r="I5" s="8">
        <v>473612</v>
      </c>
      <c r="J5" s="8">
        <v>52356</v>
      </c>
      <c r="K5" s="45">
        <v>525968</v>
      </c>
      <c r="L5" s="48"/>
      <c r="M5" s="8">
        <v>130897</v>
      </c>
      <c r="N5" s="8">
        <v>90429</v>
      </c>
      <c r="O5" s="8">
        <v>11925</v>
      </c>
      <c r="P5" s="8">
        <v>15453</v>
      </c>
      <c r="Q5" s="45">
        <v>248704</v>
      </c>
      <c r="R5" s="49">
        <f t="shared" si="0"/>
        <v>774672</v>
      </c>
      <c r="S5" s="52">
        <v>632889</v>
      </c>
      <c r="T5" s="52">
        <v>881593</v>
      </c>
      <c r="U5" s="52">
        <v>1407561</v>
      </c>
    </row>
    <row r="6" spans="1:21" thickTop="1" thickBot="1" x14ac:dyDescent="0.3">
      <c r="A6" s="7">
        <v>2020</v>
      </c>
      <c r="B6" s="8">
        <v>354491</v>
      </c>
      <c r="C6" s="8">
        <v>37080</v>
      </c>
      <c r="D6" s="8">
        <v>391571</v>
      </c>
      <c r="E6" s="8">
        <v>236808</v>
      </c>
      <c r="F6" s="8">
        <v>50259</v>
      </c>
      <c r="G6" s="8">
        <v>287067</v>
      </c>
      <c r="H6" s="9"/>
      <c r="I6" s="8">
        <v>591299</v>
      </c>
      <c r="J6" s="8">
        <v>87339</v>
      </c>
      <c r="K6" s="45">
        <v>678638</v>
      </c>
      <c r="L6" s="48"/>
      <c r="M6" s="8">
        <v>75065</v>
      </c>
      <c r="N6" s="8">
        <v>67923</v>
      </c>
      <c r="O6" s="8">
        <v>8261</v>
      </c>
      <c r="P6" s="8">
        <v>13694</v>
      </c>
      <c r="Q6" s="45">
        <v>164943</v>
      </c>
      <c r="R6" s="49">
        <f t="shared" si="0"/>
        <v>843581</v>
      </c>
      <c r="S6" s="52">
        <v>193156</v>
      </c>
      <c r="T6" s="52">
        <v>358099</v>
      </c>
      <c r="U6" s="52">
        <v>1036737</v>
      </c>
    </row>
    <row r="7" spans="1:21" thickTop="1" thickBot="1" x14ac:dyDescent="0.3">
      <c r="A7" s="7">
        <v>2019</v>
      </c>
      <c r="B7" s="8">
        <v>471512</v>
      </c>
      <c r="C7" s="8">
        <v>49288</v>
      </c>
      <c r="D7" s="8">
        <v>520800</v>
      </c>
      <c r="E7" s="8">
        <v>313347</v>
      </c>
      <c r="F7" s="8">
        <v>74043</v>
      </c>
      <c r="G7" s="8">
        <v>387390</v>
      </c>
      <c r="H7" s="9"/>
      <c r="I7" s="8">
        <v>784859</v>
      </c>
      <c r="J7" s="8">
        <v>123331</v>
      </c>
      <c r="K7" s="45">
        <v>908190</v>
      </c>
      <c r="L7" s="48"/>
      <c r="M7" s="8">
        <v>43736</v>
      </c>
      <c r="N7" s="8">
        <v>26331</v>
      </c>
      <c r="O7" s="8">
        <v>1806</v>
      </c>
      <c r="P7" s="8">
        <v>10935</v>
      </c>
      <c r="Q7" s="45">
        <v>82808</v>
      </c>
      <c r="R7" s="49">
        <f t="shared" si="0"/>
        <v>990998</v>
      </c>
      <c r="S7" s="52">
        <v>247998</v>
      </c>
      <c r="T7" s="52">
        <v>330806</v>
      </c>
      <c r="U7" s="52">
        <v>1238996</v>
      </c>
    </row>
    <row r="8" spans="1:21" thickTop="1" thickBot="1" x14ac:dyDescent="0.3">
      <c r="A8" s="7">
        <v>2018</v>
      </c>
      <c r="B8" s="8">
        <v>455496</v>
      </c>
      <c r="C8" s="8">
        <v>48909</v>
      </c>
      <c r="D8" s="8">
        <v>504405</v>
      </c>
      <c r="E8" s="8">
        <v>312881</v>
      </c>
      <c r="F8" s="8">
        <v>76540</v>
      </c>
      <c r="G8" s="8">
        <v>389421</v>
      </c>
      <c r="H8" s="9"/>
      <c r="I8" s="8">
        <v>768377</v>
      </c>
      <c r="J8" s="8">
        <v>125449</v>
      </c>
      <c r="K8" s="45">
        <v>893826</v>
      </c>
      <c r="L8" s="48"/>
      <c r="M8" s="8">
        <v>27700</v>
      </c>
      <c r="N8" s="8">
        <v>17353</v>
      </c>
      <c r="O8" s="9">
        <v>0</v>
      </c>
      <c r="P8" s="8">
        <v>7369</v>
      </c>
      <c r="Q8" s="45">
        <v>52422</v>
      </c>
      <c r="R8" s="49">
        <f t="shared" si="0"/>
        <v>946248</v>
      </c>
      <c r="S8" s="52">
        <v>231855</v>
      </c>
      <c r="T8" s="52">
        <v>284277</v>
      </c>
      <c r="U8" s="52">
        <v>1178103</v>
      </c>
    </row>
    <row r="9" spans="1:21" thickTop="1" thickBot="1" x14ac:dyDescent="0.3">
      <c r="A9" s="7">
        <v>2017</v>
      </c>
      <c r="B9" s="8">
        <v>498965</v>
      </c>
      <c r="C9" s="8">
        <v>46465</v>
      </c>
      <c r="D9" s="8">
        <v>545430</v>
      </c>
      <c r="E9" s="8">
        <v>339555</v>
      </c>
      <c r="F9" s="8">
        <v>73187</v>
      </c>
      <c r="G9" s="8">
        <v>412742</v>
      </c>
      <c r="H9" s="9"/>
      <c r="I9" s="8">
        <v>838520</v>
      </c>
      <c r="J9" s="8">
        <v>119652</v>
      </c>
      <c r="K9" s="45">
        <v>958172</v>
      </c>
      <c r="L9" s="48"/>
      <c r="M9" s="8">
        <v>25481</v>
      </c>
      <c r="N9" s="8">
        <v>13138</v>
      </c>
      <c r="O9" s="9">
        <v>0</v>
      </c>
      <c r="P9" s="8">
        <v>7540</v>
      </c>
      <c r="Q9" s="45">
        <v>46159</v>
      </c>
      <c r="R9" s="49">
        <f t="shared" si="0"/>
        <v>1004331</v>
      </c>
      <c r="S9" s="52">
        <v>90253</v>
      </c>
      <c r="T9" s="51"/>
      <c r="U9" s="52">
        <v>1094584</v>
      </c>
    </row>
    <row r="10" spans="1:21" thickTop="1" thickBot="1" x14ac:dyDescent="0.3">
      <c r="A10" s="7">
        <v>2016</v>
      </c>
      <c r="B10" s="8">
        <v>508074</v>
      </c>
      <c r="C10" s="8">
        <v>44269</v>
      </c>
      <c r="D10" s="8">
        <v>552343</v>
      </c>
      <c r="E10" s="8">
        <v>294754</v>
      </c>
      <c r="F10" s="8">
        <v>67423</v>
      </c>
      <c r="G10" s="8">
        <v>362177</v>
      </c>
      <c r="H10" s="9"/>
      <c r="I10" s="8">
        <v>802828</v>
      </c>
      <c r="J10" s="8">
        <v>111692</v>
      </c>
      <c r="K10" s="45">
        <v>914520</v>
      </c>
      <c r="L10" s="48"/>
      <c r="M10" s="8">
        <v>18659</v>
      </c>
      <c r="N10" s="8">
        <v>10482</v>
      </c>
      <c r="O10" s="9">
        <v>0</v>
      </c>
      <c r="P10" s="8">
        <v>7646</v>
      </c>
      <c r="Q10" s="45">
        <v>36787</v>
      </c>
      <c r="R10" s="49">
        <f t="shared" si="0"/>
        <v>951307</v>
      </c>
      <c r="S10" s="51">
        <v>0</v>
      </c>
      <c r="T10" s="52">
        <v>36787</v>
      </c>
      <c r="U10" s="52">
        <v>951307</v>
      </c>
    </row>
    <row r="11" spans="1:21" thickTop="1" thickBot="1" x14ac:dyDescent="0.3">
      <c r="A11" s="7">
        <v>2015</v>
      </c>
      <c r="B11" s="8">
        <v>507105</v>
      </c>
      <c r="C11" s="8">
        <v>70408</v>
      </c>
      <c r="D11" s="8">
        <v>577513</v>
      </c>
      <c r="E11" s="8">
        <v>360726</v>
      </c>
      <c r="F11" s="8">
        <v>93547</v>
      </c>
      <c r="G11" s="8">
        <v>454273</v>
      </c>
      <c r="H11" s="9"/>
      <c r="I11" s="9"/>
      <c r="J11" s="9"/>
      <c r="K11" s="45">
        <v>1031786</v>
      </c>
      <c r="L11" s="48"/>
      <c r="M11" s="8">
        <v>16255</v>
      </c>
      <c r="N11" s="8">
        <v>9405</v>
      </c>
      <c r="O11" s="9">
        <v>0</v>
      </c>
      <c r="P11" s="8">
        <v>6374</v>
      </c>
      <c r="Q11" s="45">
        <v>32034</v>
      </c>
      <c r="R11" s="49">
        <f t="shared" si="0"/>
        <v>1063820</v>
      </c>
      <c r="S11" s="51"/>
      <c r="T11" s="51"/>
      <c r="U11" s="51"/>
    </row>
    <row r="12" spans="1:21" thickTop="1" thickBot="1" x14ac:dyDescent="0.3">
      <c r="A12" s="7">
        <v>2014</v>
      </c>
      <c r="B12" s="8">
        <v>511531</v>
      </c>
      <c r="C12" s="8">
        <v>51377</v>
      </c>
      <c r="D12" s="8">
        <v>562908</v>
      </c>
      <c r="E12" s="8">
        <v>394756</v>
      </c>
      <c r="F12" s="8">
        <v>95159</v>
      </c>
      <c r="G12" s="8">
        <v>489915</v>
      </c>
      <c r="H12" s="9"/>
      <c r="I12" s="9"/>
      <c r="J12" s="9"/>
      <c r="K12" s="45">
        <v>1077663</v>
      </c>
      <c r="L12" s="48"/>
      <c r="M12" s="8">
        <v>12547</v>
      </c>
      <c r="N12" s="8">
        <v>6682</v>
      </c>
      <c r="O12" s="9">
        <v>0</v>
      </c>
      <c r="P12" s="8">
        <v>5611</v>
      </c>
      <c r="Q12" s="45">
        <v>24840</v>
      </c>
      <c r="R12" s="49">
        <f t="shared" si="0"/>
        <v>1102503</v>
      </c>
      <c r="S12" s="51"/>
      <c r="T12" s="51"/>
      <c r="U12" s="51"/>
    </row>
    <row r="13" spans="1:21" thickTop="1" thickBot="1" x14ac:dyDescent="0.3">
      <c r="A13" s="7">
        <v>2013</v>
      </c>
      <c r="B13" s="8">
        <v>486641</v>
      </c>
      <c r="C13" s="8">
        <v>49806</v>
      </c>
      <c r="D13" s="8">
        <v>536447</v>
      </c>
      <c r="E13" s="8">
        <v>413585</v>
      </c>
      <c r="F13" s="8">
        <v>91851</v>
      </c>
      <c r="G13" s="8">
        <v>505436</v>
      </c>
      <c r="H13" s="9"/>
      <c r="I13" s="9"/>
      <c r="J13" s="9"/>
      <c r="K13" s="45">
        <v>1055577</v>
      </c>
      <c r="L13" s="48"/>
      <c r="M13" s="9"/>
      <c r="N13" s="9"/>
      <c r="O13" s="9"/>
      <c r="P13" s="9"/>
      <c r="Q13" s="25"/>
      <c r="R13" s="33"/>
      <c r="S13" s="51"/>
      <c r="T13" s="51"/>
      <c r="U13" s="51"/>
    </row>
    <row r="14" spans="1:21" thickTop="1" thickBot="1" x14ac:dyDescent="0.3">
      <c r="A14" s="10">
        <v>2012</v>
      </c>
      <c r="B14" s="11">
        <v>458555</v>
      </c>
      <c r="C14" s="11">
        <v>94680</v>
      </c>
      <c r="D14" s="11">
        <v>553235</v>
      </c>
      <c r="E14" s="11">
        <v>432333</v>
      </c>
      <c r="F14" s="11">
        <v>116376</v>
      </c>
      <c r="G14" s="11">
        <v>548709</v>
      </c>
      <c r="H14" s="12"/>
      <c r="I14" s="12"/>
      <c r="J14" s="12"/>
      <c r="K14" s="46">
        <v>1101944</v>
      </c>
      <c r="L14" s="47"/>
      <c r="M14" s="12"/>
      <c r="N14" s="12"/>
      <c r="O14" s="12"/>
      <c r="P14" s="12"/>
      <c r="Q14" s="46"/>
      <c r="R14" s="50"/>
      <c r="S14" s="12"/>
      <c r="T14" s="12"/>
      <c r="U14" s="12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593D-86AC-4030-9A8C-493492D70B50}">
  <dimension ref="A1:C14"/>
  <sheetViews>
    <sheetView workbookViewId="0">
      <selection activeCell="D7" sqref="D7"/>
    </sheetView>
  </sheetViews>
  <sheetFormatPr defaultColWidth="21.28515625" defaultRowHeight="15" x14ac:dyDescent="0.25"/>
  <cols>
    <col min="2" max="3" width="21.28515625" style="1"/>
  </cols>
  <sheetData>
    <row r="1" spans="1:3" ht="90" x14ac:dyDescent="0.25">
      <c r="A1" s="6" t="s">
        <v>0</v>
      </c>
      <c r="B1" s="1" t="s">
        <v>116</v>
      </c>
      <c r="C1" s="1" t="s">
        <v>117</v>
      </c>
    </row>
    <row r="2" spans="1:3" x14ac:dyDescent="0.25">
      <c r="A2" s="9">
        <v>2024</v>
      </c>
      <c r="B2" s="2">
        <v>92589</v>
      </c>
      <c r="C2" s="2">
        <v>114784</v>
      </c>
    </row>
    <row r="3" spans="1:3" x14ac:dyDescent="0.25">
      <c r="A3" s="9">
        <v>2023</v>
      </c>
      <c r="B3" s="2">
        <v>42159</v>
      </c>
      <c r="C3" s="2">
        <v>64389</v>
      </c>
    </row>
    <row r="4" spans="1:3" x14ac:dyDescent="0.25">
      <c r="A4" s="9">
        <v>2022</v>
      </c>
      <c r="B4" s="2">
        <v>69373</v>
      </c>
      <c r="C4" s="2">
        <v>97217</v>
      </c>
    </row>
    <row r="5" spans="1:3" x14ac:dyDescent="0.25">
      <c r="A5" s="9">
        <v>2021</v>
      </c>
      <c r="B5" s="2">
        <v>34582</v>
      </c>
      <c r="C5" s="2">
        <v>79723</v>
      </c>
    </row>
    <row r="6" spans="1:3" x14ac:dyDescent="0.25">
      <c r="A6" s="9">
        <v>2020</v>
      </c>
      <c r="B6" s="2">
        <v>28538</v>
      </c>
      <c r="C6" s="2">
        <v>64835</v>
      </c>
    </row>
    <row r="7" spans="1:3" x14ac:dyDescent="0.25">
      <c r="A7" s="9">
        <v>2019</v>
      </c>
      <c r="B7" s="2">
        <v>31272</v>
      </c>
      <c r="C7" s="2">
        <v>81837</v>
      </c>
    </row>
    <row r="8" spans="1:3" x14ac:dyDescent="0.25">
      <c r="A8" s="9">
        <v>2018</v>
      </c>
      <c r="B8" s="2">
        <v>28507</v>
      </c>
      <c r="C8" s="2">
        <v>80451</v>
      </c>
    </row>
    <row r="9" spans="1:3" x14ac:dyDescent="0.25">
      <c r="A9" s="9">
        <v>2017</v>
      </c>
      <c r="B9" s="2">
        <v>27302</v>
      </c>
      <c r="C9" s="2">
        <v>85192</v>
      </c>
    </row>
    <row r="10" spans="1:3" x14ac:dyDescent="0.25">
      <c r="A10" s="9">
        <v>2016</v>
      </c>
      <c r="B10" s="2">
        <v>24741</v>
      </c>
      <c r="C10" s="2">
        <v>57729</v>
      </c>
    </row>
    <row r="11" spans="1:3" x14ac:dyDescent="0.25">
      <c r="A11" s="9">
        <v>2015</v>
      </c>
      <c r="B11" s="2">
        <v>25495</v>
      </c>
      <c r="C11" s="2">
        <v>63124</v>
      </c>
    </row>
    <row r="12" spans="1:3" x14ac:dyDescent="0.25">
      <c r="A12" s="9">
        <v>2014</v>
      </c>
      <c r="B12" s="2">
        <v>24635</v>
      </c>
      <c r="C12" s="2">
        <v>60897</v>
      </c>
    </row>
    <row r="13" spans="1:3" x14ac:dyDescent="0.25">
      <c r="A13" s="9">
        <v>2013</v>
      </c>
    </row>
    <row r="14" spans="1:3" x14ac:dyDescent="0.25">
      <c r="A14" s="12">
        <v>2012</v>
      </c>
      <c r="B14" s="1">
        <v>23899</v>
      </c>
      <c r="C14" s="1">
        <v>57034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4"/>
  <sheetViews>
    <sheetView workbookViewId="0">
      <selection activeCell="G8" sqref="G8"/>
    </sheetView>
  </sheetViews>
  <sheetFormatPr defaultColWidth="16.5703125" defaultRowHeight="16.5" thickTop="1" thickBottom="1" x14ac:dyDescent="0.3"/>
  <cols>
    <col min="1" max="3" width="16.5703125" style="1"/>
    <col min="7" max="7" width="16.5703125" style="1"/>
    <col min="8" max="8" width="16.5703125" style="53"/>
    <col min="9" max="9" width="16.5703125" style="47"/>
    <col min="10" max="13" width="16.5703125" style="1"/>
    <col min="14" max="14" width="16.5703125" style="56"/>
    <col min="15" max="16384" width="16.5703125" style="1"/>
  </cols>
  <sheetData>
    <row r="1" spans="1:14" ht="46.5" thickTop="1" thickBot="1" x14ac:dyDescent="0.3">
      <c r="A1" s="6" t="s">
        <v>0</v>
      </c>
      <c r="B1" s="58" t="s">
        <v>118</v>
      </c>
      <c r="C1" s="58" t="s">
        <v>119</v>
      </c>
      <c r="D1" t="s">
        <v>130</v>
      </c>
      <c r="E1" t="s">
        <v>131</v>
      </c>
      <c r="F1" t="s">
        <v>132</v>
      </c>
      <c r="G1" s="1" t="s">
        <v>133</v>
      </c>
      <c r="H1" s="53" t="s">
        <v>120</v>
      </c>
      <c r="I1" s="47" t="s">
        <v>135</v>
      </c>
      <c r="J1" s="1" t="s">
        <v>121</v>
      </c>
      <c r="K1" s="1" t="s">
        <v>122</v>
      </c>
      <c r="L1" s="1" t="s">
        <v>123</v>
      </c>
      <c r="M1" s="1" t="s">
        <v>134</v>
      </c>
      <c r="N1" s="56" t="s">
        <v>124</v>
      </c>
    </row>
    <row r="2" spans="1:14" thickTop="1" thickBot="1" x14ac:dyDescent="0.3">
      <c r="A2" s="9">
        <v>2024</v>
      </c>
      <c r="B2" s="59">
        <v>834</v>
      </c>
      <c r="C2" s="59">
        <v>245</v>
      </c>
      <c r="D2">
        <v>1079</v>
      </c>
      <c r="E2">
        <v>301</v>
      </c>
      <c r="F2">
        <v>640</v>
      </c>
      <c r="G2" s="15">
        <v>264</v>
      </c>
      <c r="H2" s="54">
        <v>2284</v>
      </c>
      <c r="I2" s="55"/>
      <c r="J2" s="15">
        <v>26316</v>
      </c>
      <c r="K2" s="15">
        <v>3897</v>
      </c>
      <c r="L2" s="2">
        <v>5769</v>
      </c>
      <c r="M2" s="2">
        <v>14388</v>
      </c>
      <c r="N2" s="57">
        <v>50370</v>
      </c>
    </row>
    <row r="3" spans="1:14" thickTop="1" thickBot="1" x14ac:dyDescent="0.3">
      <c r="A3" s="9">
        <v>2023</v>
      </c>
      <c r="B3" s="59">
        <v>847</v>
      </c>
      <c r="C3" s="59">
        <v>258</v>
      </c>
      <c r="D3">
        <v>1105</v>
      </c>
      <c r="E3">
        <v>286</v>
      </c>
      <c r="F3">
        <v>528</v>
      </c>
      <c r="G3" s="15">
        <v>1677</v>
      </c>
      <c r="H3" s="54">
        <v>3596</v>
      </c>
      <c r="I3" s="55"/>
      <c r="J3" s="15">
        <v>26680</v>
      </c>
      <c r="K3" s="15">
        <v>3138</v>
      </c>
      <c r="L3" s="2">
        <v>5251</v>
      </c>
      <c r="M3" s="2">
        <v>27167</v>
      </c>
      <c r="N3" s="57">
        <v>62236</v>
      </c>
    </row>
    <row r="4" spans="1:14" thickTop="1" thickBot="1" x14ac:dyDescent="0.3">
      <c r="A4" s="9">
        <v>2022</v>
      </c>
      <c r="B4" s="59">
        <v>298</v>
      </c>
      <c r="C4" s="59">
        <v>71</v>
      </c>
      <c r="D4">
        <v>369</v>
      </c>
      <c r="E4">
        <v>111</v>
      </c>
      <c r="F4">
        <v>187</v>
      </c>
      <c r="G4" s="15">
        <v>71</v>
      </c>
      <c r="H4" s="54">
        <v>738</v>
      </c>
      <c r="I4" s="55"/>
      <c r="J4" s="15">
        <v>10094</v>
      </c>
      <c r="K4" s="15">
        <v>1403</v>
      </c>
      <c r="L4" s="2">
        <v>3592</v>
      </c>
      <c r="M4" s="2">
        <v>10705</v>
      </c>
      <c r="N4" s="57">
        <v>25794</v>
      </c>
    </row>
    <row r="5" spans="1:14" thickTop="1" thickBot="1" x14ac:dyDescent="0.3">
      <c r="A5" s="9">
        <v>2021</v>
      </c>
      <c r="B5" s="59">
        <v>0</v>
      </c>
      <c r="C5" s="59">
        <v>0</v>
      </c>
      <c r="D5">
        <v>138</v>
      </c>
      <c r="E5">
        <v>347</v>
      </c>
      <c r="F5">
        <v>47</v>
      </c>
      <c r="G5" s="15">
        <v>38</v>
      </c>
      <c r="H5" s="54">
        <v>570</v>
      </c>
      <c r="I5" s="55"/>
      <c r="J5" s="15">
        <v>4570</v>
      </c>
      <c r="K5" s="15">
        <v>678</v>
      </c>
      <c r="L5" s="2">
        <v>1732</v>
      </c>
      <c r="M5" s="1">
        <v>183</v>
      </c>
      <c r="N5" s="57">
        <v>7163</v>
      </c>
    </row>
    <row r="6" spans="1:14" thickTop="1" thickBot="1" x14ac:dyDescent="0.3">
      <c r="A6" s="9">
        <v>2020</v>
      </c>
      <c r="B6" s="59"/>
      <c r="C6" s="59"/>
      <c r="D6">
        <v>2286</v>
      </c>
      <c r="E6">
        <v>1021</v>
      </c>
      <c r="F6">
        <v>590</v>
      </c>
      <c r="G6" s="1" t="s">
        <v>129</v>
      </c>
      <c r="H6" s="54">
        <v>5569</v>
      </c>
      <c r="I6" s="55"/>
      <c r="J6" s="15">
        <v>13627</v>
      </c>
      <c r="K6" s="15">
        <v>2133</v>
      </c>
      <c r="L6" s="2">
        <v>5294</v>
      </c>
      <c r="M6" s="1" t="s">
        <v>129</v>
      </c>
      <c r="N6" s="57">
        <v>27877</v>
      </c>
    </row>
    <row r="7" spans="1:14" thickTop="1" thickBot="1" x14ac:dyDescent="0.3">
      <c r="A7" s="9">
        <v>2019</v>
      </c>
      <c r="B7" s="59"/>
      <c r="C7" s="59"/>
      <c r="D7">
        <v>2609</v>
      </c>
      <c r="E7">
        <v>344</v>
      </c>
      <c r="F7">
        <v>740</v>
      </c>
      <c r="G7" s="1" t="s">
        <v>129</v>
      </c>
      <c r="H7" s="54">
        <v>2953</v>
      </c>
      <c r="I7" s="55"/>
      <c r="J7" s="15">
        <v>57780</v>
      </c>
      <c r="K7" s="15">
        <v>11049</v>
      </c>
      <c r="L7" s="2">
        <v>7698</v>
      </c>
      <c r="M7" s="1" t="s">
        <v>129</v>
      </c>
      <c r="N7" s="57">
        <v>68829</v>
      </c>
    </row>
    <row r="8" spans="1:14" thickTop="1" thickBot="1" x14ac:dyDescent="0.3">
      <c r="A8" s="9">
        <v>2018</v>
      </c>
      <c r="B8" s="59"/>
      <c r="C8" s="59"/>
      <c r="D8">
        <v>4765</v>
      </c>
      <c r="E8">
        <v>921</v>
      </c>
      <c r="F8">
        <v>6177</v>
      </c>
      <c r="G8" s="15">
        <v>719</v>
      </c>
      <c r="H8" s="54">
        <v>11421</v>
      </c>
      <c r="I8" s="55"/>
      <c r="J8" s="15">
        <v>63184</v>
      </c>
      <c r="K8" s="15">
        <v>11257</v>
      </c>
      <c r="L8" s="2">
        <v>12178</v>
      </c>
      <c r="M8" s="2">
        <v>31421</v>
      </c>
      <c r="N8" s="57">
        <v>118040</v>
      </c>
    </row>
    <row r="9" spans="1:14" thickTop="1" thickBot="1" x14ac:dyDescent="0.3">
      <c r="A9" s="9">
        <v>2017</v>
      </c>
      <c r="B9" s="59"/>
      <c r="C9" s="59"/>
      <c r="D9">
        <v>2466</v>
      </c>
      <c r="E9">
        <v>195</v>
      </c>
      <c r="F9">
        <v>2252</v>
      </c>
      <c r="G9" s="15">
        <v>0</v>
      </c>
      <c r="H9" s="54">
        <v>4588</v>
      </c>
      <c r="I9" s="55"/>
      <c r="J9" s="15">
        <v>78311</v>
      </c>
      <c r="K9" s="15">
        <v>6845</v>
      </c>
      <c r="L9" s="2">
        <v>7734</v>
      </c>
      <c r="M9" s="1">
        <v>0</v>
      </c>
      <c r="N9" s="57">
        <v>92890</v>
      </c>
    </row>
    <row r="10" spans="1:14" thickTop="1" thickBot="1" x14ac:dyDescent="0.3">
      <c r="A10" s="9">
        <v>2016</v>
      </c>
      <c r="B10" s="59"/>
      <c r="C10" s="59"/>
      <c r="D10">
        <v>2252</v>
      </c>
      <c r="E10">
        <v>140</v>
      </c>
      <c r="F10">
        <v>207</v>
      </c>
      <c r="G10" s="15">
        <v>84</v>
      </c>
      <c r="H10" s="54">
        <v>2386</v>
      </c>
      <c r="I10" s="55"/>
      <c r="J10" s="15">
        <v>97827</v>
      </c>
      <c r="K10" s="15">
        <v>5419</v>
      </c>
      <c r="L10" s="2">
        <v>4850</v>
      </c>
      <c r="M10" s="1">
        <v>282</v>
      </c>
      <c r="N10" s="57">
        <v>78319</v>
      </c>
    </row>
    <row r="11" spans="1:14" thickTop="1" thickBot="1" x14ac:dyDescent="0.3">
      <c r="A11" s="9">
        <v>2015</v>
      </c>
      <c r="B11" s="59"/>
      <c r="C11" s="59"/>
      <c r="D11">
        <v>2136</v>
      </c>
      <c r="E11">
        <v>126</v>
      </c>
      <c r="F11">
        <v>315</v>
      </c>
      <c r="G11" s="15">
        <v>13</v>
      </c>
      <c r="H11" s="54">
        <v>2317</v>
      </c>
      <c r="I11" s="55"/>
      <c r="J11" s="15">
        <v>133781</v>
      </c>
      <c r="K11" s="15">
        <v>4315</v>
      </c>
      <c r="L11" s="2">
        <v>6631</v>
      </c>
      <c r="M11" s="1">
        <v>412</v>
      </c>
      <c r="N11" s="57">
        <v>79560</v>
      </c>
    </row>
    <row r="12" spans="1:14" thickTop="1" thickBot="1" x14ac:dyDescent="0.3">
      <c r="A12" s="9">
        <v>2014</v>
      </c>
      <c r="B12" s="59"/>
      <c r="C12" s="59"/>
      <c r="D12">
        <v>1208</v>
      </c>
      <c r="E12">
        <v>130</v>
      </c>
      <c r="F12">
        <v>240</v>
      </c>
      <c r="G12" s="15">
        <v>1</v>
      </c>
      <c r="H12" s="54">
        <v>1331</v>
      </c>
      <c r="I12" s="55"/>
      <c r="J12" s="15">
        <v>95836</v>
      </c>
      <c r="K12" s="15">
        <v>7296</v>
      </c>
      <c r="L12" s="2">
        <v>6116</v>
      </c>
      <c r="M12" s="1">
        <v>0</v>
      </c>
      <c r="N12" s="57">
        <v>62587</v>
      </c>
    </row>
    <row r="13" spans="1:14" thickTop="1" thickBot="1" x14ac:dyDescent="0.3">
      <c r="A13" s="9">
        <v>2013</v>
      </c>
      <c r="B13" s="59"/>
      <c r="C13" s="59"/>
      <c r="D13">
        <v>1733</v>
      </c>
      <c r="E13">
        <v>107</v>
      </c>
      <c r="F13">
        <v>144</v>
      </c>
      <c r="G13" s="1" t="s">
        <v>129</v>
      </c>
      <c r="H13" s="54">
        <v>1984</v>
      </c>
      <c r="I13" s="55"/>
      <c r="J13" s="15">
        <v>65609</v>
      </c>
      <c r="K13" s="15">
        <v>4207</v>
      </c>
      <c r="L13" s="2">
        <v>6487</v>
      </c>
      <c r="M13" s="1" t="s">
        <v>129</v>
      </c>
      <c r="N13" s="57">
        <v>76891</v>
      </c>
    </row>
    <row r="14" spans="1:14" thickTop="1" thickBot="1" x14ac:dyDescent="0.3">
      <c r="A14" s="12">
        <v>2012</v>
      </c>
      <c r="B14" s="59"/>
      <c r="C14" s="59"/>
      <c r="D14">
        <v>1563</v>
      </c>
      <c r="E14">
        <v>105</v>
      </c>
      <c r="F14">
        <v>121</v>
      </c>
      <c r="G14" s="1" t="s">
        <v>129</v>
      </c>
      <c r="H14" s="54">
        <v>1789</v>
      </c>
      <c r="I14" s="55"/>
      <c r="J14" s="15">
        <v>58984</v>
      </c>
      <c r="K14" s="15">
        <v>4937</v>
      </c>
      <c r="L14" s="2">
        <v>6588</v>
      </c>
      <c r="M14" s="1" t="s">
        <v>129</v>
      </c>
      <c r="N14" s="57">
        <v>70509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3807-F3C8-492B-844F-BB7C91F9AB6C}">
  <dimension ref="A1:D14"/>
  <sheetViews>
    <sheetView workbookViewId="0">
      <selection activeCell="D11" sqref="D11"/>
    </sheetView>
  </sheetViews>
  <sheetFormatPr defaultColWidth="17.7109375" defaultRowHeight="15" x14ac:dyDescent="0.25"/>
  <cols>
    <col min="4" max="4" width="30.5703125" customWidth="1"/>
  </cols>
  <sheetData>
    <row r="1" spans="1:4" ht="60" x14ac:dyDescent="0.25">
      <c r="A1" s="1" t="s">
        <v>0</v>
      </c>
      <c r="B1" s="1" t="s">
        <v>125</v>
      </c>
      <c r="C1" s="1" t="s">
        <v>126</v>
      </c>
      <c r="D1" s="1" t="s">
        <v>127</v>
      </c>
    </row>
    <row r="2" spans="1:4" x14ac:dyDescent="0.25">
      <c r="A2" s="1">
        <v>2024</v>
      </c>
      <c r="B2" s="1">
        <v>744</v>
      </c>
      <c r="C2" s="2">
        <v>3553</v>
      </c>
      <c r="D2" s="2">
        <v>25805</v>
      </c>
    </row>
    <row r="3" spans="1:4" x14ac:dyDescent="0.25">
      <c r="A3" s="1">
        <v>2023</v>
      </c>
      <c r="B3" s="1">
        <v>879</v>
      </c>
      <c r="C3" s="2">
        <v>964</v>
      </c>
      <c r="D3" s="2">
        <v>17291</v>
      </c>
    </row>
    <row r="4" spans="1:4" x14ac:dyDescent="0.25">
      <c r="A4" s="1">
        <v>2022</v>
      </c>
      <c r="B4" s="1">
        <v>570</v>
      </c>
      <c r="C4" s="2">
        <v>2577</v>
      </c>
      <c r="D4" s="2">
        <v>21597</v>
      </c>
    </row>
    <row r="5" spans="1:4" x14ac:dyDescent="0.25">
      <c r="A5" s="1">
        <v>2021</v>
      </c>
      <c r="B5" s="1">
        <v>851</v>
      </c>
      <c r="C5" s="2">
        <v>3972</v>
      </c>
      <c r="D5" s="1">
        <v>0</v>
      </c>
    </row>
    <row r="6" spans="1:4" x14ac:dyDescent="0.25">
      <c r="A6" s="1">
        <v>2020</v>
      </c>
      <c r="B6" s="1">
        <v>726</v>
      </c>
      <c r="C6" s="2">
        <v>3916</v>
      </c>
      <c r="D6" s="1"/>
    </row>
    <row r="7" spans="1:4" x14ac:dyDescent="0.25">
      <c r="A7" s="1">
        <v>2019</v>
      </c>
      <c r="B7" s="1">
        <v>496</v>
      </c>
      <c r="C7" s="2">
        <v>2770</v>
      </c>
      <c r="D7" s="1"/>
    </row>
    <row r="8" spans="1:4" x14ac:dyDescent="0.25">
      <c r="A8" s="1">
        <v>2018</v>
      </c>
      <c r="B8" s="1">
        <v>821</v>
      </c>
      <c r="C8" s="2">
        <v>4162</v>
      </c>
      <c r="D8" s="1"/>
    </row>
    <row r="9" spans="1:4" x14ac:dyDescent="0.25">
      <c r="A9" s="1">
        <v>2017</v>
      </c>
      <c r="B9" s="1">
        <v>786</v>
      </c>
      <c r="C9" s="2">
        <v>4754</v>
      </c>
      <c r="D9" s="1"/>
    </row>
    <row r="10" spans="1:4" x14ac:dyDescent="0.25">
      <c r="A10" s="1">
        <v>2016</v>
      </c>
      <c r="B10" s="1">
        <v>437</v>
      </c>
      <c r="C10" s="2">
        <v>2296</v>
      </c>
      <c r="D10" s="1"/>
    </row>
    <row r="11" spans="1:4" x14ac:dyDescent="0.25">
      <c r="A11" s="1">
        <v>2015</v>
      </c>
      <c r="B11" s="1">
        <v>464</v>
      </c>
      <c r="C11" s="2">
        <v>2878</v>
      </c>
      <c r="D11" s="1"/>
    </row>
    <row r="12" spans="1:4" x14ac:dyDescent="0.25">
      <c r="A12" s="1">
        <v>2014</v>
      </c>
      <c r="B12" s="1">
        <v>284</v>
      </c>
      <c r="C12" s="2">
        <v>1514</v>
      </c>
      <c r="D12" s="1"/>
    </row>
    <row r="13" spans="1:4" x14ac:dyDescent="0.25">
      <c r="A13" s="1">
        <v>2013</v>
      </c>
      <c r="B13" s="1">
        <v>587</v>
      </c>
      <c r="C13" s="2">
        <v>1818</v>
      </c>
      <c r="D13" s="1"/>
    </row>
    <row r="14" spans="1:4" x14ac:dyDescent="0.25">
      <c r="A14" s="1">
        <v>2012</v>
      </c>
      <c r="B14" s="1">
        <v>469</v>
      </c>
      <c r="C14" s="2">
        <v>1565</v>
      </c>
      <c r="D1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OPERATIONS</vt:lpstr>
      <vt:lpstr>STAFFING</vt:lpstr>
      <vt:lpstr>REVENUE</vt:lpstr>
      <vt:lpstr>EXPENSES STAFF</vt:lpstr>
      <vt:lpstr>EXPENSES COLLECTION</vt:lpstr>
      <vt:lpstr>EXPENSES OPERATIONS</vt:lpstr>
      <vt:lpstr>EXPENSES CAPITAL</vt:lpstr>
      <vt:lpstr>EXPENSES TOTAL</vt:lpstr>
      <vt:lpstr>COLLECTION SIZE</vt:lpstr>
      <vt:lpstr>USERS GATE COUNT</vt:lpstr>
      <vt:lpstr>TECH USE</vt:lpstr>
      <vt:lpstr>REF MTG RM</vt:lpstr>
      <vt:lpstr>CIRC</vt:lpstr>
      <vt:lpstr>ILL</vt:lpstr>
      <vt:lpstr>PROGRAMMING</vt:lpstr>
      <vt:lpstr>OUTREACH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House</dc:creator>
  <cp:lastModifiedBy>Martin House</cp:lastModifiedBy>
  <dcterms:created xsi:type="dcterms:W3CDTF">2025-11-20T18:14:31Z</dcterms:created>
  <dcterms:modified xsi:type="dcterms:W3CDTF">2025-11-20T18:42:42Z</dcterms:modified>
</cp:coreProperties>
</file>